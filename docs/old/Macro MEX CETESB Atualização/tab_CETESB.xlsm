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EstaPasta_de_trabalho" defaultThemeVersion="124226"/>
  <bookViews>
    <workbookView xWindow="12705" yWindow="-15" windowWidth="12510" windowHeight="12390"/>
  </bookViews>
  <sheets>
    <sheet name="Infos" sheetId="9" r:id="rId1"/>
    <sheet name="Din.Agências" sheetId="3" r:id="rId2"/>
    <sheet name="Din.Municípios" sheetId="7" r:id="rId3"/>
    <sheet name="Municípios" sheetId="1" r:id="rId4"/>
    <sheet name="tab_CETESB" sheetId="5" r:id="rId5"/>
    <sheet name="tab_Agências" sheetId="4" r:id="rId6"/>
    <sheet name="tab_MunicipiosLicenciadores" sheetId="8" r:id="rId7"/>
    <sheet name="tab_Departamentos" sheetId="6" r:id="rId8"/>
  </sheets>
  <definedNames>
    <definedName name="_xlnm._FilterDatabase" localSheetId="3" hidden="1">Municípios!$A$1:$T$1</definedName>
    <definedName name="tab_AgênciaAmbiental">tab_Agências[[#All],[AgênciaAmbiental]:[ID_Agência2]]</definedName>
    <definedName name="tab_Município_Seleção">tab_Municípios[[#All],[Município]:[GeoCodigo2]]</definedName>
  </definedNames>
  <calcPr calcId="144525"/>
  <pivotCaches>
    <pivotCache cacheId="13" r:id="rId9"/>
  </pivotCaches>
</workbook>
</file>

<file path=xl/calcChain.xml><?xml version="1.0" encoding="utf-8"?>
<calcChain xmlns="http://schemas.openxmlformats.org/spreadsheetml/2006/main">
  <c r="A3" i="8" l="1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2" i="8"/>
  <c r="D3" i="5" l="1"/>
  <c r="E3" i="5"/>
  <c r="F3" i="5"/>
  <c r="G3" i="5"/>
  <c r="H3" i="5"/>
  <c r="J3" i="5"/>
  <c r="K3" i="5"/>
  <c r="L3" i="5"/>
  <c r="D4" i="5"/>
  <c r="E4" i="5"/>
  <c r="F4" i="5"/>
  <c r="G4" i="5"/>
  <c r="H4" i="5"/>
  <c r="J4" i="5"/>
  <c r="K4" i="5"/>
  <c r="L4" i="5"/>
  <c r="D5" i="5"/>
  <c r="E5" i="5"/>
  <c r="F5" i="5"/>
  <c r="G5" i="5"/>
  <c r="H5" i="5"/>
  <c r="J5" i="5"/>
  <c r="K5" i="5"/>
  <c r="L5" i="5"/>
  <c r="D6" i="5"/>
  <c r="E6" i="5"/>
  <c r="F6" i="5"/>
  <c r="G6" i="5"/>
  <c r="H6" i="5"/>
  <c r="J6" i="5"/>
  <c r="K6" i="5"/>
  <c r="L6" i="5"/>
  <c r="D7" i="5"/>
  <c r="E7" i="5"/>
  <c r="F7" i="5"/>
  <c r="G7" i="5"/>
  <c r="H7" i="5"/>
  <c r="J7" i="5"/>
  <c r="K7" i="5"/>
  <c r="L7" i="5"/>
  <c r="D8" i="5"/>
  <c r="E8" i="5"/>
  <c r="F8" i="5"/>
  <c r="G8" i="5"/>
  <c r="H8" i="5"/>
  <c r="J8" i="5"/>
  <c r="K8" i="5"/>
  <c r="L8" i="5"/>
  <c r="D9" i="5"/>
  <c r="E9" i="5"/>
  <c r="F9" i="5"/>
  <c r="G9" i="5"/>
  <c r="H9" i="5"/>
  <c r="J9" i="5"/>
  <c r="K9" i="5"/>
  <c r="L9" i="5"/>
  <c r="D10" i="5"/>
  <c r="E10" i="5"/>
  <c r="F10" i="5"/>
  <c r="G10" i="5"/>
  <c r="H10" i="5"/>
  <c r="J10" i="5"/>
  <c r="K10" i="5"/>
  <c r="L10" i="5"/>
  <c r="D11" i="5"/>
  <c r="E11" i="5"/>
  <c r="F11" i="5"/>
  <c r="G11" i="5"/>
  <c r="H11" i="5"/>
  <c r="J11" i="5"/>
  <c r="K11" i="5"/>
  <c r="L11" i="5"/>
  <c r="D12" i="5"/>
  <c r="E12" i="5"/>
  <c r="F12" i="5"/>
  <c r="G12" i="5"/>
  <c r="H12" i="5"/>
  <c r="J12" i="5"/>
  <c r="K12" i="5"/>
  <c r="L12" i="5"/>
  <c r="D13" i="5"/>
  <c r="E13" i="5"/>
  <c r="F13" i="5"/>
  <c r="G13" i="5"/>
  <c r="H13" i="5"/>
  <c r="J13" i="5"/>
  <c r="K13" i="5"/>
  <c r="L13" i="5"/>
  <c r="D14" i="5"/>
  <c r="E14" i="5"/>
  <c r="F14" i="5"/>
  <c r="G14" i="5"/>
  <c r="H14" i="5"/>
  <c r="J14" i="5"/>
  <c r="K14" i="5"/>
  <c r="L14" i="5"/>
  <c r="D15" i="5"/>
  <c r="E15" i="5"/>
  <c r="F15" i="5"/>
  <c r="G15" i="5"/>
  <c r="H15" i="5"/>
  <c r="J15" i="5"/>
  <c r="K15" i="5"/>
  <c r="L15" i="5"/>
  <c r="D16" i="5"/>
  <c r="E16" i="5"/>
  <c r="F16" i="5"/>
  <c r="G16" i="5"/>
  <c r="H16" i="5"/>
  <c r="J16" i="5"/>
  <c r="K16" i="5"/>
  <c r="L16" i="5"/>
  <c r="D17" i="5"/>
  <c r="E17" i="5"/>
  <c r="F17" i="5"/>
  <c r="G17" i="5"/>
  <c r="H17" i="5"/>
  <c r="J17" i="5"/>
  <c r="K17" i="5"/>
  <c r="L17" i="5"/>
  <c r="D18" i="5"/>
  <c r="E18" i="5"/>
  <c r="F18" i="5"/>
  <c r="G18" i="5"/>
  <c r="H18" i="5"/>
  <c r="J18" i="5"/>
  <c r="K18" i="5"/>
  <c r="L18" i="5"/>
  <c r="D19" i="5"/>
  <c r="E19" i="5"/>
  <c r="F19" i="5"/>
  <c r="G19" i="5"/>
  <c r="H19" i="5"/>
  <c r="J19" i="5"/>
  <c r="K19" i="5"/>
  <c r="L19" i="5"/>
  <c r="D20" i="5"/>
  <c r="E20" i="5"/>
  <c r="F20" i="5"/>
  <c r="G20" i="5"/>
  <c r="H20" i="5"/>
  <c r="J20" i="5"/>
  <c r="K20" i="5"/>
  <c r="L20" i="5"/>
  <c r="D21" i="5"/>
  <c r="E21" i="5"/>
  <c r="F21" i="5"/>
  <c r="G21" i="5"/>
  <c r="H21" i="5"/>
  <c r="J21" i="5"/>
  <c r="K21" i="5"/>
  <c r="L21" i="5"/>
  <c r="D22" i="5"/>
  <c r="E22" i="5"/>
  <c r="F22" i="5"/>
  <c r="G22" i="5"/>
  <c r="H22" i="5"/>
  <c r="J22" i="5"/>
  <c r="K22" i="5"/>
  <c r="L22" i="5"/>
  <c r="D23" i="5"/>
  <c r="E23" i="5"/>
  <c r="F23" i="5"/>
  <c r="G23" i="5"/>
  <c r="H23" i="5"/>
  <c r="J23" i="5"/>
  <c r="K23" i="5"/>
  <c r="L23" i="5"/>
  <c r="D24" i="5"/>
  <c r="E24" i="5"/>
  <c r="F24" i="5"/>
  <c r="G24" i="5"/>
  <c r="H24" i="5"/>
  <c r="J24" i="5"/>
  <c r="K24" i="5"/>
  <c r="L24" i="5"/>
  <c r="D25" i="5"/>
  <c r="E25" i="5"/>
  <c r="F25" i="5"/>
  <c r="G25" i="5"/>
  <c r="H25" i="5"/>
  <c r="J25" i="5"/>
  <c r="K25" i="5"/>
  <c r="L25" i="5"/>
  <c r="D26" i="5"/>
  <c r="E26" i="5"/>
  <c r="F26" i="5"/>
  <c r="G26" i="5"/>
  <c r="H26" i="5"/>
  <c r="J26" i="5"/>
  <c r="K26" i="5"/>
  <c r="L26" i="5"/>
  <c r="D27" i="5"/>
  <c r="E27" i="5"/>
  <c r="F27" i="5"/>
  <c r="G27" i="5"/>
  <c r="H27" i="5"/>
  <c r="J27" i="5"/>
  <c r="K27" i="5"/>
  <c r="L27" i="5"/>
  <c r="D28" i="5"/>
  <c r="E28" i="5"/>
  <c r="F28" i="5"/>
  <c r="G28" i="5"/>
  <c r="H28" i="5"/>
  <c r="J28" i="5"/>
  <c r="K28" i="5"/>
  <c r="L28" i="5"/>
  <c r="D29" i="5"/>
  <c r="E29" i="5"/>
  <c r="F29" i="5"/>
  <c r="G29" i="5"/>
  <c r="H29" i="5"/>
  <c r="J29" i="5"/>
  <c r="K29" i="5"/>
  <c r="L29" i="5"/>
  <c r="D30" i="5"/>
  <c r="E30" i="5"/>
  <c r="F30" i="5"/>
  <c r="G30" i="5"/>
  <c r="H30" i="5"/>
  <c r="J30" i="5"/>
  <c r="K30" i="5"/>
  <c r="L30" i="5"/>
  <c r="D31" i="5"/>
  <c r="E31" i="5"/>
  <c r="F31" i="5"/>
  <c r="G31" i="5"/>
  <c r="H31" i="5"/>
  <c r="J31" i="5"/>
  <c r="K31" i="5"/>
  <c r="L31" i="5"/>
  <c r="D32" i="5"/>
  <c r="E32" i="5"/>
  <c r="F32" i="5"/>
  <c r="G32" i="5"/>
  <c r="H32" i="5"/>
  <c r="J32" i="5"/>
  <c r="K32" i="5"/>
  <c r="L32" i="5"/>
  <c r="D33" i="5"/>
  <c r="E33" i="5"/>
  <c r="F33" i="5"/>
  <c r="G33" i="5"/>
  <c r="H33" i="5"/>
  <c r="J33" i="5"/>
  <c r="K33" i="5"/>
  <c r="L33" i="5"/>
  <c r="D34" i="5"/>
  <c r="E34" i="5"/>
  <c r="F34" i="5"/>
  <c r="G34" i="5"/>
  <c r="H34" i="5"/>
  <c r="J34" i="5"/>
  <c r="K34" i="5"/>
  <c r="L34" i="5"/>
  <c r="D35" i="5"/>
  <c r="E35" i="5"/>
  <c r="F35" i="5"/>
  <c r="G35" i="5"/>
  <c r="H35" i="5"/>
  <c r="J35" i="5"/>
  <c r="K35" i="5"/>
  <c r="L35" i="5"/>
  <c r="D36" i="5"/>
  <c r="E36" i="5"/>
  <c r="F36" i="5"/>
  <c r="G36" i="5"/>
  <c r="H36" i="5"/>
  <c r="J36" i="5"/>
  <c r="K36" i="5"/>
  <c r="L36" i="5"/>
  <c r="D37" i="5"/>
  <c r="E37" i="5"/>
  <c r="F37" i="5"/>
  <c r="G37" i="5"/>
  <c r="H37" i="5"/>
  <c r="J37" i="5"/>
  <c r="K37" i="5"/>
  <c r="L37" i="5"/>
  <c r="D38" i="5"/>
  <c r="E38" i="5"/>
  <c r="F38" i="5"/>
  <c r="G38" i="5"/>
  <c r="H38" i="5"/>
  <c r="J38" i="5"/>
  <c r="K38" i="5"/>
  <c r="L38" i="5"/>
  <c r="D39" i="5"/>
  <c r="E39" i="5"/>
  <c r="F39" i="5"/>
  <c r="G39" i="5"/>
  <c r="H39" i="5"/>
  <c r="J39" i="5"/>
  <c r="K39" i="5"/>
  <c r="L39" i="5"/>
  <c r="D40" i="5"/>
  <c r="E40" i="5"/>
  <c r="F40" i="5"/>
  <c r="G40" i="5"/>
  <c r="H40" i="5"/>
  <c r="J40" i="5"/>
  <c r="K40" i="5"/>
  <c r="L40" i="5"/>
  <c r="D41" i="5"/>
  <c r="E41" i="5"/>
  <c r="F41" i="5"/>
  <c r="G41" i="5"/>
  <c r="H41" i="5"/>
  <c r="J41" i="5"/>
  <c r="K41" i="5"/>
  <c r="L41" i="5"/>
  <c r="D42" i="5"/>
  <c r="E42" i="5"/>
  <c r="F42" i="5"/>
  <c r="G42" i="5"/>
  <c r="H42" i="5"/>
  <c r="J42" i="5"/>
  <c r="K42" i="5"/>
  <c r="L42" i="5"/>
  <c r="D43" i="5"/>
  <c r="E43" i="5"/>
  <c r="F43" i="5"/>
  <c r="G43" i="5"/>
  <c r="H43" i="5"/>
  <c r="J43" i="5"/>
  <c r="K43" i="5"/>
  <c r="L43" i="5"/>
  <c r="D44" i="5"/>
  <c r="E44" i="5"/>
  <c r="F44" i="5"/>
  <c r="G44" i="5"/>
  <c r="H44" i="5"/>
  <c r="J44" i="5"/>
  <c r="K44" i="5"/>
  <c r="L44" i="5"/>
  <c r="D45" i="5"/>
  <c r="E45" i="5"/>
  <c r="F45" i="5"/>
  <c r="G45" i="5"/>
  <c r="H45" i="5"/>
  <c r="J45" i="5"/>
  <c r="K45" i="5"/>
  <c r="L45" i="5"/>
  <c r="D46" i="5"/>
  <c r="E46" i="5"/>
  <c r="F46" i="5"/>
  <c r="G46" i="5"/>
  <c r="H46" i="5"/>
  <c r="J46" i="5"/>
  <c r="K46" i="5"/>
  <c r="L46" i="5"/>
  <c r="D47" i="5"/>
  <c r="E47" i="5"/>
  <c r="F47" i="5"/>
  <c r="G47" i="5"/>
  <c r="H47" i="5"/>
  <c r="J47" i="5"/>
  <c r="K47" i="5"/>
  <c r="L47" i="5"/>
  <c r="D48" i="5"/>
  <c r="E48" i="5"/>
  <c r="F48" i="5"/>
  <c r="G48" i="5"/>
  <c r="H48" i="5"/>
  <c r="J48" i="5"/>
  <c r="K48" i="5"/>
  <c r="L48" i="5"/>
  <c r="D49" i="5"/>
  <c r="E49" i="5"/>
  <c r="F49" i="5"/>
  <c r="G49" i="5"/>
  <c r="H49" i="5"/>
  <c r="J49" i="5"/>
  <c r="K49" i="5"/>
  <c r="L49" i="5"/>
  <c r="D50" i="5"/>
  <c r="E50" i="5"/>
  <c r="F50" i="5"/>
  <c r="G50" i="5"/>
  <c r="H50" i="5"/>
  <c r="J50" i="5"/>
  <c r="K50" i="5"/>
  <c r="L50" i="5"/>
  <c r="D51" i="5"/>
  <c r="E51" i="5"/>
  <c r="F51" i="5"/>
  <c r="G51" i="5"/>
  <c r="H51" i="5"/>
  <c r="J51" i="5"/>
  <c r="K51" i="5"/>
  <c r="L51" i="5"/>
  <c r="D52" i="5"/>
  <c r="E52" i="5"/>
  <c r="F52" i="5"/>
  <c r="G52" i="5"/>
  <c r="H52" i="5"/>
  <c r="J52" i="5"/>
  <c r="K52" i="5"/>
  <c r="L52" i="5"/>
  <c r="D53" i="5"/>
  <c r="E53" i="5"/>
  <c r="F53" i="5"/>
  <c r="G53" i="5"/>
  <c r="H53" i="5"/>
  <c r="J53" i="5"/>
  <c r="K53" i="5"/>
  <c r="L53" i="5"/>
  <c r="D54" i="5"/>
  <c r="E54" i="5"/>
  <c r="F54" i="5"/>
  <c r="G54" i="5"/>
  <c r="H54" i="5"/>
  <c r="J54" i="5"/>
  <c r="K54" i="5"/>
  <c r="L54" i="5"/>
  <c r="D55" i="5"/>
  <c r="E55" i="5"/>
  <c r="F55" i="5"/>
  <c r="G55" i="5"/>
  <c r="H55" i="5"/>
  <c r="J55" i="5"/>
  <c r="K55" i="5"/>
  <c r="L55" i="5"/>
  <c r="D56" i="5"/>
  <c r="E56" i="5"/>
  <c r="F56" i="5"/>
  <c r="G56" i="5"/>
  <c r="H56" i="5"/>
  <c r="J56" i="5"/>
  <c r="K56" i="5"/>
  <c r="L56" i="5"/>
  <c r="D57" i="5"/>
  <c r="E57" i="5"/>
  <c r="F57" i="5"/>
  <c r="G57" i="5"/>
  <c r="H57" i="5"/>
  <c r="J57" i="5"/>
  <c r="K57" i="5"/>
  <c r="L57" i="5"/>
  <c r="D58" i="5"/>
  <c r="E58" i="5"/>
  <c r="F58" i="5"/>
  <c r="G58" i="5"/>
  <c r="H58" i="5"/>
  <c r="J58" i="5"/>
  <c r="K58" i="5"/>
  <c r="L58" i="5"/>
  <c r="D59" i="5"/>
  <c r="E59" i="5"/>
  <c r="F59" i="5"/>
  <c r="G59" i="5"/>
  <c r="H59" i="5"/>
  <c r="J59" i="5"/>
  <c r="K59" i="5"/>
  <c r="L59" i="5"/>
  <c r="D60" i="5"/>
  <c r="E60" i="5"/>
  <c r="F60" i="5"/>
  <c r="G60" i="5"/>
  <c r="H60" i="5"/>
  <c r="J60" i="5"/>
  <c r="K60" i="5"/>
  <c r="L60" i="5"/>
  <c r="D61" i="5"/>
  <c r="E61" i="5"/>
  <c r="F61" i="5"/>
  <c r="G61" i="5"/>
  <c r="H61" i="5"/>
  <c r="J61" i="5"/>
  <c r="K61" i="5"/>
  <c r="L61" i="5"/>
  <c r="D62" i="5"/>
  <c r="E62" i="5"/>
  <c r="F62" i="5"/>
  <c r="G62" i="5"/>
  <c r="H62" i="5"/>
  <c r="J62" i="5"/>
  <c r="K62" i="5"/>
  <c r="L62" i="5"/>
  <c r="D63" i="5"/>
  <c r="E63" i="5"/>
  <c r="F63" i="5"/>
  <c r="G63" i="5"/>
  <c r="H63" i="5"/>
  <c r="J63" i="5"/>
  <c r="K63" i="5"/>
  <c r="L63" i="5"/>
  <c r="D64" i="5"/>
  <c r="E64" i="5"/>
  <c r="F64" i="5"/>
  <c r="G64" i="5"/>
  <c r="H64" i="5"/>
  <c r="J64" i="5"/>
  <c r="K64" i="5"/>
  <c r="L64" i="5"/>
  <c r="D65" i="5"/>
  <c r="E65" i="5"/>
  <c r="F65" i="5"/>
  <c r="G65" i="5"/>
  <c r="H65" i="5"/>
  <c r="J65" i="5"/>
  <c r="K65" i="5"/>
  <c r="L65" i="5"/>
  <c r="D66" i="5"/>
  <c r="E66" i="5"/>
  <c r="F66" i="5"/>
  <c r="G66" i="5"/>
  <c r="H66" i="5"/>
  <c r="J66" i="5"/>
  <c r="K66" i="5"/>
  <c r="L66" i="5"/>
  <c r="D67" i="5"/>
  <c r="E67" i="5"/>
  <c r="F67" i="5"/>
  <c r="G67" i="5"/>
  <c r="H67" i="5"/>
  <c r="J67" i="5"/>
  <c r="K67" i="5"/>
  <c r="L67" i="5"/>
  <c r="D68" i="5"/>
  <c r="E68" i="5"/>
  <c r="F68" i="5"/>
  <c r="G68" i="5"/>
  <c r="H68" i="5"/>
  <c r="J68" i="5"/>
  <c r="K68" i="5"/>
  <c r="L68" i="5"/>
  <c r="D69" i="5"/>
  <c r="E69" i="5"/>
  <c r="F69" i="5"/>
  <c r="G69" i="5"/>
  <c r="H69" i="5"/>
  <c r="J69" i="5"/>
  <c r="K69" i="5"/>
  <c r="L69" i="5"/>
  <c r="D70" i="5"/>
  <c r="E70" i="5"/>
  <c r="F70" i="5"/>
  <c r="G70" i="5"/>
  <c r="H70" i="5"/>
  <c r="J70" i="5"/>
  <c r="K70" i="5"/>
  <c r="L70" i="5"/>
  <c r="D71" i="5"/>
  <c r="E71" i="5"/>
  <c r="F71" i="5"/>
  <c r="G71" i="5"/>
  <c r="H71" i="5"/>
  <c r="J71" i="5"/>
  <c r="K71" i="5"/>
  <c r="L71" i="5"/>
  <c r="D72" i="5"/>
  <c r="E72" i="5"/>
  <c r="F72" i="5"/>
  <c r="G72" i="5"/>
  <c r="H72" i="5"/>
  <c r="J72" i="5"/>
  <c r="K72" i="5"/>
  <c r="L72" i="5"/>
  <c r="D73" i="5"/>
  <c r="E73" i="5"/>
  <c r="F73" i="5"/>
  <c r="G73" i="5"/>
  <c r="H73" i="5"/>
  <c r="J73" i="5"/>
  <c r="K73" i="5"/>
  <c r="L73" i="5"/>
  <c r="D74" i="5"/>
  <c r="E74" i="5"/>
  <c r="F74" i="5"/>
  <c r="G74" i="5"/>
  <c r="H74" i="5"/>
  <c r="J74" i="5"/>
  <c r="K74" i="5"/>
  <c r="L74" i="5"/>
  <c r="D75" i="5"/>
  <c r="E75" i="5"/>
  <c r="F75" i="5"/>
  <c r="G75" i="5"/>
  <c r="H75" i="5"/>
  <c r="J75" i="5"/>
  <c r="K75" i="5"/>
  <c r="L75" i="5"/>
  <c r="D76" i="5"/>
  <c r="E76" i="5"/>
  <c r="F76" i="5"/>
  <c r="G76" i="5"/>
  <c r="H76" i="5"/>
  <c r="J76" i="5"/>
  <c r="K76" i="5"/>
  <c r="L76" i="5"/>
  <c r="D77" i="5"/>
  <c r="E77" i="5"/>
  <c r="F77" i="5"/>
  <c r="G77" i="5"/>
  <c r="H77" i="5"/>
  <c r="J77" i="5"/>
  <c r="K77" i="5"/>
  <c r="L77" i="5"/>
  <c r="D78" i="5"/>
  <c r="E78" i="5"/>
  <c r="F78" i="5"/>
  <c r="G78" i="5"/>
  <c r="H78" i="5"/>
  <c r="J78" i="5"/>
  <c r="K78" i="5"/>
  <c r="L78" i="5"/>
  <c r="D79" i="5"/>
  <c r="E79" i="5"/>
  <c r="F79" i="5"/>
  <c r="G79" i="5"/>
  <c r="H79" i="5"/>
  <c r="J79" i="5"/>
  <c r="K79" i="5"/>
  <c r="L79" i="5"/>
  <c r="D80" i="5"/>
  <c r="E80" i="5"/>
  <c r="F80" i="5"/>
  <c r="G80" i="5"/>
  <c r="H80" i="5"/>
  <c r="J80" i="5"/>
  <c r="K80" i="5"/>
  <c r="L80" i="5"/>
  <c r="D81" i="5"/>
  <c r="E81" i="5"/>
  <c r="F81" i="5"/>
  <c r="G81" i="5"/>
  <c r="H81" i="5"/>
  <c r="J81" i="5"/>
  <c r="K81" i="5"/>
  <c r="L81" i="5"/>
  <c r="D82" i="5"/>
  <c r="E82" i="5"/>
  <c r="F82" i="5"/>
  <c r="G82" i="5"/>
  <c r="H82" i="5"/>
  <c r="J82" i="5"/>
  <c r="K82" i="5"/>
  <c r="L82" i="5"/>
  <c r="D83" i="5"/>
  <c r="E83" i="5"/>
  <c r="F83" i="5"/>
  <c r="G83" i="5"/>
  <c r="H83" i="5"/>
  <c r="J83" i="5"/>
  <c r="K83" i="5"/>
  <c r="L83" i="5"/>
  <c r="D84" i="5"/>
  <c r="E84" i="5"/>
  <c r="F84" i="5"/>
  <c r="G84" i="5"/>
  <c r="H84" i="5"/>
  <c r="J84" i="5"/>
  <c r="K84" i="5"/>
  <c r="L84" i="5"/>
  <c r="D85" i="5"/>
  <c r="E85" i="5"/>
  <c r="F85" i="5"/>
  <c r="G85" i="5"/>
  <c r="H85" i="5"/>
  <c r="J85" i="5"/>
  <c r="K85" i="5"/>
  <c r="L85" i="5"/>
  <c r="D86" i="5"/>
  <c r="E86" i="5"/>
  <c r="F86" i="5"/>
  <c r="G86" i="5"/>
  <c r="H86" i="5"/>
  <c r="J86" i="5"/>
  <c r="K86" i="5"/>
  <c r="L86" i="5"/>
  <c r="D87" i="5"/>
  <c r="E87" i="5"/>
  <c r="F87" i="5"/>
  <c r="G87" i="5"/>
  <c r="H87" i="5"/>
  <c r="J87" i="5"/>
  <c r="K87" i="5"/>
  <c r="L87" i="5"/>
  <c r="D88" i="5"/>
  <c r="E88" i="5"/>
  <c r="F88" i="5"/>
  <c r="G88" i="5"/>
  <c r="H88" i="5"/>
  <c r="J88" i="5"/>
  <c r="K88" i="5"/>
  <c r="L88" i="5"/>
  <c r="D89" i="5"/>
  <c r="E89" i="5"/>
  <c r="F89" i="5"/>
  <c r="G89" i="5"/>
  <c r="H89" i="5"/>
  <c r="J89" i="5"/>
  <c r="K89" i="5"/>
  <c r="L89" i="5"/>
  <c r="D90" i="5"/>
  <c r="E90" i="5"/>
  <c r="F90" i="5"/>
  <c r="G90" i="5"/>
  <c r="H90" i="5"/>
  <c r="J90" i="5"/>
  <c r="K90" i="5"/>
  <c r="L90" i="5"/>
  <c r="D91" i="5"/>
  <c r="E91" i="5"/>
  <c r="F91" i="5"/>
  <c r="G91" i="5"/>
  <c r="H91" i="5"/>
  <c r="J91" i="5"/>
  <c r="K91" i="5"/>
  <c r="L91" i="5"/>
  <c r="D92" i="5"/>
  <c r="E92" i="5"/>
  <c r="F92" i="5"/>
  <c r="G92" i="5"/>
  <c r="H92" i="5"/>
  <c r="J92" i="5"/>
  <c r="K92" i="5"/>
  <c r="L92" i="5"/>
  <c r="D93" i="5"/>
  <c r="E93" i="5"/>
  <c r="F93" i="5"/>
  <c r="G93" i="5"/>
  <c r="H93" i="5"/>
  <c r="J93" i="5"/>
  <c r="K93" i="5"/>
  <c r="L93" i="5"/>
  <c r="D94" i="5"/>
  <c r="E94" i="5"/>
  <c r="F94" i="5"/>
  <c r="G94" i="5"/>
  <c r="H94" i="5"/>
  <c r="J94" i="5"/>
  <c r="K94" i="5"/>
  <c r="L94" i="5"/>
  <c r="D95" i="5"/>
  <c r="E95" i="5"/>
  <c r="F95" i="5"/>
  <c r="G95" i="5"/>
  <c r="H95" i="5"/>
  <c r="J95" i="5"/>
  <c r="K95" i="5"/>
  <c r="L95" i="5"/>
  <c r="D96" i="5"/>
  <c r="E96" i="5"/>
  <c r="F96" i="5"/>
  <c r="G96" i="5"/>
  <c r="H96" i="5"/>
  <c r="J96" i="5"/>
  <c r="K96" i="5"/>
  <c r="L96" i="5"/>
  <c r="D97" i="5"/>
  <c r="E97" i="5"/>
  <c r="F97" i="5"/>
  <c r="G97" i="5"/>
  <c r="H97" i="5"/>
  <c r="J97" i="5"/>
  <c r="K97" i="5"/>
  <c r="L97" i="5"/>
  <c r="D98" i="5"/>
  <c r="E98" i="5"/>
  <c r="F98" i="5"/>
  <c r="G98" i="5"/>
  <c r="H98" i="5"/>
  <c r="J98" i="5"/>
  <c r="K98" i="5"/>
  <c r="L98" i="5"/>
  <c r="D99" i="5"/>
  <c r="E99" i="5"/>
  <c r="F99" i="5"/>
  <c r="G99" i="5"/>
  <c r="H99" i="5"/>
  <c r="J99" i="5"/>
  <c r="K99" i="5"/>
  <c r="L99" i="5"/>
  <c r="D100" i="5"/>
  <c r="E100" i="5"/>
  <c r="F100" i="5"/>
  <c r="G100" i="5"/>
  <c r="H100" i="5"/>
  <c r="J100" i="5"/>
  <c r="K100" i="5"/>
  <c r="L100" i="5"/>
  <c r="D101" i="5"/>
  <c r="E101" i="5"/>
  <c r="F101" i="5"/>
  <c r="G101" i="5"/>
  <c r="H101" i="5"/>
  <c r="J101" i="5"/>
  <c r="K101" i="5"/>
  <c r="L101" i="5"/>
  <c r="D102" i="5"/>
  <c r="E102" i="5"/>
  <c r="F102" i="5"/>
  <c r="G102" i="5"/>
  <c r="H102" i="5"/>
  <c r="J102" i="5"/>
  <c r="K102" i="5"/>
  <c r="L102" i="5"/>
  <c r="D103" i="5"/>
  <c r="E103" i="5"/>
  <c r="F103" i="5"/>
  <c r="G103" i="5"/>
  <c r="H103" i="5"/>
  <c r="J103" i="5"/>
  <c r="K103" i="5"/>
  <c r="L103" i="5"/>
  <c r="D104" i="5"/>
  <c r="E104" i="5"/>
  <c r="F104" i="5"/>
  <c r="G104" i="5"/>
  <c r="H104" i="5"/>
  <c r="J104" i="5"/>
  <c r="K104" i="5"/>
  <c r="L104" i="5"/>
  <c r="D105" i="5"/>
  <c r="E105" i="5"/>
  <c r="F105" i="5"/>
  <c r="G105" i="5"/>
  <c r="H105" i="5"/>
  <c r="J105" i="5"/>
  <c r="K105" i="5"/>
  <c r="L105" i="5"/>
  <c r="D106" i="5"/>
  <c r="E106" i="5"/>
  <c r="F106" i="5"/>
  <c r="G106" i="5"/>
  <c r="H106" i="5"/>
  <c r="J106" i="5"/>
  <c r="K106" i="5"/>
  <c r="L106" i="5"/>
  <c r="D107" i="5"/>
  <c r="E107" i="5"/>
  <c r="F107" i="5"/>
  <c r="G107" i="5"/>
  <c r="H107" i="5"/>
  <c r="J107" i="5"/>
  <c r="K107" i="5"/>
  <c r="L107" i="5"/>
  <c r="D108" i="5"/>
  <c r="E108" i="5"/>
  <c r="F108" i="5"/>
  <c r="G108" i="5"/>
  <c r="H108" i="5"/>
  <c r="J108" i="5"/>
  <c r="K108" i="5"/>
  <c r="L108" i="5"/>
  <c r="D109" i="5"/>
  <c r="E109" i="5"/>
  <c r="F109" i="5"/>
  <c r="G109" i="5"/>
  <c r="H109" i="5"/>
  <c r="J109" i="5"/>
  <c r="K109" i="5"/>
  <c r="L109" i="5"/>
  <c r="D110" i="5"/>
  <c r="E110" i="5"/>
  <c r="F110" i="5"/>
  <c r="G110" i="5"/>
  <c r="H110" i="5"/>
  <c r="J110" i="5"/>
  <c r="K110" i="5"/>
  <c r="L110" i="5"/>
  <c r="D111" i="5"/>
  <c r="E111" i="5"/>
  <c r="F111" i="5"/>
  <c r="G111" i="5"/>
  <c r="H111" i="5"/>
  <c r="J111" i="5"/>
  <c r="K111" i="5"/>
  <c r="L111" i="5"/>
  <c r="D112" i="5"/>
  <c r="E112" i="5"/>
  <c r="F112" i="5"/>
  <c r="G112" i="5"/>
  <c r="H112" i="5"/>
  <c r="J112" i="5"/>
  <c r="K112" i="5"/>
  <c r="L112" i="5"/>
  <c r="D113" i="5"/>
  <c r="E113" i="5"/>
  <c r="F113" i="5"/>
  <c r="G113" i="5"/>
  <c r="H113" i="5"/>
  <c r="J113" i="5"/>
  <c r="K113" i="5"/>
  <c r="L113" i="5"/>
  <c r="D114" i="5"/>
  <c r="E114" i="5"/>
  <c r="F114" i="5"/>
  <c r="G114" i="5"/>
  <c r="H114" i="5"/>
  <c r="J114" i="5"/>
  <c r="K114" i="5"/>
  <c r="L114" i="5"/>
  <c r="D115" i="5"/>
  <c r="E115" i="5"/>
  <c r="F115" i="5"/>
  <c r="G115" i="5"/>
  <c r="H115" i="5"/>
  <c r="J115" i="5"/>
  <c r="K115" i="5"/>
  <c r="L115" i="5"/>
  <c r="D116" i="5"/>
  <c r="E116" i="5"/>
  <c r="F116" i="5"/>
  <c r="G116" i="5"/>
  <c r="H116" i="5"/>
  <c r="J116" i="5"/>
  <c r="K116" i="5"/>
  <c r="L116" i="5"/>
  <c r="D117" i="5"/>
  <c r="E117" i="5"/>
  <c r="F117" i="5"/>
  <c r="G117" i="5"/>
  <c r="H117" i="5"/>
  <c r="J117" i="5"/>
  <c r="K117" i="5"/>
  <c r="L117" i="5"/>
  <c r="D118" i="5"/>
  <c r="E118" i="5"/>
  <c r="F118" i="5"/>
  <c r="G118" i="5"/>
  <c r="H118" i="5"/>
  <c r="J118" i="5"/>
  <c r="K118" i="5"/>
  <c r="L118" i="5"/>
  <c r="D119" i="5"/>
  <c r="E119" i="5"/>
  <c r="F119" i="5"/>
  <c r="G119" i="5"/>
  <c r="H119" i="5"/>
  <c r="J119" i="5"/>
  <c r="K119" i="5"/>
  <c r="L119" i="5"/>
  <c r="D120" i="5"/>
  <c r="E120" i="5"/>
  <c r="F120" i="5"/>
  <c r="G120" i="5"/>
  <c r="H120" i="5"/>
  <c r="J120" i="5"/>
  <c r="K120" i="5"/>
  <c r="L120" i="5"/>
  <c r="D121" i="5"/>
  <c r="E121" i="5"/>
  <c r="F121" i="5"/>
  <c r="G121" i="5"/>
  <c r="H121" i="5"/>
  <c r="J121" i="5"/>
  <c r="K121" i="5"/>
  <c r="L121" i="5"/>
  <c r="D122" i="5"/>
  <c r="E122" i="5"/>
  <c r="F122" i="5"/>
  <c r="G122" i="5"/>
  <c r="H122" i="5"/>
  <c r="J122" i="5"/>
  <c r="K122" i="5"/>
  <c r="L122" i="5"/>
  <c r="D123" i="5"/>
  <c r="E123" i="5"/>
  <c r="F123" i="5"/>
  <c r="G123" i="5"/>
  <c r="H123" i="5"/>
  <c r="J123" i="5"/>
  <c r="K123" i="5"/>
  <c r="L123" i="5"/>
  <c r="D124" i="5"/>
  <c r="E124" i="5"/>
  <c r="F124" i="5"/>
  <c r="G124" i="5"/>
  <c r="H124" i="5"/>
  <c r="J124" i="5"/>
  <c r="K124" i="5"/>
  <c r="L124" i="5"/>
  <c r="D125" i="5"/>
  <c r="E125" i="5"/>
  <c r="F125" i="5"/>
  <c r="G125" i="5"/>
  <c r="H125" i="5"/>
  <c r="J125" i="5"/>
  <c r="K125" i="5"/>
  <c r="L125" i="5"/>
  <c r="D126" i="5"/>
  <c r="E126" i="5"/>
  <c r="F126" i="5"/>
  <c r="G126" i="5"/>
  <c r="H126" i="5"/>
  <c r="J126" i="5"/>
  <c r="K126" i="5"/>
  <c r="L126" i="5"/>
  <c r="D127" i="5"/>
  <c r="E127" i="5"/>
  <c r="F127" i="5"/>
  <c r="G127" i="5"/>
  <c r="H127" i="5"/>
  <c r="J127" i="5"/>
  <c r="K127" i="5"/>
  <c r="L127" i="5"/>
  <c r="D128" i="5"/>
  <c r="E128" i="5"/>
  <c r="F128" i="5"/>
  <c r="G128" i="5"/>
  <c r="H128" i="5"/>
  <c r="J128" i="5"/>
  <c r="K128" i="5"/>
  <c r="L128" i="5"/>
  <c r="D129" i="5"/>
  <c r="E129" i="5"/>
  <c r="F129" i="5"/>
  <c r="G129" i="5"/>
  <c r="H129" i="5"/>
  <c r="J129" i="5"/>
  <c r="K129" i="5"/>
  <c r="L129" i="5"/>
  <c r="D130" i="5"/>
  <c r="E130" i="5"/>
  <c r="F130" i="5"/>
  <c r="G130" i="5"/>
  <c r="H130" i="5"/>
  <c r="J130" i="5"/>
  <c r="K130" i="5"/>
  <c r="L130" i="5"/>
  <c r="D131" i="5"/>
  <c r="E131" i="5"/>
  <c r="F131" i="5"/>
  <c r="G131" i="5"/>
  <c r="H131" i="5"/>
  <c r="J131" i="5"/>
  <c r="K131" i="5"/>
  <c r="L131" i="5"/>
  <c r="D132" i="5"/>
  <c r="E132" i="5"/>
  <c r="F132" i="5"/>
  <c r="G132" i="5"/>
  <c r="H132" i="5"/>
  <c r="J132" i="5"/>
  <c r="K132" i="5"/>
  <c r="L132" i="5"/>
  <c r="D133" i="5"/>
  <c r="E133" i="5"/>
  <c r="F133" i="5"/>
  <c r="G133" i="5"/>
  <c r="H133" i="5"/>
  <c r="J133" i="5"/>
  <c r="K133" i="5"/>
  <c r="L133" i="5"/>
  <c r="D134" i="5"/>
  <c r="E134" i="5"/>
  <c r="F134" i="5"/>
  <c r="G134" i="5"/>
  <c r="H134" i="5"/>
  <c r="J134" i="5"/>
  <c r="K134" i="5"/>
  <c r="L134" i="5"/>
  <c r="D135" i="5"/>
  <c r="E135" i="5"/>
  <c r="F135" i="5"/>
  <c r="G135" i="5"/>
  <c r="H135" i="5"/>
  <c r="J135" i="5"/>
  <c r="K135" i="5"/>
  <c r="L135" i="5"/>
  <c r="D136" i="5"/>
  <c r="E136" i="5"/>
  <c r="F136" i="5"/>
  <c r="G136" i="5"/>
  <c r="H136" i="5"/>
  <c r="J136" i="5"/>
  <c r="K136" i="5"/>
  <c r="L136" i="5"/>
  <c r="D137" i="5"/>
  <c r="E137" i="5"/>
  <c r="F137" i="5"/>
  <c r="G137" i="5"/>
  <c r="H137" i="5"/>
  <c r="J137" i="5"/>
  <c r="K137" i="5"/>
  <c r="L137" i="5"/>
  <c r="D138" i="5"/>
  <c r="E138" i="5"/>
  <c r="F138" i="5"/>
  <c r="G138" i="5"/>
  <c r="H138" i="5"/>
  <c r="J138" i="5"/>
  <c r="K138" i="5"/>
  <c r="L138" i="5"/>
  <c r="D139" i="5"/>
  <c r="E139" i="5"/>
  <c r="F139" i="5"/>
  <c r="G139" i="5"/>
  <c r="H139" i="5"/>
  <c r="J139" i="5"/>
  <c r="K139" i="5"/>
  <c r="L139" i="5"/>
  <c r="D140" i="5"/>
  <c r="E140" i="5"/>
  <c r="F140" i="5"/>
  <c r="G140" i="5"/>
  <c r="H140" i="5"/>
  <c r="J140" i="5"/>
  <c r="K140" i="5"/>
  <c r="L140" i="5"/>
  <c r="D141" i="5"/>
  <c r="E141" i="5"/>
  <c r="F141" i="5"/>
  <c r="G141" i="5"/>
  <c r="H141" i="5"/>
  <c r="J141" i="5"/>
  <c r="K141" i="5"/>
  <c r="L141" i="5"/>
  <c r="D142" i="5"/>
  <c r="E142" i="5"/>
  <c r="F142" i="5"/>
  <c r="G142" i="5"/>
  <c r="H142" i="5"/>
  <c r="J142" i="5"/>
  <c r="K142" i="5"/>
  <c r="L142" i="5"/>
  <c r="D143" i="5"/>
  <c r="E143" i="5"/>
  <c r="F143" i="5"/>
  <c r="G143" i="5"/>
  <c r="H143" i="5"/>
  <c r="J143" i="5"/>
  <c r="K143" i="5"/>
  <c r="L143" i="5"/>
  <c r="D144" i="5"/>
  <c r="E144" i="5"/>
  <c r="F144" i="5"/>
  <c r="G144" i="5"/>
  <c r="H144" i="5"/>
  <c r="J144" i="5"/>
  <c r="K144" i="5"/>
  <c r="L144" i="5"/>
  <c r="D145" i="5"/>
  <c r="E145" i="5"/>
  <c r="F145" i="5"/>
  <c r="G145" i="5"/>
  <c r="H145" i="5"/>
  <c r="J145" i="5"/>
  <c r="K145" i="5"/>
  <c r="L145" i="5"/>
  <c r="D146" i="5"/>
  <c r="E146" i="5"/>
  <c r="F146" i="5"/>
  <c r="G146" i="5"/>
  <c r="H146" i="5"/>
  <c r="J146" i="5"/>
  <c r="K146" i="5"/>
  <c r="L146" i="5"/>
  <c r="D147" i="5"/>
  <c r="E147" i="5"/>
  <c r="F147" i="5"/>
  <c r="G147" i="5"/>
  <c r="H147" i="5"/>
  <c r="J147" i="5"/>
  <c r="K147" i="5"/>
  <c r="L147" i="5"/>
  <c r="D148" i="5"/>
  <c r="E148" i="5"/>
  <c r="F148" i="5"/>
  <c r="G148" i="5"/>
  <c r="H148" i="5"/>
  <c r="J148" i="5"/>
  <c r="K148" i="5"/>
  <c r="L148" i="5"/>
  <c r="D149" i="5"/>
  <c r="E149" i="5"/>
  <c r="F149" i="5"/>
  <c r="G149" i="5"/>
  <c r="H149" i="5"/>
  <c r="J149" i="5"/>
  <c r="K149" i="5"/>
  <c r="L149" i="5"/>
  <c r="D150" i="5"/>
  <c r="E150" i="5"/>
  <c r="F150" i="5"/>
  <c r="G150" i="5"/>
  <c r="H150" i="5"/>
  <c r="J150" i="5"/>
  <c r="K150" i="5"/>
  <c r="L150" i="5"/>
  <c r="D151" i="5"/>
  <c r="E151" i="5"/>
  <c r="F151" i="5"/>
  <c r="G151" i="5"/>
  <c r="H151" i="5"/>
  <c r="J151" i="5"/>
  <c r="K151" i="5"/>
  <c r="L151" i="5"/>
  <c r="D152" i="5"/>
  <c r="E152" i="5"/>
  <c r="F152" i="5"/>
  <c r="G152" i="5"/>
  <c r="H152" i="5"/>
  <c r="J152" i="5"/>
  <c r="K152" i="5"/>
  <c r="L152" i="5"/>
  <c r="D153" i="5"/>
  <c r="E153" i="5"/>
  <c r="F153" i="5"/>
  <c r="G153" i="5"/>
  <c r="H153" i="5"/>
  <c r="J153" i="5"/>
  <c r="K153" i="5"/>
  <c r="L153" i="5"/>
  <c r="D154" i="5"/>
  <c r="E154" i="5"/>
  <c r="F154" i="5"/>
  <c r="G154" i="5"/>
  <c r="H154" i="5"/>
  <c r="J154" i="5"/>
  <c r="K154" i="5"/>
  <c r="L154" i="5"/>
  <c r="D155" i="5"/>
  <c r="E155" i="5"/>
  <c r="F155" i="5"/>
  <c r="G155" i="5"/>
  <c r="H155" i="5"/>
  <c r="J155" i="5"/>
  <c r="K155" i="5"/>
  <c r="L155" i="5"/>
  <c r="D156" i="5"/>
  <c r="E156" i="5"/>
  <c r="F156" i="5"/>
  <c r="G156" i="5"/>
  <c r="H156" i="5"/>
  <c r="J156" i="5"/>
  <c r="K156" i="5"/>
  <c r="L156" i="5"/>
  <c r="D157" i="5"/>
  <c r="E157" i="5"/>
  <c r="F157" i="5"/>
  <c r="G157" i="5"/>
  <c r="H157" i="5"/>
  <c r="J157" i="5"/>
  <c r="K157" i="5"/>
  <c r="L157" i="5"/>
  <c r="D158" i="5"/>
  <c r="E158" i="5"/>
  <c r="F158" i="5"/>
  <c r="G158" i="5"/>
  <c r="H158" i="5"/>
  <c r="J158" i="5"/>
  <c r="K158" i="5"/>
  <c r="L158" i="5"/>
  <c r="D159" i="5"/>
  <c r="E159" i="5"/>
  <c r="F159" i="5"/>
  <c r="G159" i="5"/>
  <c r="H159" i="5"/>
  <c r="J159" i="5"/>
  <c r="K159" i="5"/>
  <c r="L159" i="5"/>
  <c r="D160" i="5"/>
  <c r="E160" i="5"/>
  <c r="F160" i="5"/>
  <c r="G160" i="5"/>
  <c r="H160" i="5"/>
  <c r="J160" i="5"/>
  <c r="K160" i="5"/>
  <c r="L160" i="5"/>
  <c r="D161" i="5"/>
  <c r="E161" i="5"/>
  <c r="F161" i="5"/>
  <c r="G161" i="5"/>
  <c r="H161" i="5"/>
  <c r="J161" i="5"/>
  <c r="K161" i="5"/>
  <c r="L161" i="5"/>
  <c r="D162" i="5"/>
  <c r="E162" i="5"/>
  <c r="F162" i="5"/>
  <c r="G162" i="5"/>
  <c r="H162" i="5"/>
  <c r="J162" i="5"/>
  <c r="K162" i="5"/>
  <c r="L162" i="5"/>
  <c r="D163" i="5"/>
  <c r="E163" i="5"/>
  <c r="F163" i="5"/>
  <c r="G163" i="5"/>
  <c r="H163" i="5"/>
  <c r="J163" i="5"/>
  <c r="K163" i="5"/>
  <c r="L163" i="5"/>
  <c r="D164" i="5"/>
  <c r="E164" i="5"/>
  <c r="F164" i="5"/>
  <c r="G164" i="5"/>
  <c r="H164" i="5"/>
  <c r="J164" i="5"/>
  <c r="K164" i="5"/>
  <c r="L164" i="5"/>
  <c r="D165" i="5"/>
  <c r="E165" i="5"/>
  <c r="F165" i="5"/>
  <c r="G165" i="5"/>
  <c r="H165" i="5"/>
  <c r="J165" i="5"/>
  <c r="K165" i="5"/>
  <c r="L165" i="5"/>
  <c r="D166" i="5"/>
  <c r="E166" i="5"/>
  <c r="F166" i="5"/>
  <c r="G166" i="5"/>
  <c r="H166" i="5"/>
  <c r="J166" i="5"/>
  <c r="K166" i="5"/>
  <c r="L166" i="5"/>
  <c r="D167" i="5"/>
  <c r="E167" i="5"/>
  <c r="F167" i="5"/>
  <c r="G167" i="5"/>
  <c r="H167" i="5"/>
  <c r="J167" i="5"/>
  <c r="K167" i="5"/>
  <c r="L167" i="5"/>
  <c r="D168" i="5"/>
  <c r="E168" i="5"/>
  <c r="F168" i="5"/>
  <c r="G168" i="5"/>
  <c r="H168" i="5"/>
  <c r="J168" i="5"/>
  <c r="K168" i="5"/>
  <c r="L168" i="5"/>
  <c r="D169" i="5"/>
  <c r="E169" i="5"/>
  <c r="F169" i="5"/>
  <c r="G169" i="5"/>
  <c r="H169" i="5"/>
  <c r="J169" i="5"/>
  <c r="K169" i="5"/>
  <c r="L169" i="5"/>
  <c r="D170" i="5"/>
  <c r="E170" i="5"/>
  <c r="F170" i="5"/>
  <c r="G170" i="5"/>
  <c r="H170" i="5"/>
  <c r="J170" i="5"/>
  <c r="K170" i="5"/>
  <c r="L170" i="5"/>
  <c r="D171" i="5"/>
  <c r="E171" i="5"/>
  <c r="F171" i="5"/>
  <c r="G171" i="5"/>
  <c r="H171" i="5"/>
  <c r="J171" i="5"/>
  <c r="K171" i="5"/>
  <c r="L171" i="5"/>
  <c r="D172" i="5"/>
  <c r="E172" i="5"/>
  <c r="F172" i="5"/>
  <c r="G172" i="5"/>
  <c r="H172" i="5"/>
  <c r="J172" i="5"/>
  <c r="K172" i="5"/>
  <c r="L172" i="5"/>
  <c r="D173" i="5"/>
  <c r="E173" i="5"/>
  <c r="F173" i="5"/>
  <c r="G173" i="5"/>
  <c r="H173" i="5"/>
  <c r="J173" i="5"/>
  <c r="K173" i="5"/>
  <c r="L173" i="5"/>
  <c r="D174" i="5"/>
  <c r="E174" i="5"/>
  <c r="F174" i="5"/>
  <c r="G174" i="5"/>
  <c r="H174" i="5"/>
  <c r="J174" i="5"/>
  <c r="K174" i="5"/>
  <c r="L174" i="5"/>
  <c r="D175" i="5"/>
  <c r="E175" i="5"/>
  <c r="F175" i="5"/>
  <c r="G175" i="5"/>
  <c r="H175" i="5"/>
  <c r="J175" i="5"/>
  <c r="K175" i="5"/>
  <c r="L175" i="5"/>
  <c r="D176" i="5"/>
  <c r="E176" i="5"/>
  <c r="F176" i="5"/>
  <c r="G176" i="5"/>
  <c r="H176" i="5"/>
  <c r="J176" i="5"/>
  <c r="K176" i="5"/>
  <c r="L176" i="5"/>
  <c r="D177" i="5"/>
  <c r="E177" i="5"/>
  <c r="F177" i="5"/>
  <c r="G177" i="5"/>
  <c r="H177" i="5"/>
  <c r="J177" i="5"/>
  <c r="K177" i="5"/>
  <c r="L177" i="5"/>
  <c r="D178" i="5"/>
  <c r="E178" i="5"/>
  <c r="F178" i="5"/>
  <c r="G178" i="5"/>
  <c r="H178" i="5"/>
  <c r="J178" i="5"/>
  <c r="K178" i="5"/>
  <c r="L178" i="5"/>
  <c r="D179" i="5"/>
  <c r="E179" i="5"/>
  <c r="F179" i="5"/>
  <c r="G179" i="5"/>
  <c r="H179" i="5"/>
  <c r="J179" i="5"/>
  <c r="K179" i="5"/>
  <c r="L179" i="5"/>
  <c r="D180" i="5"/>
  <c r="E180" i="5"/>
  <c r="F180" i="5"/>
  <c r="G180" i="5"/>
  <c r="H180" i="5"/>
  <c r="J180" i="5"/>
  <c r="K180" i="5"/>
  <c r="L180" i="5"/>
  <c r="D181" i="5"/>
  <c r="E181" i="5"/>
  <c r="F181" i="5"/>
  <c r="G181" i="5"/>
  <c r="H181" i="5"/>
  <c r="J181" i="5"/>
  <c r="K181" i="5"/>
  <c r="L181" i="5"/>
  <c r="D182" i="5"/>
  <c r="E182" i="5"/>
  <c r="F182" i="5"/>
  <c r="G182" i="5"/>
  <c r="H182" i="5"/>
  <c r="J182" i="5"/>
  <c r="K182" i="5"/>
  <c r="L182" i="5"/>
  <c r="D183" i="5"/>
  <c r="E183" i="5"/>
  <c r="F183" i="5"/>
  <c r="G183" i="5"/>
  <c r="H183" i="5"/>
  <c r="J183" i="5"/>
  <c r="K183" i="5"/>
  <c r="L183" i="5"/>
  <c r="D184" i="5"/>
  <c r="E184" i="5"/>
  <c r="F184" i="5"/>
  <c r="G184" i="5"/>
  <c r="H184" i="5"/>
  <c r="J184" i="5"/>
  <c r="K184" i="5"/>
  <c r="L184" i="5"/>
  <c r="D185" i="5"/>
  <c r="E185" i="5"/>
  <c r="F185" i="5"/>
  <c r="G185" i="5"/>
  <c r="H185" i="5"/>
  <c r="J185" i="5"/>
  <c r="K185" i="5"/>
  <c r="L185" i="5"/>
  <c r="D186" i="5"/>
  <c r="E186" i="5"/>
  <c r="F186" i="5"/>
  <c r="G186" i="5"/>
  <c r="H186" i="5"/>
  <c r="J186" i="5"/>
  <c r="K186" i="5"/>
  <c r="L186" i="5"/>
  <c r="D187" i="5"/>
  <c r="E187" i="5"/>
  <c r="F187" i="5"/>
  <c r="G187" i="5"/>
  <c r="H187" i="5"/>
  <c r="J187" i="5"/>
  <c r="K187" i="5"/>
  <c r="L187" i="5"/>
  <c r="D188" i="5"/>
  <c r="E188" i="5"/>
  <c r="F188" i="5"/>
  <c r="G188" i="5"/>
  <c r="H188" i="5"/>
  <c r="J188" i="5"/>
  <c r="K188" i="5"/>
  <c r="L188" i="5"/>
  <c r="D189" i="5"/>
  <c r="E189" i="5"/>
  <c r="F189" i="5"/>
  <c r="G189" i="5"/>
  <c r="H189" i="5"/>
  <c r="J189" i="5"/>
  <c r="K189" i="5"/>
  <c r="L189" i="5"/>
  <c r="D190" i="5"/>
  <c r="E190" i="5"/>
  <c r="F190" i="5"/>
  <c r="G190" i="5"/>
  <c r="H190" i="5"/>
  <c r="J190" i="5"/>
  <c r="K190" i="5"/>
  <c r="L190" i="5"/>
  <c r="D191" i="5"/>
  <c r="E191" i="5"/>
  <c r="F191" i="5"/>
  <c r="G191" i="5"/>
  <c r="H191" i="5"/>
  <c r="J191" i="5"/>
  <c r="K191" i="5"/>
  <c r="L191" i="5"/>
  <c r="D192" i="5"/>
  <c r="E192" i="5"/>
  <c r="F192" i="5"/>
  <c r="G192" i="5"/>
  <c r="H192" i="5"/>
  <c r="J192" i="5"/>
  <c r="K192" i="5"/>
  <c r="L192" i="5"/>
  <c r="D193" i="5"/>
  <c r="E193" i="5"/>
  <c r="F193" i="5"/>
  <c r="G193" i="5"/>
  <c r="H193" i="5"/>
  <c r="J193" i="5"/>
  <c r="K193" i="5"/>
  <c r="L193" i="5"/>
  <c r="D194" i="5"/>
  <c r="E194" i="5"/>
  <c r="F194" i="5"/>
  <c r="G194" i="5"/>
  <c r="H194" i="5"/>
  <c r="J194" i="5"/>
  <c r="K194" i="5"/>
  <c r="L194" i="5"/>
  <c r="D195" i="5"/>
  <c r="E195" i="5"/>
  <c r="F195" i="5"/>
  <c r="G195" i="5"/>
  <c r="H195" i="5"/>
  <c r="J195" i="5"/>
  <c r="K195" i="5"/>
  <c r="L195" i="5"/>
  <c r="D196" i="5"/>
  <c r="E196" i="5"/>
  <c r="F196" i="5"/>
  <c r="G196" i="5"/>
  <c r="H196" i="5"/>
  <c r="J196" i="5"/>
  <c r="K196" i="5"/>
  <c r="L196" i="5"/>
  <c r="D197" i="5"/>
  <c r="E197" i="5"/>
  <c r="F197" i="5"/>
  <c r="G197" i="5"/>
  <c r="H197" i="5"/>
  <c r="J197" i="5"/>
  <c r="K197" i="5"/>
  <c r="L197" i="5"/>
  <c r="D198" i="5"/>
  <c r="E198" i="5"/>
  <c r="F198" i="5"/>
  <c r="G198" i="5"/>
  <c r="H198" i="5"/>
  <c r="J198" i="5"/>
  <c r="K198" i="5"/>
  <c r="L198" i="5"/>
  <c r="D199" i="5"/>
  <c r="E199" i="5"/>
  <c r="F199" i="5"/>
  <c r="G199" i="5"/>
  <c r="H199" i="5"/>
  <c r="J199" i="5"/>
  <c r="K199" i="5"/>
  <c r="L199" i="5"/>
  <c r="D200" i="5"/>
  <c r="E200" i="5"/>
  <c r="F200" i="5"/>
  <c r="G200" i="5"/>
  <c r="H200" i="5"/>
  <c r="J200" i="5"/>
  <c r="K200" i="5"/>
  <c r="L200" i="5"/>
  <c r="D201" i="5"/>
  <c r="E201" i="5"/>
  <c r="F201" i="5"/>
  <c r="G201" i="5"/>
  <c r="H201" i="5"/>
  <c r="J201" i="5"/>
  <c r="K201" i="5"/>
  <c r="L201" i="5"/>
  <c r="D202" i="5"/>
  <c r="E202" i="5"/>
  <c r="F202" i="5"/>
  <c r="G202" i="5"/>
  <c r="H202" i="5"/>
  <c r="J202" i="5"/>
  <c r="K202" i="5"/>
  <c r="L202" i="5"/>
  <c r="D203" i="5"/>
  <c r="E203" i="5"/>
  <c r="F203" i="5"/>
  <c r="G203" i="5"/>
  <c r="H203" i="5"/>
  <c r="J203" i="5"/>
  <c r="K203" i="5"/>
  <c r="L203" i="5"/>
  <c r="D204" i="5"/>
  <c r="E204" i="5"/>
  <c r="F204" i="5"/>
  <c r="G204" i="5"/>
  <c r="H204" i="5"/>
  <c r="J204" i="5"/>
  <c r="K204" i="5"/>
  <c r="L204" i="5"/>
  <c r="D205" i="5"/>
  <c r="E205" i="5"/>
  <c r="F205" i="5"/>
  <c r="G205" i="5"/>
  <c r="H205" i="5"/>
  <c r="J205" i="5"/>
  <c r="K205" i="5"/>
  <c r="L205" i="5"/>
  <c r="D206" i="5"/>
  <c r="E206" i="5"/>
  <c r="F206" i="5"/>
  <c r="G206" i="5"/>
  <c r="H206" i="5"/>
  <c r="J206" i="5"/>
  <c r="K206" i="5"/>
  <c r="L206" i="5"/>
  <c r="D207" i="5"/>
  <c r="E207" i="5"/>
  <c r="F207" i="5"/>
  <c r="G207" i="5"/>
  <c r="H207" i="5"/>
  <c r="J207" i="5"/>
  <c r="K207" i="5"/>
  <c r="L207" i="5"/>
  <c r="D208" i="5"/>
  <c r="E208" i="5"/>
  <c r="F208" i="5"/>
  <c r="G208" i="5"/>
  <c r="H208" i="5"/>
  <c r="J208" i="5"/>
  <c r="K208" i="5"/>
  <c r="L208" i="5"/>
  <c r="D209" i="5"/>
  <c r="E209" i="5"/>
  <c r="F209" i="5"/>
  <c r="G209" i="5"/>
  <c r="H209" i="5"/>
  <c r="J209" i="5"/>
  <c r="K209" i="5"/>
  <c r="L209" i="5"/>
  <c r="D210" i="5"/>
  <c r="E210" i="5"/>
  <c r="F210" i="5"/>
  <c r="G210" i="5"/>
  <c r="H210" i="5"/>
  <c r="J210" i="5"/>
  <c r="K210" i="5"/>
  <c r="L210" i="5"/>
  <c r="D211" i="5"/>
  <c r="E211" i="5"/>
  <c r="F211" i="5"/>
  <c r="G211" i="5"/>
  <c r="H211" i="5"/>
  <c r="J211" i="5"/>
  <c r="K211" i="5"/>
  <c r="L211" i="5"/>
  <c r="D212" i="5"/>
  <c r="E212" i="5"/>
  <c r="F212" i="5"/>
  <c r="G212" i="5"/>
  <c r="H212" i="5"/>
  <c r="J212" i="5"/>
  <c r="K212" i="5"/>
  <c r="L212" i="5"/>
  <c r="D213" i="5"/>
  <c r="E213" i="5"/>
  <c r="F213" i="5"/>
  <c r="G213" i="5"/>
  <c r="H213" i="5"/>
  <c r="J213" i="5"/>
  <c r="K213" i="5"/>
  <c r="L213" i="5"/>
  <c r="D214" i="5"/>
  <c r="E214" i="5"/>
  <c r="F214" i="5"/>
  <c r="G214" i="5"/>
  <c r="H214" i="5"/>
  <c r="J214" i="5"/>
  <c r="K214" i="5"/>
  <c r="L214" i="5"/>
  <c r="D215" i="5"/>
  <c r="E215" i="5"/>
  <c r="F215" i="5"/>
  <c r="G215" i="5"/>
  <c r="H215" i="5"/>
  <c r="J215" i="5"/>
  <c r="K215" i="5"/>
  <c r="L215" i="5"/>
  <c r="D216" i="5"/>
  <c r="E216" i="5"/>
  <c r="F216" i="5"/>
  <c r="G216" i="5"/>
  <c r="H216" i="5"/>
  <c r="J216" i="5"/>
  <c r="K216" i="5"/>
  <c r="L216" i="5"/>
  <c r="D217" i="5"/>
  <c r="E217" i="5"/>
  <c r="F217" i="5"/>
  <c r="G217" i="5"/>
  <c r="H217" i="5"/>
  <c r="J217" i="5"/>
  <c r="K217" i="5"/>
  <c r="L217" i="5"/>
  <c r="D218" i="5"/>
  <c r="E218" i="5"/>
  <c r="F218" i="5"/>
  <c r="G218" i="5"/>
  <c r="H218" i="5"/>
  <c r="J218" i="5"/>
  <c r="K218" i="5"/>
  <c r="L218" i="5"/>
  <c r="D219" i="5"/>
  <c r="E219" i="5"/>
  <c r="F219" i="5"/>
  <c r="G219" i="5"/>
  <c r="H219" i="5"/>
  <c r="J219" i="5"/>
  <c r="K219" i="5"/>
  <c r="L219" i="5"/>
  <c r="D220" i="5"/>
  <c r="E220" i="5"/>
  <c r="F220" i="5"/>
  <c r="G220" i="5"/>
  <c r="H220" i="5"/>
  <c r="J220" i="5"/>
  <c r="K220" i="5"/>
  <c r="L220" i="5"/>
  <c r="D221" i="5"/>
  <c r="E221" i="5"/>
  <c r="F221" i="5"/>
  <c r="G221" i="5"/>
  <c r="H221" i="5"/>
  <c r="J221" i="5"/>
  <c r="K221" i="5"/>
  <c r="L221" i="5"/>
  <c r="D222" i="5"/>
  <c r="E222" i="5"/>
  <c r="F222" i="5"/>
  <c r="G222" i="5"/>
  <c r="H222" i="5"/>
  <c r="J222" i="5"/>
  <c r="K222" i="5"/>
  <c r="L222" i="5"/>
  <c r="D223" i="5"/>
  <c r="E223" i="5"/>
  <c r="F223" i="5"/>
  <c r="G223" i="5"/>
  <c r="H223" i="5"/>
  <c r="J223" i="5"/>
  <c r="K223" i="5"/>
  <c r="L223" i="5"/>
  <c r="D224" i="5"/>
  <c r="E224" i="5"/>
  <c r="F224" i="5"/>
  <c r="G224" i="5"/>
  <c r="H224" i="5"/>
  <c r="J224" i="5"/>
  <c r="K224" i="5"/>
  <c r="L224" i="5"/>
  <c r="D225" i="5"/>
  <c r="E225" i="5"/>
  <c r="F225" i="5"/>
  <c r="G225" i="5"/>
  <c r="H225" i="5"/>
  <c r="J225" i="5"/>
  <c r="K225" i="5"/>
  <c r="L225" i="5"/>
  <c r="D226" i="5"/>
  <c r="E226" i="5"/>
  <c r="F226" i="5"/>
  <c r="G226" i="5"/>
  <c r="H226" i="5"/>
  <c r="J226" i="5"/>
  <c r="K226" i="5"/>
  <c r="L226" i="5"/>
  <c r="D227" i="5"/>
  <c r="E227" i="5"/>
  <c r="F227" i="5"/>
  <c r="G227" i="5"/>
  <c r="H227" i="5"/>
  <c r="J227" i="5"/>
  <c r="K227" i="5"/>
  <c r="L227" i="5"/>
  <c r="D228" i="5"/>
  <c r="E228" i="5"/>
  <c r="F228" i="5"/>
  <c r="G228" i="5"/>
  <c r="H228" i="5"/>
  <c r="J228" i="5"/>
  <c r="K228" i="5"/>
  <c r="L228" i="5"/>
  <c r="D229" i="5"/>
  <c r="E229" i="5"/>
  <c r="F229" i="5"/>
  <c r="G229" i="5"/>
  <c r="H229" i="5"/>
  <c r="J229" i="5"/>
  <c r="K229" i="5"/>
  <c r="L229" i="5"/>
  <c r="D230" i="5"/>
  <c r="E230" i="5"/>
  <c r="F230" i="5"/>
  <c r="G230" i="5"/>
  <c r="H230" i="5"/>
  <c r="J230" i="5"/>
  <c r="K230" i="5"/>
  <c r="L230" i="5"/>
  <c r="D231" i="5"/>
  <c r="E231" i="5"/>
  <c r="F231" i="5"/>
  <c r="G231" i="5"/>
  <c r="H231" i="5"/>
  <c r="J231" i="5"/>
  <c r="K231" i="5"/>
  <c r="L231" i="5"/>
  <c r="D232" i="5"/>
  <c r="E232" i="5"/>
  <c r="F232" i="5"/>
  <c r="G232" i="5"/>
  <c r="H232" i="5"/>
  <c r="J232" i="5"/>
  <c r="K232" i="5"/>
  <c r="L232" i="5"/>
  <c r="D233" i="5"/>
  <c r="E233" i="5"/>
  <c r="F233" i="5"/>
  <c r="G233" i="5"/>
  <c r="H233" i="5"/>
  <c r="J233" i="5"/>
  <c r="K233" i="5"/>
  <c r="L233" i="5"/>
  <c r="D234" i="5"/>
  <c r="E234" i="5"/>
  <c r="F234" i="5"/>
  <c r="G234" i="5"/>
  <c r="H234" i="5"/>
  <c r="J234" i="5"/>
  <c r="K234" i="5"/>
  <c r="L234" i="5"/>
  <c r="D235" i="5"/>
  <c r="E235" i="5"/>
  <c r="F235" i="5"/>
  <c r="G235" i="5"/>
  <c r="H235" i="5"/>
  <c r="J235" i="5"/>
  <c r="K235" i="5"/>
  <c r="L235" i="5"/>
  <c r="D236" i="5"/>
  <c r="E236" i="5"/>
  <c r="F236" i="5"/>
  <c r="G236" i="5"/>
  <c r="H236" i="5"/>
  <c r="J236" i="5"/>
  <c r="K236" i="5"/>
  <c r="L236" i="5"/>
  <c r="D237" i="5"/>
  <c r="E237" i="5"/>
  <c r="F237" i="5"/>
  <c r="G237" i="5"/>
  <c r="H237" i="5"/>
  <c r="J237" i="5"/>
  <c r="K237" i="5"/>
  <c r="L237" i="5"/>
  <c r="D238" i="5"/>
  <c r="E238" i="5"/>
  <c r="F238" i="5"/>
  <c r="G238" i="5"/>
  <c r="H238" i="5"/>
  <c r="J238" i="5"/>
  <c r="K238" i="5"/>
  <c r="L238" i="5"/>
  <c r="D239" i="5"/>
  <c r="E239" i="5"/>
  <c r="F239" i="5"/>
  <c r="G239" i="5"/>
  <c r="H239" i="5"/>
  <c r="J239" i="5"/>
  <c r="K239" i="5"/>
  <c r="L239" i="5"/>
  <c r="D240" i="5"/>
  <c r="E240" i="5"/>
  <c r="F240" i="5"/>
  <c r="G240" i="5"/>
  <c r="H240" i="5"/>
  <c r="J240" i="5"/>
  <c r="K240" i="5"/>
  <c r="L240" i="5"/>
  <c r="D241" i="5"/>
  <c r="E241" i="5"/>
  <c r="F241" i="5"/>
  <c r="G241" i="5"/>
  <c r="H241" i="5"/>
  <c r="J241" i="5"/>
  <c r="K241" i="5"/>
  <c r="L241" i="5"/>
  <c r="D242" i="5"/>
  <c r="E242" i="5"/>
  <c r="F242" i="5"/>
  <c r="G242" i="5"/>
  <c r="H242" i="5"/>
  <c r="J242" i="5"/>
  <c r="K242" i="5"/>
  <c r="L242" i="5"/>
  <c r="D243" i="5"/>
  <c r="E243" i="5"/>
  <c r="F243" i="5"/>
  <c r="G243" i="5"/>
  <c r="H243" i="5"/>
  <c r="J243" i="5"/>
  <c r="K243" i="5"/>
  <c r="L243" i="5"/>
  <c r="D244" i="5"/>
  <c r="E244" i="5"/>
  <c r="F244" i="5"/>
  <c r="G244" i="5"/>
  <c r="H244" i="5"/>
  <c r="J244" i="5"/>
  <c r="K244" i="5"/>
  <c r="L244" i="5"/>
  <c r="D245" i="5"/>
  <c r="E245" i="5"/>
  <c r="F245" i="5"/>
  <c r="G245" i="5"/>
  <c r="H245" i="5"/>
  <c r="J245" i="5"/>
  <c r="K245" i="5"/>
  <c r="L245" i="5"/>
  <c r="D246" i="5"/>
  <c r="E246" i="5"/>
  <c r="F246" i="5"/>
  <c r="G246" i="5"/>
  <c r="H246" i="5"/>
  <c r="J246" i="5"/>
  <c r="K246" i="5"/>
  <c r="L246" i="5"/>
  <c r="D247" i="5"/>
  <c r="E247" i="5"/>
  <c r="F247" i="5"/>
  <c r="G247" i="5"/>
  <c r="H247" i="5"/>
  <c r="J247" i="5"/>
  <c r="K247" i="5"/>
  <c r="L247" i="5"/>
  <c r="D248" i="5"/>
  <c r="E248" i="5"/>
  <c r="F248" i="5"/>
  <c r="G248" i="5"/>
  <c r="H248" i="5"/>
  <c r="J248" i="5"/>
  <c r="K248" i="5"/>
  <c r="L248" i="5"/>
  <c r="D249" i="5"/>
  <c r="E249" i="5"/>
  <c r="F249" i="5"/>
  <c r="G249" i="5"/>
  <c r="H249" i="5"/>
  <c r="J249" i="5"/>
  <c r="K249" i="5"/>
  <c r="L249" i="5"/>
  <c r="D250" i="5"/>
  <c r="E250" i="5"/>
  <c r="F250" i="5"/>
  <c r="G250" i="5"/>
  <c r="H250" i="5"/>
  <c r="J250" i="5"/>
  <c r="K250" i="5"/>
  <c r="L250" i="5"/>
  <c r="D251" i="5"/>
  <c r="E251" i="5"/>
  <c r="F251" i="5"/>
  <c r="G251" i="5"/>
  <c r="H251" i="5"/>
  <c r="J251" i="5"/>
  <c r="K251" i="5"/>
  <c r="L251" i="5"/>
  <c r="D252" i="5"/>
  <c r="E252" i="5"/>
  <c r="F252" i="5"/>
  <c r="G252" i="5"/>
  <c r="H252" i="5"/>
  <c r="J252" i="5"/>
  <c r="K252" i="5"/>
  <c r="L252" i="5"/>
  <c r="D253" i="5"/>
  <c r="E253" i="5"/>
  <c r="F253" i="5"/>
  <c r="G253" i="5"/>
  <c r="H253" i="5"/>
  <c r="J253" i="5"/>
  <c r="K253" i="5"/>
  <c r="L253" i="5"/>
  <c r="D254" i="5"/>
  <c r="E254" i="5"/>
  <c r="F254" i="5"/>
  <c r="G254" i="5"/>
  <c r="H254" i="5"/>
  <c r="J254" i="5"/>
  <c r="K254" i="5"/>
  <c r="L254" i="5"/>
  <c r="D255" i="5"/>
  <c r="E255" i="5"/>
  <c r="F255" i="5"/>
  <c r="G255" i="5"/>
  <c r="H255" i="5"/>
  <c r="J255" i="5"/>
  <c r="K255" i="5"/>
  <c r="L255" i="5"/>
  <c r="D256" i="5"/>
  <c r="E256" i="5"/>
  <c r="F256" i="5"/>
  <c r="G256" i="5"/>
  <c r="H256" i="5"/>
  <c r="J256" i="5"/>
  <c r="K256" i="5"/>
  <c r="L256" i="5"/>
  <c r="D257" i="5"/>
  <c r="E257" i="5"/>
  <c r="F257" i="5"/>
  <c r="G257" i="5"/>
  <c r="H257" i="5"/>
  <c r="J257" i="5"/>
  <c r="K257" i="5"/>
  <c r="L257" i="5"/>
  <c r="D258" i="5"/>
  <c r="E258" i="5"/>
  <c r="F258" i="5"/>
  <c r="G258" i="5"/>
  <c r="H258" i="5"/>
  <c r="J258" i="5"/>
  <c r="K258" i="5"/>
  <c r="L258" i="5"/>
  <c r="D259" i="5"/>
  <c r="E259" i="5"/>
  <c r="F259" i="5"/>
  <c r="G259" i="5"/>
  <c r="H259" i="5"/>
  <c r="J259" i="5"/>
  <c r="K259" i="5"/>
  <c r="L259" i="5"/>
  <c r="D260" i="5"/>
  <c r="E260" i="5"/>
  <c r="F260" i="5"/>
  <c r="G260" i="5"/>
  <c r="H260" i="5"/>
  <c r="J260" i="5"/>
  <c r="K260" i="5"/>
  <c r="L260" i="5"/>
  <c r="D261" i="5"/>
  <c r="E261" i="5"/>
  <c r="F261" i="5"/>
  <c r="G261" i="5"/>
  <c r="H261" i="5"/>
  <c r="J261" i="5"/>
  <c r="K261" i="5"/>
  <c r="L261" i="5"/>
  <c r="D262" i="5"/>
  <c r="E262" i="5"/>
  <c r="F262" i="5"/>
  <c r="G262" i="5"/>
  <c r="H262" i="5"/>
  <c r="J262" i="5"/>
  <c r="K262" i="5"/>
  <c r="L262" i="5"/>
  <c r="D263" i="5"/>
  <c r="E263" i="5"/>
  <c r="F263" i="5"/>
  <c r="G263" i="5"/>
  <c r="H263" i="5"/>
  <c r="J263" i="5"/>
  <c r="K263" i="5"/>
  <c r="L263" i="5"/>
  <c r="D264" i="5"/>
  <c r="E264" i="5"/>
  <c r="F264" i="5"/>
  <c r="G264" i="5"/>
  <c r="H264" i="5"/>
  <c r="J264" i="5"/>
  <c r="K264" i="5"/>
  <c r="L264" i="5"/>
  <c r="D265" i="5"/>
  <c r="E265" i="5"/>
  <c r="F265" i="5"/>
  <c r="G265" i="5"/>
  <c r="H265" i="5"/>
  <c r="J265" i="5"/>
  <c r="K265" i="5"/>
  <c r="L265" i="5"/>
  <c r="D266" i="5"/>
  <c r="E266" i="5"/>
  <c r="F266" i="5"/>
  <c r="G266" i="5"/>
  <c r="H266" i="5"/>
  <c r="J266" i="5"/>
  <c r="K266" i="5"/>
  <c r="L266" i="5"/>
  <c r="D267" i="5"/>
  <c r="E267" i="5"/>
  <c r="F267" i="5"/>
  <c r="G267" i="5"/>
  <c r="H267" i="5"/>
  <c r="J267" i="5"/>
  <c r="K267" i="5"/>
  <c r="L267" i="5"/>
  <c r="D268" i="5"/>
  <c r="E268" i="5"/>
  <c r="F268" i="5"/>
  <c r="G268" i="5"/>
  <c r="H268" i="5"/>
  <c r="J268" i="5"/>
  <c r="K268" i="5"/>
  <c r="L268" i="5"/>
  <c r="D269" i="5"/>
  <c r="E269" i="5"/>
  <c r="F269" i="5"/>
  <c r="G269" i="5"/>
  <c r="H269" i="5"/>
  <c r="J269" i="5"/>
  <c r="K269" i="5"/>
  <c r="L269" i="5"/>
  <c r="D270" i="5"/>
  <c r="E270" i="5"/>
  <c r="F270" i="5"/>
  <c r="G270" i="5"/>
  <c r="H270" i="5"/>
  <c r="J270" i="5"/>
  <c r="K270" i="5"/>
  <c r="L270" i="5"/>
  <c r="D271" i="5"/>
  <c r="E271" i="5"/>
  <c r="F271" i="5"/>
  <c r="G271" i="5"/>
  <c r="H271" i="5"/>
  <c r="J271" i="5"/>
  <c r="K271" i="5"/>
  <c r="L271" i="5"/>
  <c r="D272" i="5"/>
  <c r="E272" i="5"/>
  <c r="F272" i="5"/>
  <c r="G272" i="5"/>
  <c r="H272" i="5"/>
  <c r="J272" i="5"/>
  <c r="K272" i="5"/>
  <c r="L272" i="5"/>
  <c r="D273" i="5"/>
  <c r="E273" i="5"/>
  <c r="F273" i="5"/>
  <c r="G273" i="5"/>
  <c r="H273" i="5"/>
  <c r="J273" i="5"/>
  <c r="K273" i="5"/>
  <c r="L273" i="5"/>
  <c r="D274" i="5"/>
  <c r="E274" i="5"/>
  <c r="F274" i="5"/>
  <c r="G274" i="5"/>
  <c r="H274" i="5"/>
  <c r="J274" i="5"/>
  <c r="K274" i="5"/>
  <c r="L274" i="5"/>
  <c r="D275" i="5"/>
  <c r="E275" i="5"/>
  <c r="F275" i="5"/>
  <c r="G275" i="5"/>
  <c r="H275" i="5"/>
  <c r="J275" i="5"/>
  <c r="K275" i="5"/>
  <c r="L275" i="5"/>
  <c r="D276" i="5"/>
  <c r="E276" i="5"/>
  <c r="F276" i="5"/>
  <c r="G276" i="5"/>
  <c r="H276" i="5"/>
  <c r="J276" i="5"/>
  <c r="K276" i="5"/>
  <c r="L276" i="5"/>
  <c r="D277" i="5"/>
  <c r="E277" i="5"/>
  <c r="F277" i="5"/>
  <c r="G277" i="5"/>
  <c r="H277" i="5"/>
  <c r="J277" i="5"/>
  <c r="K277" i="5"/>
  <c r="L277" i="5"/>
  <c r="D278" i="5"/>
  <c r="E278" i="5"/>
  <c r="F278" i="5"/>
  <c r="G278" i="5"/>
  <c r="H278" i="5"/>
  <c r="J278" i="5"/>
  <c r="K278" i="5"/>
  <c r="L278" i="5"/>
  <c r="D279" i="5"/>
  <c r="E279" i="5"/>
  <c r="F279" i="5"/>
  <c r="G279" i="5"/>
  <c r="H279" i="5"/>
  <c r="J279" i="5"/>
  <c r="K279" i="5"/>
  <c r="L279" i="5"/>
  <c r="D280" i="5"/>
  <c r="E280" i="5"/>
  <c r="F280" i="5"/>
  <c r="G280" i="5"/>
  <c r="H280" i="5"/>
  <c r="J280" i="5"/>
  <c r="K280" i="5"/>
  <c r="L280" i="5"/>
  <c r="D281" i="5"/>
  <c r="E281" i="5"/>
  <c r="F281" i="5"/>
  <c r="G281" i="5"/>
  <c r="H281" i="5"/>
  <c r="J281" i="5"/>
  <c r="K281" i="5"/>
  <c r="L281" i="5"/>
  <c r="D282" i="5"/>
  <c r="E282" i="5"/>
  <c r="F282" i="5"/>
  <c r="G282" i="5"/>
  <c r="H282" i="5"/>
  <c r="J282" i="5"/>
  <c r="K282" i="5"/>
  <c r="L282" i="5"/>
  <c r="D283" i="5"/>
  <c r="E283" i="5"/>
  <c r="F283" i="5"/>
  <c r="G283" i="5"/>
  <c r="H283" i="5"/>
  <c r="J283" i="5"/>
  <c r="K283" i="5"/>
  <c r="L283" i="5"/>
  <c r="D284" i="5"/>
  <c r="E284" i="5"/>
  <c r="F284" i="5"/>
  <c r="G284" i="5"/>
  <c r="H284" i="5"/>
  <c r="J284" i="5"/>
  <c r="K284" i="5"/>
  <c r="L284" i="5"/>
  <c r="D285" i="5"/>
  <c r="E285" i="5"/>
  <c r="F285" i="5"/>
  <c r="G285" i="5"/>
  <c r="H285" i="5"/>
  <c r="J285" i="5"/>
  <c r="K285" i="5"/>
  <c r="L285" i="5"/>
  <c r="D286" i="5"/>
  <c r="E286" i="5"/>
  <c r="F286" i="5"/>
  <c r="G286" i="5"/>
  <c r="H286" i="5"/>
  <c r="J286" i="5"/>
  <c r="K286" i="5"/>
  <c r="L286" i="5"/>
  <c r="D287" i="5"/>
  <c r="E287" i="5"/>
  <c r="F287" i="5"/>
  <c r="G287" i="5"/>
  <c r="H287" i="5"/>
  <c r="J287" i="5"/>
  <c r="K287" i="5"/>
  <c r="L287" i="5"/>
  <c r="D288" i="5"/>
  <c r="E288" i="5"/>
  <c r="F288" i="5"/>
  <c r="G288" i="5"/>
  <c r="H288" i="5"/>
  <c r="J288" i="5"/>
  <c r="K288" i="5"/>
  <c r="L288" i="5"/>
  <c r="D289" i="5"/>
  <c r="E289" i="5"/>
  <c r="F289" i="5"/>
  <c r="G289" i="5"/>
  <c r="H289" i="5"/>
  <c r="J289" i="5"/>
  <c r="K289" i="5"/>
  <c r="L289" i="5"/>
  <c r="D290" i="5"/>
  <c r="E290" i="5"/>
  <c r="F290" i="5"/>
  <c r="G290" i="5"/>
  <c r="H290" i="5"/>
  <c r="J290" i="5"/>
  <c r="K290" i="5"/>
  <c r="L290" i="5"/>
  <c r="D291" i="5"/>
  <c r="E291" i="5"/>
  <c r="F291" i="5"/>
  <c r="G291" i="5"/>
  <c r="H291" i="5"/>
  <c r="J291" i="5"/>
  <c r="K291" i="5"/>
  <c r="L291" i="5"/>
  <c r="D292" i="5"/>
  <c r="E292" i="5"/>
  <c r="F292" i="5"/>
  <c r="G292" i="5"/>
  <c r="H292" i="5"/>
  <c r="J292" i="5"/>
  <c r="K292" i="5"/>
  <c r="L292" i="5"/>
  <c r="D293" i="5"/>
  <c r="E293" i="5"/>
  <c r="F293" i="5"/>
  <c r="G293" i="5"/>
  <c r="H293" i="5"/>
  <c r="J293" i="5"/>
  <c r="K293" i="5"/>
  <c r="L293" i="5"/>
  <c r="D294" i="5"/>
  <c r="E294" i="5"/>
  <c r="F294" i="5"/>
  <c r="G294" i="5"/>
  <c r="H294" i="5"/>
  <c r="J294" i="5"/>
  <c r="K294" i="5"/>
  <c r="L294" i="5"/>
  <c r="D295" i="5"/>
  <c r="E295" i="5"/>
  <c r="F295" i="5"/>
  <c r="G295" i="5"/>
  <c r="H295" i="5"/>
  <c r="J295" i="5"/>
  <c r="K295" i="5"/>
  <c r="L295" i="5"/>
  <c r="D296" i="5"/>
  <c r="E296" i="5"/>
  <c r="F296" i="5"/>
  <c r="G296" i="5"/>
  <c r="H296" i="5"/>
  <c r="J296" i="5"/>
  <c r="K296" i="5"/>
  <c r="L296" i="5"/>
  <c r="D297" i="5"/>
  <c r="E297" i="5"/>
  <c r="F297" i="5"/>
  <c r="G297" i="5"/>
  <c r="H297" i="5"/>
  <c r="J297" i="5"/>
  <c r="K297" i="5"/>
  <c r="L297" i="5"/>
  <c r="D298" i="5"/>
  <c r="E298" i="5"/>
  <c r="F298" i="5"/>
  <c r="G298" i="5"/>
  <c r="H298" i="5"/>
  <c r="J298" i="5"/>
  <c r="K298" i="5"/>
  <c r="L298" i="5"/>
  <c r="D299" i="5"/>
  <c r="E299" i="5"/>
  <c r="F299" i="5"/>
  <c r="G299" i="5"/>
  <c r="H299" i="5"/>
  <c r="J299" i="5"/>
  <c r="K299" i="5"/>
  <c r="L299" i="5"/>
  <c r="D300" i="5"/>
  <c r="E300" i="5"/>
  <c r="F300" i="5"/>
  <c r="G300" i="5"/>
  <c r="H300" i="5"/>
  <c r="J300" i="5"/>
  <c r="K300" i="5"/>
  <c r="L300" i="5"/>
  <c r="D301" i="5"/>
  <c r="E301" i="5"/>
  <c r="F301" i="5"/>
  <c r="G301" i="5"/>
  <c r="H301" i="5"/>
  <c r="J301" i="5"/>
  <c r="K301" i="5"/>
  <c r="L301" i="5"/>
  <c r="D302" i="5"/>
  <c r="E302" i="5"/>
  <c r="F302" i="5"/>
  <c r="G302" i="5"/>
  <c r="H302" i="5"/>
  <c r="J302" i="5"/>
  <c r="K302" i="5"/>
  <c r="L302" i="5"/>
  <c r="D303" i="5"/>
  <c r="E303" i="5"/>
  <c r="F303" i="5"/>
  <c r="G303" i="5"/>
  <c r="H303" i="5"/>
  <c r="J303" i="5"/>
  <c r="K303" i="5"/>
  <c r="L303" i="5"/>
  <c r="D304" i="5"/>
  <c r="E304" i="5"/>
  <c r="F304" i="5"/>
  <c r="G304" i="5"/>
  <c r="H304" i="5"/>
  <c r="J304" i="5"/>
  <c r="K304" i="5"/>
  <c r="L304" i="5"/>
  <c r="D305" i="5"/>
  <c r="E305" i="5"/>
  <c r="F305" i="5"/>
  <c r="G305" i="5"/>
  <c r="H305" i="5"/>
  <c r="J305" i="5"/>
  <c r="K305" i="5"/>
  <c r="L305" i="5"/>
  <c r="D306" i="5"/>
  <c r="E306" i="5"/>
  <c r="F306" i="5"/>
  <c r="G306" i="5"/>
  <c r="H306" i="5"/>
  <c r="J306" i="5"/>
  <c r="K306" i="5"/>
  <c r="L306" i="5"/>
  <c r="D307" i="5"/>
  <c r="E307" i="5"/>
  <c r="F307" i="5"/>
  <c r="G307" i="5"/>
  <c r="H307" i="5"/>
  <c r="J307" i="5"/>
  <c r="K307" i="5"/>
  <c r="L307" i="5"/>
  <c r="D308" i="5"/>
  <c r="E308" i="5"/>
  <c r="F308" i="5"/>
  <c r="G308" i="5"/>
  <c r="H308" i="5"/>
  <c r="J308" i="5"/>
  <c r="K308" i="5"/>
  <c r="L308" i="5"/>
  <c r="D309" i="5"/>
  <c r="E309" i="5"/>
  <c r="F309" i="5"/>
  <c r="G309" i="5"/>
  <c r="H309" i="5"/>
  <c r="J309" i="5"/>
  <c r="K309" i="5"/>
  <c r="L309" i="5"/>
  <c r="D310" i="5"/>
  <c r="E310" i="5"/>
  <c r="F310" i="5"/>
  <c r="G310" i="5"/>
  <c r="H310" i="5"/>
  <c r="J310" i="5"/>
  <c r="K310" i="5"/>
  <c r="L310" i="5"/>
  <c r="D311" i="5"/>
  <c r="E311" i="5"/>
  <c r="F311" i="5"/>
  <c r="G311" i="5"/>
  <c r="H311" i="5"/>
  <c r="J311" i="5"/>
  <c r="K311" i="5"/>
  <c r="L311" i="5"/>
  <c r="D312" i="5"/>
  <c r="E312" i="5"/>
  <c r="F312" i="5"/>
  <c r="G312" i="5"/>
  <c r="H312" i="5"/>
  <c r="J312" i="5"/>
  <c r="K312" i="5"/>
  <c r="L312" i="5"/>
  <c r="D313" i="5"/>
  <c r="E313" i="5"/>
  <c r="F313" i="5"/>
  <c r="G313" i="5"/>
  <c r="H313" i="5"/>
  <c r="J313" i="5"/>
  <c r="K313" i="5"/>
  <c r="L313" i="5"/>
  <c r="D314" i="5"/>
  <c r="E314" i="5"/>
  <c r="F314" i="5"/>
  <c r="G314" i="5"/>
  <c r="H314" i="5"/>
  <c r="J314" i="5"/>
  <c r="K314" i="5"/>
  <c r="L314" i="5"/>
  <c r="D315" i="5"/>
  <c r="E315" i="5"/>
  <c r="F315" i="5"/>
  <c r="G315" i="5"/>
  <c r="H315" i="5"/>
  <c r="J315" i="5"/>
  <c r="K315" i="5"/>
  <c r="L315" i="5"/>
  <c r="D316" i="5"/>
  <c r="E316" i="5"/>
  <c r="F316" i="5"/>
  <c r="G316" i="5"/>
  <c r="H316" i="5"/>
  <c r="J316" i="5"/>
  <c r="K316" i="5"/>
  <c r="L316" i="5"/>
  <c r="D317" i="5"/>
  <c r="E317" i="5"/>
  <c r="F317" i="5"/>
  <c r="G317" i="5"/>
  <c r="H317" i="5"/>
  <c r="J317" i="5"/>
  <c r="K317" i="5"/>
  <c r="L317" i="5"/>
  <c r="D318" i="5"/>
  <c r="E318" i="5"/>
  <c r="F318" i="5"/>
  <c r="G318" i="5"/>
  <c r="H318" i="5"/>
  <c r="J318" i="5"/>
  <c r="K318" i="5"/>
  <c r="L318" i="5"/>
  <c r="D319" i="5"/>
  <c r="E319" i="5"/>
  <c r="F319" i="5"/>
  <c r="G319" i="5"/>
  <c r="H319" i="5"/>
  <c r="J319" i="5"/>
  <c r="K319" i="5"/>
  <c r="L319" i="5"/>
  <c r="D320" i="5"/>
  <c r="E320" i="5"/>
  <c r="F320" i="5"/>
  <c r="G320" i="5"/>
  <c r="H320" i="5"/>
  <c r="J320" i="5"/>
  <c r="K320" i="5"/>
  <c r="L320" i="5"/>
  <c r="D321" i="5"/>
  <c r="E321" i="5"/>
  <c r="F321" i="5"/>
  <c r="G321" i="5"/>
  <c r="H321" i="5"/>
  <c r="J321" i="5"/>
  <c r="K321" i="5"/>
  <c r="L321" i="5"/>
  <c r="D322" i="5"/>
  <c r="E322" i="5"/>
  <c r="F322" i="5"/>
  <c r="G322" i="5"/>
  <c r="H322" i="5"/>
  <c r="J322" i="5"/>
  <c r="K322" i="5"/>
  <c r="L322" i="5"/>
  <c r="D323" i="5"/>
  <c r="E323" i="5"/>
  <c r="F323" i="5"/>
  <c r="G323" i="5"/>
  <c r="H323" i="5"/>
  <c r="J323" i="5"/>
  <c r="K323" i="5"/>
  <c r="L323" i="5"/>
  <c r="D324" i="5"/>
  <c r="E324" i="5"/>
  <c r="F324" i="5"/>
  <c r="G324" i="5"/>
  <c r="H324" i="5"/>
  <c r="J324" i="5"/>
  <c r="K324" i="5"/>
  <c r="L324" i="5"/>
  <c r="D325" i="5"/>
  <c r="E325" i="5"/>
  <c r="F325" i="5"/>
  <c r="G325" i="5"/>
  <c r="H325" i="5"/>
  <c r="J325" i="5"/>
  <c r="K325" i="5"/>
  <c r="L325" i="5"/>
  <c r="D326" i="5"/>
  <c r="E326" i="5"/>
  <c r="F326" i="5"/>
  <c r="G326" i="5"/>
  <c r="H326" i="5"/>
  <c r="J326" i="5"/>
  <c r="K326" i="5"/>
  <c r="L326" i="5"/>
  <c r="D327" i="5"/>
  <c r="E327" i="5"/>
  <c r="F327" i="5"/>
  <c r="G327" i="5"/>
  <c r="H327" i="5"/>
  <c r="J327" i="5"/>
  <c r="K327" i="5"/>
  <c r="L327" i="5"/>
  <c r="D328" i="5"/>
  <c r="E328" i="5"/>
  <c r="F328" i="5"/>
  <c r="G328" i="5"/>
  <c r="H328" i="5"/>
  <c r="J328" i="5"/>
  <c r="K328" i="5"/>
  <c r="L328" i="5"/>
  <c r="D329" i="5"/>
  <c r="E329" i="5"/>
  <c r="F329" i="5"/>
  <c r="G329" i="5"/>
  <c r="H329" i="5"/>
  <c r="J329" i="5"/>
  <c r="K329" i="5"/>
  <c r="L329" i="5"/>
  <c r="D330" i="5"/>
  <c r="E330" i="5"/>
  <c r="F330" i="5"/>
  <c r="G330" i="5"/>
  <c r="H330" i="5"/>
  <c r="J330" i="5"/>
  <c r="K330" i="5"/>
  <c r="L330" i="5"/>
  <c r="D331" i="5"/>
  <c r="E331" i="5"/>
  <c r="F331" i="5"/>
  <c r="G331" i="5"/>
  <c r="H331" i="5"/>
  <c r="J331" i="5"/>
  <c r="K331" i="5"/>
  <c r="L331" i="5"/>
  <c r="D332" i="5"/>
  <c r="E332" i="5"/>
  <c r="F332" i="5"/>
  <c r="G332" i="5"/>
  <c r="H332" i="5"/>
  <c r="J332" i="5"/>
  <c r="K332" i="5"/>
  <c r="L332" i="5"/>
  <c r="D333" i="5"/>
  <c r="E333" i="5"/>
  <c r="F333" i="5"/>
  <c r="G333" i="5"/>
  <c r="H333" i="5"/>
  <c r="J333" i="5"/>
  <c r="K333" i="5"/>
  <c r="L333" i="5"/>
  <c r="D334" i="5"/>
  <c r="E334" i="5"/>
  <c r="F334" i="5"/>
  <c r="G334" i="5"/>
  <c r="H334" i="5"/>
  <c r="J334" i="5"/>
  <c r="K334" i="5"/>
  <c r="L334" i="5"/>
  <c r="D335" i="5"/>
  <c r="E335" i="5"/>
  <c r="F335" i="5"/>
  <c r="G335" i="5"/>
  <c r="H335" i="5"/>
  <c r="J335" i="5"/>
  <c r="K335" i="5"/>
  <c r="L335" i="5"/>
  <c r="D336" i="5"/>
  <c r="E336" i="5"/>
  <c r="F336" i="5"/>
  <c r="G336" i="5"/>
  <c r="H336" i="5"/>
  <c r="J336" i="5"/>
  <c r="K336" i="5"/>
  <c r="L336" i="5"/>
  <c r="D337" i="5"/>
  <c r="E337" i="5"/>
  <c r="F337" i="5"/>
  <c r="G337" i="5"/>
  <c r="H337" i="5"/>
  <c r="J337" i="5"/>
  <c r="K337" i="5"/>
  <c r="L337" i="5"/>
  <c r="D338" i="5"/>
  <c r="E338" i="5"/>
  <c r="F338" i="5"/>
  <c r="G338" i="5"/>
  <c r="H338" i="5"/>
  <c r="J338" i="5"/>
  <c r="K338" i="5"/>
  <c r="L338" i="5"/>
  <c r="D339" i="5"/>
  <c r="E339" i="5"/>
  <c r="F339" i="5"/>
  <c r="G339" i="5"/>
  <c r="H339" i="5"/>
  <c r="J339" i="5"/>
  <c r="K339" i="5"/>
  <c r="L339" i="5"/>
  <c r="D340" i="5"/>
  <c r="E340" i="5"/>
  <c r="F340" i="5"/>
  <c r="G340" i="5"/>
  <c r="H340" i="5"/>
  <c r="J340" i="5"/>
  <c r="K340" i="5"/>
  <c r="L340" i="5"/>
  <c r="D341" i="5"/>
  <c r="E341" i="5"/>
  <c r="F341" i="5"/>
  <c r="G341" i="5"/>
  <c r="H341" i="5"/>
  <c r="J341" i="5"/>
  <c r="K341" i="5"/>
  <c r="L341" i="5"/>
  <c r="D342" i="5"/>
  <c r="E342" i="5"/>
  <c r="F342" i="5"/>
  <c r="G342" i="5"/>
  <c r="H342" i="5"/>
  <c r="J342" i="5"/>
  <c r="K342" i="5"/>
  <c r="L342" i="5"/>
  <c r="D343" i="5"/>
  <c r="E343" i="5"/>
  <c r="F343" i="5"/>
  <c r="G343" i="5"/>
  <c r="H343" i="5"/>
  <c r="J343" i="5"/>
  <c r="K343" i="5"/>
  <c r="L343" i="5"/>
  <c r="D344" i="5"/>
  <c r="E344" i="5"/>
  <c r="F344" i="5"/>
  <c r="G344" i="5"/>
  <c r="H344" i="5"/>
  <c r="J344" i="5"/>
  <c r="K344" i="5"/>
  <c r="L344" i="5"/>
  <c r="D345" i="5"/>
  <c r="E345" i="5"/>
  <c r="F345" i="5"/>
  <c r="G345" i="5"/>
  <c r="H345" i="5"/>
  <c r="J345" i="5"/>
  <c r="K345" i="5"/>
  <c r="L345" i="5"/>
  <c r="D346" i="5"/>
  <c r="E346" i="5"/>
  <c r="F346" i="5"/>
  <c r="G346" i="5"/>
  <c r="H346" i="5"/>
  <c r="J346" i="5"/>
  <c r="K346" i="5"/>
  <c r="L346" i="5"/>
  <c r="D347" i="5"/>
  <c r="E347" i="5"/>
  <c r="F347" i="5"/>
  <c r="G347" i="5"/>
  <c r="H347" i="5"/>
  <c r="J347" i="5"/>
  <c r="K347" i="5"/>
  <c r="L347" i="5"/>
  <c r="D348" i="5"/>
  <c r="E348" i="5"/>
  <c r="F348" i="5"/>
  <c r="G348" i="5"/>
  <c r="H348" i="5"/>
  <c r="J348" i="5"/>
  <c r="K348" i="5"/>
  <c r="L348" i="5"/>
  <c r="D349" i="5"/>
  <c r="E349" i="5"/>
  <c r="F349" i="5"/>
  <c r="G349" i="5"/>
  <c r="H349" i="5"/>
  <c r="J349" i="5"/>
  <c r="K349" i="5"/>
  <c r="L349" i="5"/>
  <c r="D350" i="5"/>
  <c r="E350" i="5"/>
  <c r="F350" i="5"/>
  <c r="G350" i="5"/>
  <c r="H350" i="5"/>
  <c r="J350" i="5"/>
  <c r="K350" i="5"/>
  <c r="L350" i="5"/>
  <c r="D351" i="5"/>
  <c r="E351" i="5"/>
  <c r="F351" i="5"/>
  <c r="G351" i="5"/>
  <c r="H351" i="5"/>
  <c r="J351" i="5"/>
  <c r="K351" i="5"/>
  <c r="L351" i="5"/>
  <c r="D352" i="5"/>
  <c r="E352" i="5"/>
  <c r="F352" i="5"/>
  <c r="G352" i="5"/>
  <c r="H352" i="5"/>
  <c r="J352" i="5"/>
  <c r="K352" i="5"/>
  <c r="L352" i="5"/>
  <c r="D353" i="5"/>
  <c r="E353" i="5"/>
  <c r="F353" i="5"/>
  <c r="G353" i="5"/>
  <c r="H353" i="5"/>
  <c r="J353" i="5"/>
  <c r="K353" i="5"/>
  <c r="L353" i="5"/>
  <c r="D354" i="5"/>
  <c r="E354" i="5"/>
  <c r="F354" i="5"/>
  <c r="G354" i="5"/>
  <c r="H354" i="5"/>
  <c r="J354" i="5"/>
  <c r="K354" i="5"/>
  <c r="L354" i="5"/>
  <c r="D355" i="5"/>
  <c r="E355" i="5"/>
  <c r="F355" i="5"/>
  <c r="G355" i="5"/>
  <c r="H355" i="5"/>
  <c r="J355" i="5"/>
  <c r="K355" i="5"/>
  <c r="L355" i="5"/>
  <c r="D356" i="5"/>
  <c r="E356" i="5"/>
  <c r="F356" i="5"/>
  <c r="G356" i="5"/>
  <c r="H356" i="5"/>
  <c r="J356" i="5"/>
  <c r="K356" i="5"/>
  <c r="L356" i="5"/>
  <c r="D357" i="5"/>
  <c r="E357" i="5"/>
  <c r="F357" i="5"/>
  <c r="G357" i="5"/>
  <c r="H357" i="5"/>
  <c r="J357" i="5"/>
  <c r="K357" i="5"/>
  <c r="L357" i="5"/>
  <c r="D358" i="5"/>
  <c r="E358" i="5"/>
  <c r="F358" i="5"/>
  <c r="G358" i="5"/>
  <c r="H358" i="5"/>
  <c r="J358" i="5"/>
  <c r="K358" i="5"/>
  <c r="L358" i="5"/>
  <c r="D359" i="5"/>
  <c r="E359" i="5"/>
  <c r="F359" i="5"/>
  <c r="G359" i="5"/>
  <c r="H359" i="5"/>
  <c r="J359" i="5"/>
  <c r="K359" i="5"/>
  <c r="L359" i="5"/>
  <c r="D360" i="5"/>
  <c r="E360" i="5"/>
  <c r="F360" i="5"/>
  <c r="G360" i="5"/>
  <c r="H360" i="5"/>
  <c r="J360" i="5"/>
  <c r="K360" i="5"/>
  <c r="L360" i="5"/>
  <c r="D361" i="5"/>
  <c r="E361" i="5"/>
  <c r="F361" i="5"/>
  <c r="G361" i="5"/>
  <c r="H361" i="5"/>
  <c r="J361" i="5"/>
  <c r="K361" i="5"/>
  <c r="L361" i="5"/>
  <c r="D362" i="5"/>
  <c r="E362" i="5"/>
  <c r="F362" i="5"/>
  <c r="G362" i="5"/>
  <c r="H362" i="5"/>
  <c r="J362" i="5"/>
  <c r="K362" i="5"/>
  <c r="L362" i="5"/>
  <c r="D363" i="5"/>
  <c r="E363" i="5"/>
  <c r="F363" i="5"/>
  <c r="G363" i="5"/>
  <c r="H363" i="5"/>
  <c r="J363" i="5"/>
  <c r="K363" i="5"/>
  <c r="L363" i="5"/>
  <c r="D364" i="5"/>
  <c r="E364" i="5"/>
  <c r="F364" i="5"/>
  <c r="G364" i="5"/>
  <c r="H364" i="5"/>
  <c r="J364" i="5"/>
  <c r="K364" i="5"/>
  <c r="L364" i="5"/>
  <c r="D365" i="5"/>
  <c r="E365" i="5"/>
  <c r="F365" i="5"/>
  <c r="G365" i="5"/>
  <c r="H365" i="5"/>
  <c r="J365" i="5"/>
  <c r="K365" i="5"/>
  <c r="L365" i="5"/>
  <c r="D366" i="5"/>
  <c r="E366" i="5"/>
  <c r="F366" i="5"/>
  <c r="G366" i="5"/>
  <c r="H366" i="5"/>
  <c r="J366" i="5"/>
  <c r="K366" i="5"/>
  <c r="L366" i="5"/>
  <c r="D367" i="5"/>
  <c r="E367" i="5"/>
  <c r="F367" i="5"/>
  <c r="G367" i="5"/>
  <c r="H367" i="5"/>
  <c r="J367" i="5"/>
  <c r="K367" i="5"/>
  <c r="L367" i="5"/>
  <c r="D368" i="5"/>
  <c r="E368" i="5"/>
  <c r="F368" i="5"/>
  <c r="G368" i="5"/>
  <c r="H368" i="5"/>
  <c r="J368" i="5"/>
  <c r="K368" i="5"/>
  <c r="L368" i="5"/>
  <c r="D369" i="5"/>
  <c r="E369" i="5"/>
  <c r="F369" i="5"/>
  <c r="G369" i="5"/>
  <c r="H369" i="5"/>
  <c r="J369" i="5"/>
  <c r="K369" i="5"/>
  <c r="L369" i="5"/>
  <c r="D370" i="5"/>
  <c r="E370" i="5"/>
  <c r="F370" i="5"/>
  <c r="G370" i="5"/>
  <c r="H370" i="5"/>
  <c r="J370" i="5"/>
  <c r="K370" i="5"/>
  <c r="L370" i="5"/>
  <c r="D371" i="5"/>
  <c r="E371" i="5"/>
  <c r="F371" i="5"/>
  <c r="G371" i="5"/>
  <c r="H371" i="5"/>
  <c r="J371" i="5"/>
  <c r="K371" i="5"/>
  <c r="L371" i="5"/>
  <c r="D372" i="5"/>
  <c r="E372" i="5"/>
  <c r="F372" i="5"/>
  <c r="G372" i="5"/>
  <c r="H372" i="5"/>
  <c r="J372" i="5"/>
  <c r="K372" i="5"/>
  <c r="L372" i="5"/>
  <c r="D373" i="5"/>
  <c r="E373" i="5"/>
  <c r="F373" i="5"/>
  <c r="G373" i="5"/>
  <c r="H373" i="5"/>
  <c r="J373" i="5"/>
  <c r="K373" i="5"/>
  <c r="L373" i="5"/>
  <c r="D374" i="5"/>
  <c r="E374" i="5"/>
  <c r="F374" i="5"/>
  <c r="G374" i="5"/>
  <c r="H374" i="5"/>
  <c r="J374" i="5"/>
  <c r="K374" i="5"/>
  <c r="L374" i="5"/>
  <c r="D375" i="5"/>
  <c r="E375" i="5"/>
  <c r="F375" i="5"/>
  <c r="G375" i="5"/>
  <c r="H375" i="5"/>
  <c r="J375" i="5"/>
  <c r="K375" i="5"/>
  <c r="L375" i="5"/>
  <c r="D376" i="5"/>
  <c r="E376" i="5"/>
  <c r="F376" i="5"/>
  <c r="G376" i="5"/>
  <c r="H376" i="5"/>
  <c r="J376" i="5"/>
  <c r="K376" i="5"/>
  <c r="L376" i="5"/>
  <c r="D377" i="5"/>
  <c r="E377" i="5"/>
  <c r="F377" i="5"/>
  <c r="G377" i="5"/>
  <c r="H377" i="5"/>
  <c r="J377" i="5"/>
  <c r="K377" i="5"/>
  <c r="L377" i="5"/>
  <c r="D378" i="5"/>
  <c r="E378" i="5"/>
  <c r="F378" i="5"/>
  <c r="G378" i="5"/>
  <c r="H378" i="5"/>
  <c r="J378" i="5"/>
  <c r="K378" i="5"/>
  <c r="L378" i="5"/>
  <c r="D379" i="5"/>
  <c r="E379" i="5"/>
  <c r="F379" i="5"/>
  <c r="G379" i="5"/>
  <c r="H379" i="5"/>
  <c r="J379" i="5"/>
  <c r="K379" i="5"/>
  <c r="L379" i="5"/>
  <c r="D380" i="5"/>
  <c r="E380" i="5"/>
  <c r="F380" i="5"/>
  <c r="G380" i="5"/>
  <c r="H380" i="5"/>
  <c r="J380" i="5"/>
  <c r="K380" i="5"/>
  <c r="L380" i="5"/>
  <c r="D381" i="5"/>
  <c r="E381" i="5"/>
  <c r="F381" i="5"/>
  <c r="G381" i="5"/>
  <c r="H381" i="5"/>
  <c r="J381" i="5"/>
  <c r="K381" i="5"/>
  <c r="L381" i="5"/>
  <c r="D382" i="5"/>
  <c r="E382" i="5"/>
  <c r="F382" i="5"/>
  <c r="G382" i="5"/>
  <c r="H382" i="5"/>
  <c r="J382" i="5"/>
  <c r="K382" i="5"/>
  <c r="L382" i="5"/>
  <c r="D383" i="5"/>
  <c r="E383" i="5"/>
  <c r="F383" i="5"/>
  <c r="G383" i="5"/>
  <c r="H383" i="5"/>
  <c r="J383" i="5"/>
  <c r="K383" i="5"/>
  <c r="L383" i="5"/>
  <c r="D384" i="5"/>
  <c r="E384" i="5"/>
  <c r="F384" i="5"/>
  <c r="G384" i="5"/>
  <c r="H384" i="5"/>
  <c r="J384" i="5"/>
  <c r="K384" i="5"/>
  <c r="L384" i="5"/>
  <c r="D385" i="5"/>
  <c r="E385" i="5"/>
  <c r="F385" i="5"/>
  <c r="G385" i="5"/>
  <c r="H385" i="5"/>
  <c r="J385" i="5"/>
  <c r="K385" i="5"/>
  <c r="L385" i="5"/>
  <c r="D386" i="5"/>
  <c r="E386" i="5"/>
  <c r="F386" i="5"/>
  <c r="G386" i="5"/>
  <c r="H386" i="5"/>
  <c r="J386" i="5"/>
  <c r="K386" i="5"/>
  <c r="L386" i="5"/>
  <c r="D387" i="5"/>
  <c r="E387" i="5"/>
  <c r="F387" i="5"/>
  <c r="G387" i="5"/>
  <c r="H387" i="5"/>
  <c r="J387" i="5"/>
  <c r="K387" i="5"/>
  <c r="L387" i="5"/>
  <c r="D388" i="5"/>
  <c r="E388" i="5"/>
  <c r="F388" i="5"/>
  <c r="G388" i="5"/>
  <c r="H388" i="5"/>
  <c r="J388" i="5"/>
  <c r="K388" i="5"/>
  <c r="L388" i="5"/>
  <c r="D389" i="5"/>
  <c r="E389" i="5"/>
  <c r="F389" i="5"/>
  <c r="G389" i="5"/>
  <c r="H389" i="5"/>
  <c r="J389" i="5"/>
  <c r="K389" i="5"/>
  <c r="L389" i="5"/>
  <c r="D390" i="5"/>
  <c r="E390" i="5"/>
  <c r="F390" i="5"/>
  <c r="G390" i="5"/>
  <c r="H390" i="5"/>
  <c r="J390" i="5"/>
  <c r="K390" i="5"/>
  <c r="L390" i="5"/>
  <c r="D391" i="5"/>
  <c r="E391" i="5"/>
  <c r="F391" i="5"/>
  <c r="G391" i="5"/>
  <c r="H391" i="5"/>
  <c r="J391" i="5"/>
  <c r="K391" i="5"/>
  <c r="L391" i="5"/>
  <c r="D392" i="5"/>
  <c r="E392" i="5"/>
  <c r="F392" i="5"/>
  <c r="G392" i="5"/>
  <c r="H392" i="5"/>
  <c r="J392" i="5"/>
  <c r="K392" i="5"/>
  <c r="L392" i="5"/>
  <c r="D393" i="5"/>
  <c r="E393" i="5"/>
  <c r="F393" i="5"/>
  <c r="G393" i="5"/>
  <c r="H393" i="5"/>
  <c r="J393" i="5"/>
  <c r="K393" i="5"/>
  <c r="L393" i="5"/>
  <c r="D394" i="5"/>
  <c r="E394" i="5"/>
  <c r="F394" i="5"/>
  <c r="G394" i="5"/>
  <c r="H394" i="5"/>
  <c r="J394" i="5"/>
  <c r="K394" i="5"/>
  <c r="L394" i="5"/>
  <c r="D395" i="5"/>
  <c r="E395" i="5"/>
  <c r="F395" i="5"/>
  <c r="G395" i="5"/>
  <c r="H395" i="5"/>
  <c r="J395" i="5"/>
  <c r="K395" i="5"/>
  <c r="L395" i="5"/>
  <c r="D396" i="5"/>
  <c r="E396" i="5"/>
  <c r="F396" i="5"/>
  <c r="G396" i="5"/>
  <c r="H396" i="5"/>
  <c r="J396" i="5"/>
  <c r="K396" i="5"/>
  <c r="L396" i="5"/>
  <c r="D397" i="5"/>
  <c r="E397" i="5"/>
  <c r="F397" i="5"/>
  <c r="G397" i="5"/>
  <c r="H397" i="5"/>
  <c r="J397" i="5"/>
  <c r="K397" i="5"/>
  <c r="L397" i="5"/>
  <c r="D398" i="5"/>
  <c r="E398" i="5"/>
  <c r="F398" i="5"/>
  <c r="G398" i="5"/>
  <c r="H398" i="5"/>
  <c r="J398" i="5"/>
  <c r="K398" i="5"/>
  <c r="L398" i="5"/>
  <c r="D399" i="5"/>
  <c r="E399" i="5"/>
  <c r="F399" i="5"/>
  <c r="G399" i="5"/>
  <c r="H399" i="5"/>
  <c r="J399" i="5"/>
  <c r="K399" i="5"/>
  <c r="L399" i="5"/>
  <c r="D400" i="5"/>
  <c r="E400" i="5"/>
  <c r="F400" i="5"/>
  <c r="G400" i="5"/>
  <c r="H400" i="5"/>
  <c r="J400" i="5"/>
  <c r="K400" i="5"/>
  <c r="L400" i="5"/>
  <c r="D401" i="5"/>
  <c r="E401" i="5"/>
  <c r="F401" i="5"/>
  <c r="G401" i="5"/>
  <c r="H401" i="5"/>
  <c r="J401" i="5"/>
  <c r="K401" i="5"/>
  <c r="L401" i="5"/>
  <c r="D402" i="5"/>
  <c r="E402" i="5"/>
  <c r="F402" i="5"/>
  <c r="G402" i="5"/>
  <c r="H402" i="5"/>
  <c r="J402" i="5"/>
  <c r="K402" i="5"/>
  <c r="L402" i="5"/>
  <c r="D403" i="5"/>
  <c r="E403" i="5"/>
  <c r="F403" i="5"/>
  <c r="G403" i="5"/>
  <c r="H403" i="5"/>
  <c r="J403" i="5"/>
  <c r="K403" i="5"/>
  <c r="L403" i="5"/>
  <c r="D404" i="5"/>
  <c r="E404" i="5"/>
  <c r="F404" i="5"/>
  <c r="G404" i="5"/>
  <c r="H404" i="5"/>
  <c r="J404" i="5"/>
  <c r="K404" i="5"/>
  <c r="L404" i="5"/>
  <c r="D405" i="5"/>
  <c r="E405" i="5"/>
  <c r="F405" i="5"/>
  <c r="G405" i="5"/>
  <c r="H405" i="5"/>
  <c r="J405" i="5"/>
  <c r="K405" i="5"/>
  <c r="L405" i="5"/>
  <c r="D406" i="5"/>
  <c r="E406" i="5"/>
  <c r="F406" i="5"/>
  <c r="G406" i="5"/>
  <c r="H406" i="5"/>
  <c r="J406" i="5"/>
  <c r="K406" i="5"/>
  <c r="L406" i="5"/>
  <c r="D407" i="5"/>
  <c r="E407" i="5"/>
  <c r="F407" i="5"/>
  <c r="G407" i="5"/>
  <c r="H407" i="5"/>
  <c r="J407" i="5"/>
  <c r="K407" i="5"/>
  <c r="L407" i="5"/>
  <c r="D408" i="5"/>
  <c r="E408" i="5"/>
  <c r="F408" i="5"/>
  <c r="G408" i="5"/>
  <c r="H408" i="5"/>
  <c r="J408" i="5"/>
  <c r="K408" i="5"/>
  <c r="L408" i="5"/>
  <c r="D409" i="5"/>
  <c r="E409" i="5"/>
  <c r="F409" i="5"/>
  <c r="G409" i="5"/>
  <c r="H409" i="5"/>
  <c r="J409" i="5"/>
  <c r="K409" i="5"/>
  <c r="L409" i="5"/>
  <c r="D410" i="5"/>
  <c r="E410" i="5"/>
  <c r="F410" i="5"/>
  <c r="G410" i="5"/>
  <c r="H410" i="5"/>
  <c r="J410" i="5"/>
  <c r="K410" i="5"/>
  <c r="L410" i="5"/>
  <c r="D411" i="5"/>
  <c r="E411" i="5"/>
  <c r="F411" i="5"/>
  <c r="G411" i="5"/>
  <c r="H411" i="5"/>
  <c r="J411" i="5"/>
  <c r="K411" i="5"/>
  <c r="L411" i="5"/>
  <c r="D412" i="5"/>
  <c r="E412" i="5"/>
  <c r="F412" i="5"/>
  <c r="G412" i="5"/>
  <c r="H412" i="5"/>
  <c r="J412" i="5"/>
  <c r="K412" i="5"/>
  <c r="L412" i="5"/>
  <c r="D413" i="5"/>
  <c r="E413" i="5"/>
  <c r="F413" i="5"/>
  <c r="G413" i="5"/>
  <c r="H413" i="5"/>
  <c r="J413" i="5"/>
  <c r="K413" i="5"/>
  <c r="L413" i="5"/>
  <c r="D414" i="5"/>
  <c r="E414" i="5"/>
  <c r="F414" i="5"/>
  <c r="G414" i="5"/>
  <c r="H414" i="5"/>
  <c r="J414" i="5"/>
  <c r="K414" i="5"/>
  <c r="L414" i="5"/>
  <c r="D415" i="5"/>
  <c r="E415" i="5"/>
  <c r="F415" i="5"/>
  <c r="G415" i="5"/>
  <c r="H415" i="5"/>
  <c r="J415" i="5"/>
  <c r="K415" i="5"/>
  <c r="L415" i="5"/>
  <c r="D416" i="5"/>
  <c r="E416" i="5"/>
  <c r="F416" i="5"/>
  <c r="G416" i="5"/>
  <c r="H416" i="5"/>
  <c r="J416" i="5"/>
  <c r="K416" i="5"/>
  <c r="L416" i="5"/>
  <c r="D417" i="5"/>
  <c r="E417" i="5"/>
  <c r="F417" i="5"/>
  <c r="G417" i="5"/>
  <c r="H417" i="5"/>
  <c r="J417" i="5"/>
  <c r="K417" i="5"/>
  <c r="L417" i="5"/>
  <c r="D418" i="5"/>
  <c r="E418" i="5"/>
  <c r="F418" i="5"/>
  <c r="G418" i="5"/>
  <c r="H418" i="5"/>
  <c r="J418" i="5"/>
  <c r="K418" i="5"/>
  <c r="L418" i="5"/>
  <c r="D419" i="5"/>
  <c r="E419" i="5"/>
  <c r="F419" i="5"/>
  <c r="G419" i="5"/>
  <c r="H419" i="5"/>
  <c r="J419" i="5"/>
  <c r="K419" i="5"/>
  <c r="L419" i="5"/>
  <c r="D420" i="5"/>
  <c r="E420" i="5"/>
  <c r="F420" i="5"/>
  <c r="G420" i="5"/>
  <c r="H420" i="5"/>
  <c r="J420" i="5"/>
  <c r="K420" i="5"/>
  <c r="L420" i="5"/>
  <c r="D421" i="5"/>
  <c r="E421" i="5"/>
  <c r="F421" i="5"/>
  <c r="G421" i="5"/>
  <c r="H421" i="5"/>
  <c r="J421" i="5"/>
  <c r="K421" i="5"/>
  <c r="L421" i="5"/>
  <c r="D422" i="5"/>
  <c r="E422" i="5"/>
  <c r="F422" i="5"/>
  <c r="G422" i="5"/>
  <c r="H422" i="5"/>
  <c r="J422" i="5"/>
  <c r="K422" i="5"/>
  <c r="L422" i="5"/>
  <c r="D423" i="5"/>
  <c r="E423" i="5"/>
  <c r="F423" i="5"/>
  <c r="G423" i="5"/>
  <c r="H423" i="5"/>
  <c r="J423" i="5"/>
  <c r="K423" i="5"/>
  <c r="L423" i="5"/>
  <c r="D424" i="5"/>
  <c r="E424" i="5"/>
  <c r="F424" i="5"/>
  <c r="G424" i="5"/>
  <c r="H424" i="5"/>
  <c r="J424" i="5"/>
  <c r="K424" i="5"/>
  <c r="L424" i="5"/>
  <c r="D425" i="5"/>
  <c r="E425" i="5"/>
  <c r="F425" i="5"/>
  <c r="G425" i="5"/>
  <c r="H425" i="5"/>
  <c r="J425" i="5"/>
  <c r="K425" i="5"/>
  <c r="L425" i="5"/>
  <c r="D426" i="5"/>
  <c r="E426" i="5"/>
  <c r="F426" i="5"/>
  <c r="G426" i="5"/>
  <c r="H426" i="5"/>
  <c r="J426" i="5"/>
  <c r="K426" i="5"/>
  <c r="L426" i="5"/>
  <c r="D427" i="5"/>
  <c r="E427" i="5"/>
  <c r="F427" i="5"/>
  <c r="G427" i="5"/>
  <c r="H427" i="5"/>
  <c r="J427" i="5"/>
  <c r="K427" i="5"/>
  <c r="L427" i="5"/>
  <c r="D428" i="5"/>
  <c r="E428" i="5"/>
  <c r="F428" i="5"/>
  <c r="G428" i="5"/>
  <c r="H428" i="5"/>
  <c r="J428" i="5"/>
  <c r="K428" i="5"/>
  <c r="L428" i="5"/>
  <c r="D429" i="5"/>
  <c r="E429" i="5"/>
  <c r="F429" i="5"/>
  <c r="G429" i="5"/>
  <c r="H429" i="5"/>
  <c r="J429" i="5"/>
  <c r="K429" i="5"/>
  <c r="L429" i="5"/>
  <c r="D430" i="5"/>
  <c r="E430" i="5"/>
  <c r="F430" i="5"/>
  <c r="G430" i="5"/>
  <c r="H430" i="5"/>
  <c r="J430" i="5"/>
  <c r="K430" i="5"/>
  <c r="L430" i="5"/>
  <c r="D431" i="5"/>
  <c r="E431" i="5"/>
  <c r="F431" i="5"/>
  <c r="G431" i="5"/>
  <c r="H431" i="5"/>
  <c r="J431" i="5"/>
  <c r="K431" i="5"/>
  <c r="L431" i="5"/>
  <c r="D432" i="5"/>
  <c r="E432" i="5"/>
  <c r="F432" i="5"/>
  <c r="G432" i="5"/>
  <c r="H432" i="5"/>
  <c r="J432" i="5"/>
  <c r="K432" i="5"/>
  <c r="L432" i="5"/>
  <c r="D433" i="5"/>
  <c r="E433" i="5"/>
  <c r="F433" i="5"/>
  <c r="G433" i="5"/>
  <c r="H433" i="5"/>
  <c r="J433" i="5"/>
  <c r="K433" i="5"/>
  <c r="L433" i="5"/>
  <c r="D434" i="5"/>
  <c r="E434" i="5"/>
  <c r="F434" i="5"/>
  <c r="G434" i="5"/>
  <c r="H434" i="5"/>
  <c r="J434" i="5"/>
  <c r="K434" i="5"/>
  <c r="L434" i="5"/>
  <c r="D435" i="5"/>
  <c r="E435" i="5"/>
  <c r="F435" i="5"/>
  <c r="G435" i="5"/>
  <c r="H435" i="5"/>
  <c r="J435" i="5"/>
  <c r="K435" i="5"/>
  <c r="L435" i="5"/>
  <c r="D436" i="5"/>
  <c r="E436" i="5"/>
  <c r="F436" i="5"/>
  <c r="G436" i="5"/>
  <c r="H436" i="5"/>
  <c r="J436" i="5"/>
  <c r="K436" i="5"/>
  <c r="L436" i="5"/>
  <c r="D437" i="5"/>
  <c r="E437" i="5"/>
  <c r="F437" i="5"/>
  <c r="G437" i="5"/>
  <c r="H437" i="5"/>
  <c r="J437" i="5"/>
  <c r="K437" i="5"/>
  <c r="L437" i="5"/>
  <c r="D438" i="5"/>
  <c r="E438" i="5"/>
  <c r="F438" i="5"/>
  <c r="G438" i="5"/>
  <c r="H438" i="5"/>
  <c r="J438" i="5"/>
  <c r="K438" i="5"/>
  <c r="L438" i="5"/>
  <c r="D439" i="5"/>
  <c r="E439" i="5"/>
  <c r="F439" i="5"/>
  <c r="G439" i="5"/>
  <c r="H439" i="5"/>
  <c r="J439" i="5"/>
  <c r="K439" i="5"/>
  <c r="L439" i="5"/>
  <c r="D440" i="5"/>
  <c r="E440" i="5"/>
  <c r="F440" i="5"/>
  <c r="G440" i="5"/>
  <c r="H440" i="5"/>
  <c r="J440" i="5"/>
  <c r="K440" i="5"/>
  <c r="L440" i="5"/>
  <c r="D441" i="5"/>
  <c r="E441" i="5"/>
  <c r="F441" i="5"/>
  <c r="G441" i="5"/>
  <c r="H441" i="5"/>
  <c r="J441" i="5"/>
  <c r="K441" i="5"/>
  <c r="L441" i="5"/>
  <c r="D442" i="5"/>
  <c r="E442" i="5"/>
  <c r="F442" i="5"/>
  <c r="G442" i="5"/>
  <c r="H442" i="5"/>
  <c r="J442" i="5"/>
  <c r="K442" i="5"/>
  <c r="L442" i="5"/>
  <c r="D443" i="5"/>
  <c r="E443" i="5"/>
  <c r="F443" i="5"/>
  <c r="G443" i="5"/>
  <c r="H443" i="5"/>
  <c r="J443" i="5"/>
  <c r="K443" i="5"/>
  <c r="L443" i="5"/>
  <c r="D444" i="5"/>
  <c r="E444" i="5"/>
  <c r="F444" i="5"/>
  <c r="G444" i="5"/>
  <c r="H444" i="5"/>
  <c r="J444" i="5"/>
  <c r="K444" i="5"/>
  <c r="L444" i="5"/>
  <c r="D445" i="5"/>
  <c r="E445" i="5"/>
  <c r="F445" i="5"/>
  <c r="G445" i="5"/>
  <c r="H445" i="5"/>
  <c r="J445" i="5"/>
  <c r="K445" i="5"/>
  <c r="L445" i="5"/>
  <c r="D446" i="5"/>
  <c r="E446" i="5"/>
  <c r="F446" i="5"/>
  <c r="G446" i="5"/>
  <c r="H446" i="5"/>
  <c r="J446" i="5"/>
  <c r="K446" i="5"/>
  <c r="L446" i="5"/>
  <c r="D447" i="5"/>
  <c r="E447" i="5"/>
  <c r="F447" i="5"/>
  <c r="G447" i="5"/>
  <c r="H447" i="5"/>
  <c r="J447" i="5"/>
  <c r="K447" i="5"/>
  <c r="L447" i="5"/>
  <c r="D448" i="5"/>
  <c r="E448" i="5"/>
  <c r="F448" i="5"/>
  <c r="G448" i="5"/>
  <c r="H448" i="5"/>
  <c r="J448" i="5"/>
  <c r="K448" i="5"/>
  <c r="L448" i="5"/>
  <c r="D449" i="5"/>
  <c r="E449" i="5"/>
  <c r="F449" i="5"/>
  <c r="G449" i="5"/>
  <c r="H449" i="5"/>
  <c r="J449" i="5"/>
  <c r="K449" i="5"/>
  <c r="L449" i="5"/>
  <c r="D450" i="5"/>
  <c r="E450" i="5"/>
  <c r="F450" i="5"/>
  <c r="G450" i="5"/>
  <c r="H450" i="5"/>
  <c r="J450" i="5"/>
  <c r="K450" i="5"/>
  <c r="L450" i="5"/>
  <c r="D451" i="5"/>
  <c r="E451" i="5"/>
  <c r="F451" i="5"/>
  <c r="G451" i="5"/>
  <c r="H451" i="5"/>
  <c r="J451" i="5"/>
  <c r="K451" i="5"/>
  <c r="L451" i="5"/>
  <c r="D452" i="5"/>
  <c r="E452" i="5"/>
  <c r="F452" i="5"/>
  <c r="G452" i="5"/>
  <c r="H452" i="5"/>
  <c r="J452" i="5"/>
  <c r="K452" i="5"/>
  <c r="L452" i="5"/>
  <c r="D453" i="5"/>
  <c r="E453" i="5"/>
  <c r="F453" i="5"/>
  <c r="G453" i="5"/>
  <c r="H453" i="5"/>
  <c r="J453" i="5"/>
  <c r="K453" i="5"/>
  <c r="L453" i="5"/>
  <c r="D454" i="5"/>
  <c r="E454" i="5"/>
  <c r="F454" i="5"/>
  <c r="G454" i="5"/>
  <c r="H454" i="5"/>
  <c r="J454" i="5"/>
  <c r="K454" i="5"/>
  <c r="L454" i="5"/>
  <c r="D455" i="5"/>
  <c r="E455" i="5"/>
  <c r="F455" i="5"/>
  <c r="G455" i="5"/>
  <c r="H455" i="5"/>
  <c r="J455" i="5"/>
  <c r="K455" i="5"/>
  <c r="L455" i="5"/>
  <c r="D456" i="5"/>
  <c r="E456" i="5"/>
  <c r="F456" i="5"/>
  <c r="G456" i="5"/>
  <c r="H456" i="5"/>
  <c r="J456" i="5"/>
  <c r="K456" i="5"/>
  <c r="L456" i="5"/>
  <c r="D457" i="5"/>
  <c r="E457" i="5"/>
  <c r="F457" i="5"/>
  <c r="G457" i="5"/>
  <c r="H457" i="5"/>
  <c r="J457" i="5"/>
  <c r="K457" i="5"/>
  <c r="L457" i="5"/>
  <c r="D458" i="5"/>
  <c r="E458" i="5"/>
  <c r="F458" i="5"/>
  <c r="G458" i="5"/>
  <c r="H458" i="5"/>
  <c r="J458" i="5"/>
  <c r="K458" i="5"/>
  <c r="L458" i="5"/>
  <c r="D459" i="5"/>
  <c r="E459" i="5"/>
  <c r="F459" i="5"/>
  <c r="G459" i="5"/>
  <c r="H459" i="5"/>
  <c r="J459" i="5"/>
  <c r="K459" i="5"/>
  <c r="L459" i="5"/>
  <c r="D460" i="5"/>
  <c r="E460" i="5"/>
  <c r="F460" i="5"/>
  <c r="G460" i="5"/>
  <c r="H460" i="5"/>
  <c r="J460" i="5"/>
  <c r="K460" i="5"/>
  <c r="L460" i="5"/>
  <c r="D461" i="5"/>
  <c r="E461" i="5"/>
  <c r="F461" i="5"/>
  <c r="G461" i="5"/>
  <c r="H461" i="5"/>
  <c r="J461" i="5"/>
  <c r="K461" i="5"/>
  <c r="L461" i="5"/>
  <c r="D462" i="5"/>
  <c r="E462" i="5"/>
  <c r="F462" i="5"/>
  <c r="G462" i="5"/>
  <c r="H462" i="5"/>
  <c r="J462" i="5"/>
  <c r="K462" i="5"/>
  <c r="L462" i="5"/>
  <c r="D463" i="5"/>
  <c r="E463" i="5"/>
  <c r="F463" i="5"/>
  <c r="G463" i="5"/>
  <c r="H463" i="5"/>
  <c r="J463" i="5"/>
  <c r="K463" i="5"/>
  <c r="L463" i="5"/>
  <c r="D464" i="5"/>
  <c r="E464" i="5"/>
  <c r="F464" i="5"/>
  <c r="G464" i="5"/>
  <c r="H464" i="5"/>
  <c r="J464" i="5"/>
  <c r="K464" i="5"/>
  <c r="L464" i="5"/>
  <c r="D465" i="5"/>
  <c r="E465" i="5"/>
  <c r="F465" i="5"/>
  <c r="G465" i="5"/>
  <c r="H465" i="5"/>
  <c r="J465" i="5"/>
  <c r="K465" i="5"/>
  <c r="L465" i="5"/>
  <c r="D466" i="5"/>
  <c r="E466" i="5"/>
  <c r="F466" i="5"/>
  <c r="G466" i="5"/>
  <c r="H466" i="5"/>
  <c r="J466" i="5"/>
  <c r="K466" i="5"/>
  <c r="L466" i="5"/>
  <c r="D467" i="5"/>
  <c r="E467" i="5"/>
  <c r="F467" i="5"/>
  <c r="G467" i="5"/>
  <c r="H467" i="5"/>
  <c r="J467" i="5"/>
  <c r="K467" i="5"/>
  <c r="L467" i="5"/>
  <c r="D468" i="5"/>
  <c r="E468" i="5"/>
  <c r="F468" i="5"/>
  <c r="G468" i="5"/>
  <c r="H468" i="5"/>
  <c r="J468" i="5"/>
  <c r="K468" i="5"/>
  <c r="L468" i="5"/>
  <c r="D469" i="5"/>
  <c r="E469" i="5"/>
  <c r="F469" i="5"/>
  <c r="G469" i="5"/>
  <c r="H469" i="5"/>
  <c r="J469" i="5"/>
  <c r="K469" i="5"/>
  <c r="L469" i="5"/>
  <c r="D470" i="5"/>
  <c r="E470" i="5"/>
  <c r="F470" i="5"/>
  <c r="G470" i="5"/>
  <c r="H470" i="5"/>
  <c r="J470" i="5"/>
  <c r="K470" i="5"/>
  <c r="L470" i="5"/>
  <c r="D471" i="5"/>
  <c r="E471" i="5"/>
  <c r="F471" i="5"/>
  <c r="G471" i="5"/>
  <c r="H471" i="5"/>
  <c r="J471" i="5"/>
  <c r="K471" i="5"/>
  <c r="L471" i="5"/>
  <c r="D472" i="5"/>
  <c r="E472" i="5"/>
  <c r="F472" i="5"/>
  <c r="G472" i="5"/>
  <c r="H472" i="5"/>
  <c r="J472" i="5"/>
  <c r="K472" i="5"/>
  <c r="L472" i="5"/>
  <c r="D473" i="5"/>
  <c r="E473" i="5"/>
  <c r="F473" i="5"/>
  <c r="G473" i="5"/>
  <c r="H473" i="5"/>
  <c r="J473" i="5"/>
  <c r="K473" i="5"/>
  <c r="L473" i="5"/>
  <c r="D474" i="5"/>
  <c r="E474" i="5"/>
  <c r="F474" i="5"/>
  <c r="G474" i="5"/>
  <c r="H474" i="5"/>
  <c r="J474" i="5"/>
  <c r="K474" i="5"/>
  <c r="L474" i="5"/>
  <c r="D475" i="5"/>
  <c r="E475" i="5"/>
  <c r="F475" i="5"/>
  <c r="G475" i="5"/>
  <c r="H475" i="5"/>
  <c r="J475" i="5"/>
  <c r="K475" i="5"/>
  <c r="L475" i="5"/>
  <c r="D476" i="5"/>
  <c r="E476" i="5"/>
  <c r="F476" i="5"/>
  <c r="G476" i="5"/>
  <c r="H476" i="5"/>
  <c r="J476" i="5"/>
  <c r="K476" i="5"/>
  <c r="L476" i="5"/>
  <c r="D477" i="5"/>
  <c r="E477" i="5"/>
  <c r="F477" i="5"/>
  <c r="G477" i="5"/>
  <c r="H477" i="5"/>
  <c r="J477" i="5"/>
  <c r="K477" i="5"/>
  <c r="L477" i="5"/>
  <c r="D478" i="5"/>
  <c r="E478" i="5"/>
  <c r="F478" i="5"/>
  <c r="G478" i="5"/>
  <c r="H478" i="5"/>
  <c r="J478" i="5"/>
  <c r="K478" i="5"/>
  <c r="L478" i="5"/>
  <c r="D479" i="5"/>
  <c r="E479" i="5"/>
  <c r="F479" i="5"/>
  <c r="G479" i="5"/>
  <c r="H479" i="5"/>
  <c r="J479" i="5"/>
  <c r="K479" i="5"/>
  <c r="L479" i="5"/>
  <c r="D480" i="5"/>
  <c r="E480" i="5"/>
  <c r="F480" i="5"/>
  <c r="G480" i="5"/>
  <c r="H480" i="5"/>
  <c r="J480" i="5"/>
  <c r="K480" i="5"/>
  <c r="L480" i="5"/>
  <c r="D481" i="5"/>
  <c r="E481" i="5"/>
  <c r="F481" i="5"/>
  <c r="G481" i="5"/>
  <c r="H481" i="5"/>
  <c r="J481" i="5"/>
  <c r="K481" i="5"/>
  <c r="L481" i="5"/>
  <c r="D482" i="5"/>
  <c r="E482" i="5"/>
  <c r="F482" i="5"/>
  <c r="G482" i="5"/>
  <c r="H482" i="5"/>
  <c r="J482" i="5"/>
  <c r="K482" i="5"/>
  <c r="L482" i="5"/>
  <c r="D483" i="5"/>
  <c r="E483" i="5"/>
  <c r="F483" i="5"/>
  <c r="G483" i="5"/>
  <c r="H483" i="5"/>
  <c r="J483" i="5"/>
  <c r="K483" i="5"/>
  <c r="L483" i="5"/>
  <c r="D484" i="5"/>
  <c r="E484" i="5"/>
  <c r="F484" i="5"/>
  <c r="G484" i="5"/>
  <c r="H484" i="5"/>
  <c r="J484" i="5"/>
  <c r="K484" i="5"/>
  <c r="L484" i="5"/>
  <c r="D485" i="5"/>
  <c r="E485" i="5"/>
  <c r="F485" i="5"/>
  <c r="G485" i="5"/>
  <c r="H485" i="5"/>
  <c r="J485" i="5"/>
  <c r="K485" i="5"/>
  <c r="L485" i="5"/>
  <c r="D486" i="5"/>
  <c r="E486" i="5"/>
  <c r="F486" i="5"/>
  <c r="G486" i="5"/>
  <c r="H486" i="5"/>
  <c r="J486" i="5"/>
  <c r="K486" i="5"/>
  <c r="L486" i="5"/>
  <c r="D487" i="5"/>
  <c r="E487" i="5"/>
  <c r="F487" i="5"/>
  <c r="G487" i="5"/>
  <c r="H487" i="5"/>
  <c r="J487" i="5"/>
  <c r="K487" i="5"/>
  <c r="L487" i="5"/>
  <c r="D488" i="5"/>
  <c r="E488" i="5"/>
  <c r="F488" i="5"/>
  <c r="G488" i="5"/>
  <c r="H488" i="5"/>
  <c r="J488" i="5"/>
  <c r="K488" i="5"/>
  <c r="L488" i="5"/>
  <c r="D489" i="5"/>
  <c r="E489" i="5"/>
  <c r="F489" i="5"/>
  <c r="G489" i="5"/>
  <c r="H489" i="5"/>
  <c r="J489" i="5"/>
  <c r="K489" i="5"/>
  <c r="L489" i="5"/>
  <c r="D490" i="5"/>
  <c r="E490" i="5"/>
  <c r="F490" i="5"/>
  <c r="G490" i="5"/>
  <c r="H490" i="5"/>
  <c r="J490" i="5"/>
  <c r="K490" i="5"/>
  <c r="L490" i="5"/>
  <c r="D491" i="5"/>
  <c r="E491" i="5"/>
  <c r="F491" i="5"/>
  <c r="G491" i="5"/>
  <c r="H491" i="5"/>
  <c r="J491" i="5"/>
  <c r="K491" i="5"/>
  <c r="L491" i="5"/>
  <c r="D492" i="5"/>
  <c r="E492" i="5"/>
  <c r="F492" i="5"/>
  <c r="G492" i="5"/>
  <c r="H492" i="5"/>
  <c r="J492" i="5"/>
  <c r="K492" i="5"/>
  <c r="L492" i="5"/>
  <c r="D493" i="5"/>
  <c r="E493" i="5"/>
  <c r="F493" i="5"/>
  <c r="G493" i="5"/>
  <c r="H493" i="5"/>
  <c r="J493" i="5"/>
  <c r="K493" i="5"/>
  <c r="L493" i="5"/>
  <c r="D494" i="5"/>
  <c r="E494" i="5"/>
  <c r="F494" i="5"/>
  <c r="G494" i="5"/>
  <c r="H494" i="5"/>
  <c r="J494" i="5"/>
  <c r="K494" i="5"/>
  <c r="L494" i="5"/>
  <c r="D495" i="5"/>
  <c r="E495" i="5"/>
  <c r="F495" i="5"/>
  <c r="G495" i="5"/>
  <c r="H495" i="5"/>
  <c r="J495" i="5"/>
  <c r="K495" i="5"/>
  <c r="L495" i="5"/>
  <c r="D496" i="5"/>
  <c r="E496" i="5"/>
  <c r="F496" i="5"/>
  <c r="G496" i="5"/>
  <c r="H496" i="5"/>
  <c r="J496" i="5"/>
  <c r="K496" i="5"/>
  <c r="L496" i="5"/>
  <c r="D497" i="5"/>
  <c r="E497" i="5"/>
  <c r="F497" i="5"/>
  <c r="G497" i="5"/>
  <c r="H497" i="5"/>
  <c r="J497" i="5"/>
  <c r="K497" i="5"/>
  <c r="L497" i="5"/>
  <c r="D498" i="5"/>
  <c r="E498" i="5"/>
  <c r="F498" i="5"/>
  <c r="G498" i="5"/>
  <c r="H498" i="5"/>
  <c r="J498" i="5"/>
  <c r="K498" i="5"/>
  <c r="L498" i="5"/>
  <c r="D499" i="5"/>
  <c r="E499" i="5"/>
  <c r="F499" i="5"/>
  <c r="G499" i="5"/>
  <c r="H499" i="5"/>
  <c r="J499" i="5"/>
  <c r="K499" i="5"/>
  <c r="L499" i="5"/>
  <c r="D500" i="5"/>
  <c r="E500" i="5"/>
  <c r="F500" i="5"/>
  <c r="G500" i="5"/>
  <c r="H500" i="5"/>
  <c r="J500" i="5"/>
  <c r="K500" i="5"/>
  <c r="L500" i="5"/>
  <c r="D501" i="5"/>
  <c r="E501" i="5"/>
  <c r="F501" i="5"/>
  <c r="G501" i="5"/>
  <c r="H501" i="5"/>
  <c r="J501" i="5"/>
  <c r="K501" i="5"/>
  <c r="L501" i="5"/>
  <c r="D502" i="5"/>
  <c r="E502" i="5"/>
  <c r="F502" i="5"/>
  <c r="G502" i="5"/>
  <c r="H502" i="5"/>
  <c r="J502" i="5"/>
  <c r="K502" i="5"/>
  <c r="L502" i="5"/>
  <c r="D503" i="5"/>
  <c r="E503" i="5"/>
  <c r="F503" i="5"/>
  <c r="G503" i="5"/>
  <c r="H503" i="5"/>
  <c r="J503" i="5"/>
  <c r="K503" i="5"/>
  <c r="L503" i="5"/>
  <c r="D504" i="5"/>
  <c r="E504" i="5"/>
  <c r="F504" i="5"/>
  <c r="G504" i="5"/>
  <c r="H504" i="5"/>
  <c r="J504" i="5"/>
  <c r="K504" i="5"/>
  <c r="L504" i="5"/>
  <c r="D505" i="5"/>
  <c r="E505" i="5"/>
  <c r="F505" i="5"/>
  <c r="G505" i="5"/>
  <c r="H505" i="5"/>
  <c r="J505" i="5"/>
  <c r="K505" i="5"/>
  <c r="L505" i="5"/>
  <c r="D506" i="5"/>
  <c r="E506" i="5"/>
  <c r="F506" i="5"/>
  <c r="G506" i="5"/>
  <c r="H506" i="5"/>
  <c r="J506" i="5"/>
  <c r="K506" i="5"/>
  <c r="L506" i="5"/>
  <c r="D507" i="5"/>
  <c r="E507" i="5"/>
  <c r="F507" i="5"/>
  <c r="G507" i="5"/>
  <c r="H507" i="5"/>
  <c r="J507" i="5"/>
  <c r="K507" i="5"/>
  <c r="L507" i="5"/>
  <c r="D508" i="5"/>
  <c r="E508" i="5"/>
  <c r="F508" i="5"/>
  <c r="G508" i="5"/>
  <c r="H508" i="5"/>
  <c r="J508" i="5"/>
  <c r="K508" i="5"/>
  <c r="L508" i="5"/>
  <c r="D509" i="5"/>
  <c r="E509" i="5"/>
  <c r="F509" i="5"/>
  <c r="G509" i="5"/>
  <c r="H509" i="5"/>
  <c r="J509" i="5"/>
  <c r="K509" i="5"/>
  <c r="L509" i="5"/>
  <c r="D510" i="5"/>
  <c r="E510" i="5"/>
  <c r="F510" i="5"/>
  <c r="G510" i="5"/>
  <c r="H510" i="5"/>
  <c r="J510" i="5"/>
  <c r="K510" i="5"/>
  <c r="L510" i="5"/>
  <c r="D511" i="5"/>
  <c r="E511" i="5"/>
  <c r="F511" i="5"/>
  <c r="G511" i="5"/>
  <c r="H511" i="5"/>
  <c r="J511" i="5"/>
  <c r="K511" i="5"/>
  <c r="L511" i="5"/>
  <c r="D512" i="5"/>
  <c r="E512" i="5"/>
  <c r="F512" i="5"/>
  <c r="G512" i="5"/>
  <c r="H512" i="5"/>
  <c r="J512" i="5"/>
  <c r="K512" i="5"/>
  <c r="L512" i="5"/>
  <c r="D513" i="5"/>
  <c r="E513" i="5"/>
  <c r="F513" i="5"/>
  <c r="G513" i="5"/>
  <c r="H513" i="5"/>
  <c r="J513" i="5"/>
  <c r="K513" i="5"/>
  <c r="L513" i="5"/>
  <c r="D514" i="5"/>
  <c r="E514" i="5"/>
  <c r="F514" i="5"/>
  <c r="G514" i="5"/>
  <c r="H514" i="5"/>
  <c r="J514" i="5"/>
  <c r="K514" i="5"/>
  <c r="L514" i="5"/>
  <c r="D515" i="5"/>
  <c r="E515" i="5"/>
  <c r="F515" i="5"/>
  <c r="G515" i="5"/>
  <c r="H515" i="5"/>
  <c r="J515" i="5"/>
  <c r="K515" i="5"/>
  <c r="L515" i="5"/>
  <c r="D516" i="5"/>
  <c r="E516" i="5"/>
  <c r="F516" i="5"/>
  <c r="G516" i="5"/>
  <c r="H516" i="5"/>
  <c r="J516" i="5"/>
  <c r="K516" i="5"/>
  <c r="L516" i="5"/>
  <c r="D517" i="5"/>
  <c r="E517" i="5"/>
  <c r="F517" i="5"/>
  <c r="G517" i="5"/>
  <c r="H517" i="5"/>
  <c r="J517" i="5"/>
  <c r="K517" i="5"/>
  <c r="L517" i="5"/>
  <c r="D518" i="5"/>
  <c r="E518" i="5"/>
  <c r="F518" i="5"/>
  <c r="G518" i="5"/>
  <c r="H518" i="5"/>
  <c r="J518" i="5"/>
  <c r="K518" i="5"/>
  <c r="L518" i="5"/>
  <c r="D519" i="5"/>
  <c r="E519" i="5"/>
  <c r="F519" i="5"/>
  <c r="G519" i="5"/>
  <c r="H519" i="5"/>
  <c r="J519" i="5"/>
  <c r="K519" i="5"/>
  <c r="L519" i="5"/>
  <c r="D520" i="5"/>
  <c r="E520" i="5"/>
  <c r="F520" i="5"/>
  <c r="G520" i="5"/>
  <c r="H520" i="5"/>
  <c r="J520" i="5"/>
  <c r="K520" i="5"/>
  <c r="L520" i="5"/>
  <c r="D521" i="5"/>
  <c r="E521" i="5"/>
  <c r="F521" i="5"/>
  <c r="G521" i="5"/>
  <c r="H521" i="5"/>
  <c r="J521" i="5"/>
  <c r="K521" i="5"/>
  <c r="L521" i="5"/>
  <c r="D522" i="5"/>
  <c r="E522" i="5"/>
  <c r="F522" i="5"/>
  <c r="G522" i="5"/>
  <c r="H522" i="5"/>
  <c r="J522" i="5"/>
  <c r="K522" i="5"/>
  <c r="L522" i="5"/>
  <c r="D523" i="5"/>
  <c r="E523" i="5"/>
  <c r="F523" i="5"/>
  <c r="G523" i="5"/>
  <c r="H523" i="5"/>
  <c r="J523" i="5"/>
  <c r="K523" i="5"/>
  <c r="L523" i="5"/>
  <c r="D524" i="5"/>
  <c r="E524" i="5"/>
  <c r="F524" i="5"/>
  <c r="G524" i="5"/>
  <c r="H524" i="5"/>
  <c r="J524" i="5"/>
  <c r="K524" i="5"/>
  <c r="L524" i="5"/>
  <c r="D525" i="5"/>
  <c r="E525" i="5"/>
  <c r="F525" i="5"/>
  <c r="G525" i="5"/>
  <c r="H525" i="5"/>
  <c r="J525" i="5"/>
  <c r="K525" i="5"/>
  <c r="L525" i="5"/>
  <c r="D526" i="5"/>
  <c r="E526" i="5"/>
  <c r="F526" i="5"/>
  <c r="G526" i="5"/>
  <c r="H526" i="5"/>
  <c r="J526" i="5"/>
  <c r="K526" i="5"/>
  <c r="L526" i="5"/>
  <c r="D527" i="5"/>
  <c r="E527" i="5"/>
  <c r="F527" i="5"/>
  <c r="G527" i="5"/>
  <c r="H527" i="5"/>
  <c r="J527" i="5"/>
  <c r="K527" i="5"/>
  <c r="L527" i="5"/>
  <c r="D528" i="5"/>
  <c r="E528" i="5"/>
  <c r="F528" i="5"/>
  <c r="G528" i="5"/>
  <c r="H528" i="5"/>
  <c r="J528" i="5"/>
  <c r="K528" i="5"/>
  <c r="L528" i="5"/>
  <c r="D529" i="5"/>
  <c r="E529" i="5"/>
  <c r="F529" i="5"/>
  <c r="G529" i="5"/>
  <c r="H529" i="5"/>
  <c r="J529" i="5"/>
  <c r="K529" i="5"/>
  <c r="L529" i="5"/>
  <c r="D530" i="5"/>
  <c r="E530" i="5"/>
  <c r="F530" i="5"/>
  <c r="G530" i="5"/>
  <c r="H530" i="5"/>
  <c r="J530" i="5"/>
  <c r="K530" i="5"/>
  <c r="L530" i="5"/>
  <c r="D531" i="5"/>
  <c r="E531" i="5"/>
  <c r="F531" i="5"/>
  <c r="G531" i="5"/>
  <c r="H531" i="5"/>
  <c r="J531" i="5"/>
  <c r="K531" i="5"/>
  <c r="L531" i="5"/>
  <c r="D532" i="5"/>
  <c r="E532" i="5"/>
  <c r="F532" i="5"/>
  <c r="G532" i="5"/>
  <c r="H532" i="5"/>
  <c r="J532" i="5"/>
  <c r="K532" i="5"/>
  <c r="L532" i="5"/>
  <c r="D533" i="5"/>
  <c r="E533" i="5"/>
  <c r="F533" i="5"/>
  <c r="G533" i="5"/>
  <c r="H533" i="5"/>
  <c r="J533" i="5"/>
  <c r="K533" i="5"/>
  <c r="L533" i="5"/>
  <c r="D534" i="5"/>
  <c r="E534" i="5"/>
  <c r="F534" i="5"/>
  <c r="G534" i="5"/>
  <c r="H534" i="5"/>
  <c r="J534" i="5"/>
  <c r="K534" i="5"/>
  <c r="L534" i="5"/>
  <c r="D535" i="5"/>
  <c r="E535" i="5"/>
  <c r="F535" i="5"/>
  <c r="G535" i="5"/>
  <c r="H535" i="5"/>
  <c r="J535" i="5"/>
  <c r="K535" i="5"/>
  <c r="L535" i="5"/>
  <c r="D536" i="5"/>
  <c r="E536" i="5"/>
  <c r="F536" i="5"/>
  <c r="G536" i="5"/>
  <c r="H536" i="5"/>
  <c r="J536" i="5"/>
  <c r="K536" i="5"/>
  <c r="L536" i="5"/>
  <c r="D537" i="5"/>
  <c r="E537" i="5"/>
  <c r="F537" i="5"/>
  <c r="G537" i="5"/>
  <c r="H537" i="5"/>
  <c r="J537" i="5"/>
  <c r="K537" i="5"/>
  <c r="L537" i="5"/>
  <c r="D538" i="5"/>
  <c r="E538" i="5"/>
  <c r="F538" i="5"/>
  <c r="G538" i="5"/>
  <c r="H538" i="5"/>
  <c r="J538" i="5"/>
  <c r="K538" i="5"/>
  <c r="L538" i="5"/>
  <c r="D539" i="5"/>
  <c r="E539" i="5"/>
  <c r="F539" i="5"/>
  <c r="G539" i="5"/>
  <c r="H539" i="5"/>
  <c r="J539" i="5"/>
  <c r="K539" i="5"/>
  <c r="L539" i="5"/>
  <c r="D540" i="5"/>
  <c r="E540" i="5"/>
  <c r="F540" i="5"/>
  <c r="G540" i="5"/>
  <c r="H540" i="5"/>
  <c r="J540" i="5"/>
  <c r="K540" i="5"/>
  <c r="L540" i="5"/>
  <c r="D541" i="5"/>
  <c r="E541" i="5"/>
  <c r="F541" i="5"/>
  <c r="G541" i="5"/>
  <c r="H541" i="5"/>
  <c r="J541" i="5"/>
  <c r="K541" i="5"/>
  <c r="L541" i="5"/>
  <c r="D542" i="5"/>
  <c r="E542" i="5"/>
  <c r="F542" i="5"/>
  <c r="G542" i="5"/>
  <c r="H542" i="5"/>
  <c r="J542" i="5"/>
  <c r="K542" i="5"/>
  <c r="L542" i="5"/>
  <c r="D543" i="5"/>
  <c r="E543" i="5"/>
  <c r="F543" i="5"/>
  <c r="G543" i="5"/>
  <c r="H543" i="5"/>
  <c r="J543" i="5"/>
  <c r="K543" i="5"/>
  <c r="L543" i="5"/>
  <c r="D544" i="5"/>
  <c r="E544" i="5"/>
  <c r="F544" i="5"/>
  <c r="G544" i="5"/>
  <c r="H544" i="5"/>
  <c r="J544" i="5"/>
  <c r="K544" i="5"/>
  <c r="L544" i="5"/>
  <c r="D545" i="5"/>
  <c r="E545" i="5"/>
  <c r="F545" i="5"/>
  <c r="G545" i="5"/>
  <c r="H545" i="5"/>
  <c r="J545" i="5"/>
  <c r="K545" i="5"/>
  <c r="L545" i="5"/>
  <c r="D546" i="5"/>
  <c r="E546" i="5"/>
  <c r="F546" i="5"/>
  <c r="G546" i="5"/>
  <c r="H546" i="5"/>
  <c r="J546" i="5"/>
  <c r="K546" i="5"/>
  <c r="L546" i="5"/>
  <c r="D547" i="5"/>
  <c r="E547" i="5"/>
  <c r="F547" i="5"/>
  <c r="G547" i="5"/>
  <c r="H547" i="5"/>
  <c r="J547" i="5"/>
  <c r="K547" i="5"/>
  <c r="L547" i="5"/>
  <c r="D548" i="5"/>
  <c r="E548" i="5"/>
  <c r="F548" i="5"/>
  <c r="G548" i="5"/>
  <c r="H548" i="5"/>
  <c r="J548" i="5"/>
  <c r="K548" i="5"/>
  <c r="L548" i="5"/>
  <c r="D549" i="5"/>
  <c r="E549" i="5"/>
  <c r="F549" i="5"/>
  <c r="G549" i="5"/>
  <c r="H549" i="5"/>
  <c r="J549" i="5"/>
  <c r="K549" i="5"/>
  <c r="L549" i="5"/>
  <c r="D550" i="5"/>
  <c r="E550" i="5"/>
  <c r="F550" i="5"/>
  <c r="G550" i="5"/>
  <c r="H550" i="5"/>
  <c r="J550" i="5"/>
  <c r="K550" i="5"/>
  <c r="L550" i="5"/>
  <c r="D551" i="5"/>
  <c r="E551" i="5"/>
  <c r="F551" i="5"/>
  <c r="G551" i="5"/>
  <c r="H551" i="5"/>
  <c r="J551" i="5"/>
  <c r="K551" i="5"/>
  <c r="L551" i="5"/>
  <c r="D552" i="5"/>
  <c r="E552" i="5"/>
  <c r="F552" i="5"/>
  <c r="G552" i="5"/>
  <c r="H552" i="5"/>
  <c r="J552" i="5"/>
  <c r="K552" i="5"/>
  <c r="L552" i="5"/>
  <c r="D553" i="5"/>
  <c r="E553" i="5"/>
  <c r="F553" i="5"/>
  <c r="G553" i="5"/>
  <c r="H553" i="5"/>
  <c r="J553" i="5"/>
  <c r="K553" i="5"/>
  <c r="L553" i="5"/>
  <c r="D554" i="5"/>
  <c r="E554" i="5"/>
  <c r="F554" i="5"/>
  <c r="G554" i="5"/>
  <c r="H554" i="5"/>
  <c r="J554" i="5"/>
  <c r="K554" i="5"/>
  <c r="L554" i="5"/>
  <c r="D555" i="5"/>
  <c r="E555" i="5"/>
  <c r="F555" i="5"/>
  <c r="G555" i="5"/>
  <c r="H555" i="5"/>
  <c r="I555" i="5"/>
  <c r="J555" i="5"/>
  <c r="K555" i="5"/>
  <c r="L555" i="5"/>
  <c r="D556" i="5"/>
  <c r="E556" i="5"/>
  <c r="F556" i="5"/>
  <c r="G556" i="5"/>
  <c r="H556" i="5"/>
  <c r="J556" i="5"/>
  <c r="K556" i="5"/>
  <c r="L556" i="5"/>
  <c r="D557" i="5"/>
  <c r="E557" i="5"/>
  <c r="F557" i="5"/>
  <c r="G557" i="5"/>
  <c r="H557" i="5"/>
  <c r="J557" i="5"/>
  <c r="K557" i="5"/>
  <c r="L557" i="5"/>
  <c r="D558" i="5"/>
  <c r="E558" i="5"/>
  <c r="F558" i="5"/>
  <c r="G558" i="5"/>
  <c r="H558" i="5"/>
  <c r="J558" i="5"/>
  <c r="K558" i="5"/>
  <c r="L558" i="5"/>
  <c r="D559" i="5"/>
  <c r="E559" i="5"/>
  <c r="F559" i="5"/>
  <c r="G559" i="5"/>
  <c r="H559" i="5"/>
  <c r="I559" i="5"/>
  <c r="J559" i="5"/>
  <c r="K559" i="5"/>
  <c r="L559" i="5"/>
  <c r="D560" i="5"/>
  <c r="E560" i="5"/>
  <c r="F560" i="5"/>
  <c r="G560" i="5"/>
  <c r="H560" i="5"/>
  <c r="J560" i="5"/>
  <c r="K560" i="5"/>
  <c r="L560" i="5"/>
  <c r="D561" i="5"/>
  <c r="E561" i="5"/>
  <c r="F561" i="5"/>
  <c r="G561" i="5"/>
  <c r="H561" i="5"/>
  <c r="J561" i="5"/>
  <c r="K561" i="5"/>
  <c r="L561" i="5"/>
  <c r="D562" i="5"/>
  <c r="E562" i="5"/>
  <c r="F562" i="5"/>
  <c r="G562" i="5"/>
  <c r="H562" i="5"/>
  <c r="J562" i="5"/>
  <c r="K562" i="5"/>
  <c r="L562" i="5"/>
  <c r="D563" i="5"/>
  <c r="E563" i="5"/>
  <c r="F563" i="5"/>
  <c r="G563" i="5"/>
  <c r="H563" i="5"/>
  <c r="I563" i="5"/>
  <c r="J563" i="5"/>
  <c r="K563" i="5"/>
  <c r="L563" i="5"/>
  <c r="D564" i="5"/>
  <c r="E564" i="5"/>
  <c r="F564" i="5"/>
  <c r="G564" i="5"/>
  <c r="H564" i="5"/>
  <c r="J564" i="5"/>
  <c r="K564" i="5"/>
  <c r="L564" i="5"/>
  <c r="D565" i="5"/>
  <c r="E565" i="5"/>
  <c r="F565" i="5"/>
  <c r="G565" i="5"/>
  <c r="H565" i="5"/>
  <c r="J565" i="5"/>
  <c r="K565" i="5"/>
  <c r="L565" i="5"/>
  <c r="D566" i="5"/>
  <c r="E566" i="5"/>
  <c r="F566" i="5"/>
  <c r="G566" i="5"/>
  <c r="H566" i="5"/>
  <c r="I566" i="5"/>
  <c r="J566" i="5"/>
  <c r="K566" i="5"/>
  <c r="L566" i="5"/>
  <c r="D567" i="5"/>
  <c r="E567" i="5"/>
  <c r="F567" i="5"/>
  <c r="G567" i="5"/>
  <c r="H567" i="5"/>
  <c r="I567" i="5"/>
  <c r="J567" i="5"/>
  <c r="K567" i="5"/>
  <c r="L567" i="5"/>
  <c r="D568" i="5"/>
  <c r="E568" i="5"/>
  <c r="F568" i="5"/>
  <c r="G568" i="5"/>
  <c r="H568" i="5"/>
  <c r="J568" i="5"/>
  <c r="K568" i="5"/>
  <c r="L568" i="5"/>
  <c r="D569" i="5"/>
  <c r="E569" i="5"/>
  <c r="F569" i="5"/>
  <c r="G569" i="5"/>
  <c r="H569" i="5"/>
  <c r="J569" i="5"/>
  <c r="K569" i="5"/>
  <c r="L569" i="5"/>
  <c r="D570" i="5"/>
  <c r="E570" i="5"/>
  <c r="F570" i="5"/>
  <c r="G570" i="5"/>
  <c r="H570" i="5"/>
  <c r="J570" i="5"/>
  <c r="K570" i="5"/>
  <c r="L570" i="5"/>
  <c r="D571" i="5"/>
  <c r="E571" i="5"/>
  <c r="F571" i="5"/>
  <c r="G571" i="5"/>
  <c r="H571" i="5"/>
  <c r="I571" i="5"/>
  <c r="J571" i="5"/>
  <c r="K571" i="5"/>
  <c r="L571" i="5"/>
  <c r="D572" i="5"/>
  <c r="E572" i="5"/>
  <c r="F572" i="5"/>
  <c r="G572" i="5"/>
  <c r="H572" i="5"/>
  <c r="J572" i="5"/>
  <c r="K572" i="5"/>
  <c r="L572" i="5"/>
  <c r="D573" i="5"/>
  <c r="E573" i="5"/>
  <c r="F573" i="5"/>
  <c r="G573" i="5"/>
  <c r="H573" i="5"/>
  <c r="J573" i="5"/>
  <c r="K573" i="5"/>
  <c r="L573" i="5"/>
  <c r="D574" i="5"/>
  <c r="E574" i="5"/>
  <c r="F574" i="5"/>
  <c r="G574" i="5"/>
  <c r="H574" i="5"/>
  <c r="J574" i="5"/>
  <c r="K574" i="5"/>
  <c r="L574" i="5"/>
  <c r="D575" i="5"/>
  <c r="E575" i="5"/>
  <c r="F575" i="5"/>
  <c r="G575" i="5"/>
  <c r="H575" i="5"/>
  <c r="J575" i="5"/>
  <c r="K575" i="5"/>
  <c r="L575" i="5"/>
  <c r="D576" i="5"/>
  <c r="E576" i="5"/>
  <c r="F576" i="5"/>
  <c r="G576" i="5"/>
  <c r="H576" i="5"/>
  <c r="J576" i="5"/>
  <c r="K576" i="5"/>
  <c r="L576" i="5"/>
  <c r="D577" i="5"/>
  <c r="E577" i="5"/>
  <c r="F577" i="5"/>
  <c r="G577" i="5"/>
  <c r="H577" i="5"/>
  <c r="J577" i="5"/>
  <c r="K577" i="5"/>
  <c r="L577" i="5"/>
  <c r="D578" i="5"/>
  <c r="E578" i="5"/>
  <c r="F578" i="5"/>
  <c r="G578" i="5"/>
  <c r="H578" i="5"/>
  <c r="J578" i="5"/>
  <c r="K578" i="5"/>
  <c r="L578" i="5"/>
  <c r="D579" i="5"/>
  <c r="E579" i="5"/>
  <c r="F579" i="5"/>
  <c r="G579" i="5"/>
  <c r="H579" i="5"/>
  <c r="I579" i="5"/>
  <c r="J579" i="5"/>
  <c r="K579" i="5"/>
  <c r="L579" i="5"/>
  <c r="D580" i="5"/>
  <c r="E580" i="5"/>
  <c r="F580" i="5"/>
  <c r="G580" i="5"/>
  <c r="H580" i="5"/>
  <c r="J580" i="5"/>
  <c r="K580" i="5"/>
  <c r="L580" i="5"/>
  <c r="D581" i="5"/>
  <c r="E581" i="5"/>
  <c r="F581" i="5"/>
  <c r="G581" i="5"/>
  <c r="H581" i="5"/>
  <c r="J581" i="5"/>
  <c r="K581" i="5"/>
  <c r="L581" i="5"/>
  <c r="D582" i="5"/>
  <c r="E582" i="5"/>
  <c r="F582" i="5"/>
  <c r="G582" i="5"/>
  <c r="H582" i="5"/>
  <c r="J582" i="5"/>
  <c r="K582" i="5"/>
  <c r="L582" i="5"/>
  <c r="D583" i="5"/>
  <c r="E583" i="5"/>
  <c r="F583" i="5"/>
  <c r="G583" i="5"/>
  <c r="H583" i="5"/>
  <c r="I583" i="5"/>
  <c r="J583" i="5"/>
  <c r="K583" i="5"/>
  <c r="L583" i="5"/>
  <c r="D584" i="5"/>
  <c r="E584" i="5"/>
  <c r="F584" i="5"/>
  <c r="G584" i="5"/>
  <c r="H584" i="5"/>
  <c r="J584" i="5"/>
  <c r="K584" i="5"/>
  <c r="L584" i="5"/>
  <c r="D585" i="5"/>
  <c r="E585" i="5"/>
  <c r="F585" i="5"/>
  <c r="G585" i="5"/>
  <c r="H585" i="5"/>
  <c r="J585" i="5"/>
  <c r="K585" i="5"/>
  <c r="L585" i="5"/>
  <c r="D586" i="5"/>
  <c r="E586" i="5"/>
  <c r="F586" i="5"/>
  <c r="G586" i="5"/>
  <c r="H586" i="5"/>
  <c r="J586" i="5"/>
  <c r="K586" i="5"/>
  <c r="L586" i="5"/>
  <c r="D587" i="5"/>
  <c r="E587" i="5"/>
  <c r="F587" i="5"/>
  <c r="G587" i="5"/>
  <c r="H587" i="5"/>
  <c r="I587" i="5"/>
  <c r="J587" i="5"/>
  <c r="K587" i="5"/>
  <c r="L587" i="5"/>
  <c r="D588" i="5"/>
  <c r="E588" i="5"/>
  <c r="F588" i="5"/>
  <c r="G588" i="5"/>
  <c r="H588" i="5"/>
  <c r="J588" i="5"/>
  <c r="K588" i="5"/>
  <c r="L588" i="5"/>
  <c r="D589" i="5"/>
  <c r="E589" i="5"/>
  <c r="F589" i="5"/>
  <c r="G589" i="5"/>
  <c r="H589" i="5"/>
  <c r="J589" i="5"/>
  <c r="K589" i="5"/>
  <c r="L589" i="5"/>
  <c r="D590" i="5"/>
  <c r="E590" i="5"/>
  <c r="F590" i="5"/>
  <c r="G590" i="5"/>
  <c r="H590" i="5"/>
  <c r="J590" i="5"/>
  <c r="K590" i="5"/>
  <c r="L590" i="5"/>
  <c r="D591" i="5"/>
  <c r="E591" i="5"/>
  <c r="F591" i="5"/>
  <c r="G591" i="5"/>
  <c r="H591" i="5"/>
  <c r="I591" i="5"/>
  <c r="J591" i="5"/>
  <c r="K591" i="5"/>
  <c r="L591" i="5"/>
  <c r="D592" i="5"/>
  <c r="E592" i="5"/>
  <c r="F592" i="5"/>
  <c r="G592" i="5"/>
  <c r="H592" i="5"/>
  <c r="J592" i="5"/>
  <c r="K592" i="5"/>
  <c r="L592" i="5"/>
  <c r="D593" i="5"/>
  <c r="E593" i="5"/>
  <c r="F593" i="5"/>
  <c r="G593" i="5"/>
  <c r="H593" i="5"/>
  <c r="J593" i="5"/>
  <c r="K593" i="5"/>
  <c r="L593" i="5"/>
  <c r="D594" i="5"/>
  <c r="E594" i="5"/>
  <c r="F594" i="5"/>
  <c r="G594" i="5"/>
  <c r="H594" i="5"/>
  <c r="J594" i="5"/>
  <c r="K594" i="5"/>
  <c r="L594" i="5"/>
  <c r="D595" i="5"/>
  <c r="E595" i="5"/>
  <c r="F595" i="5"/>
  <c r="G595" i="5"/>
  <c r="H595" i="5"/>
  <c r="I595" i="5"/>
  <c r="J595" i="5"/>
  <c r="K595" i="5"/>
  <c r="L595" i="5"/>
  <c r="D596" i="5"/>
  <c r="E596" i="5"/>
  <c r="F596" i="5"/>
  <c r="G596" i="5"/>
  <c r="H596" i="5"/>
  <c r="J596" i="5"/>
  <c r="K596" i="5"/>
  <c r="L596" i="5"/>
  <c r="D597" i="5"/>
  <c r="E597" i="5"/>
  <c r="F597" i="5"/>
  <c r="G597" i="5"/>
  <c r="H597" i="5"/>
  <c r="J597" i="5"/>
  <c r="K597" i="5"/>
  <c r="L597" i="5"/>
  <c r="D598" i="5"/>
  <c r="E598" i="5"/>
  <c r="F598" i="5"/>
  <c r="G598" i="5"/>
  <c r="H598" i="5"/>
  <c r="J598" i="5"/>
  <c r="K598" i="5"/>
  <c r="L598" i="5"/>
  <c r="D599" i="5"/>
  <c r="E599" i="5"/>
  <c r="F599" i="5"/>
  <c r="G599" i="5"/>
  <c r="H599" i="5"/>
  <c r="I599" i="5"/>
  <c r="J599" i="5"/>
  <c r="K599" i="5"/>
  <c r="L599" i="5"/>
  <c r="D600" i="5"/>
  <c r="E600" i="5"/>
  <c r="F600" i="5"/>
  <c r="G600" i="5"/>
  <c r="H600" i="5"/>
  <c r="J600" i="5"/>
  <c r="K600" i="5"/>
  <c r="L600" i="5"/>
  <c r="D601" i="5"/>
  <c r="E601" i="5"/>
  <c r="F601" i="5"/>
  <c r="G601" i="5"/>
  <c r="H601" i="5"/>
  <c r="J601" i="5"/>
  <c r="K601" i="5"/>
  <c r="L601" i="5"/>
  <c r="D602" i="5"/>
  <c r="E602" i="5"/>
  <c r="F602" i="5"/>
  <c r="G602" i="5"/>
  <c r="H602" i="5"/>
  <c r="J602" i="5"/>
  <c r="K602" i="5"/>
  <c r="L602" i="5"/>
  <c r="D603" i="5"/>
  <c r="E603" i="5"/>
  <c r="F603" i="5"/>
  <c r="G603" i="5"/>
  <c r="H603" i="5"/>
  <c r="J603" i="5"/>
  <c r="K603" i="5"/>
  <c r="L603" i="5"/>
  <c r="D604" i="5"/>
  <c r="E604" i="5"/>
  <c r="F604" i="5"/>
  <c r="G604" i="5"/>
  <c r="H604" i="5"/>
  <c r="J604" i="5"/>
  <c r="K604" i="5"/>
  <c r="L604" i="5"/>
  <c r="D605" i="5"/>
  <c r="E605" i="5"/>
  <c r="F605" i="5"/>
  <c r="G605" i="5"/>
  <c r="H605" i="5"/>
  <c r="J605" i="5"/>
  <c r="K605" i="5"/>
  <c r="L605" i="5"/>
  <c r="D606" i="5"/>
  <c r="E606" i="5"/>
  <c r="F606" i="5"/>
  <c r="G606" i="5"/>
  <c r="H606" i="5"/>
  <c r="J606" i="5"/>
  <c r="K606" i="5"/>
  <c r="L606" i="5"/>
  <c r="D607" i="5"/>
  <c r="E607" i="5"/>
  <c r="F607" i="5"/>
  <c r="G607" i="5"/>
  <c r="H607" i="5"/>
  <c r="I607" i="5"/>
  <c r="J607" i="5"/>
  <c r="K607" i="5"/>
  <c r="L607" i="5"/>
  <c r="D608" i="5"/>
  <c r="E608" i="5"/>
  <c r="F608" i="5"/>
  <c r="G608" i="5"/>
  <c r="H608" i="5"/>
  <c r="J608" i="5"/>
  <c r="K608" i="5"/>
  <c r="L608" i="5"/>
  <c r="D609" i="5"/>
  <c r="E609" i="5"/>
  <c r="F609" i="5"/>
  <c r="G609" i="5"/>
  <c r="H609" i="5"/>
  <c r="J609" i="5"/>
  <c r="K609" i="5"/>
  <c r="L609" i="5"/>
  <c r="D610" i="5"/>
  <c r="E610" i="5"/>
  <c r="F610" i="5"/>
  <c r="G610" i="5"/>
  <c r="H610" i="5"/>
  <c r="J610" i="5"/>
  <c r="K610" i="5"/>
  <c r="L610" i="5"/>
  <c r="D611" i="5"/>
  <c r="E611" i="5"/>
  <c r="F611" i="5"/>
  <c r="G611" i="5"/>
  <c r="H611" i="5"/>
  <c r="I611" i="5"/>
  <c r="J611" i="5"/>
  <c r="K611" i="5"/>
  <c r="L611" i="5"/>
  <c r="D612" i="5"/>
  <c r="E612" i="5"/>
  <c r="F612" i="5"/>
  <c r="G612" i="5"/>
  <c r="H612" i="5"/>
  <c r="J612" i="5"/>
  <c r="K612" i="5"/>
  <c r="L612" i="5"/>
  <c r="D613" i="5"/>
  <c r="E613" i="5"/>
  <c r="F613" i="5"/>
  <c r="G613" i="5"/>
  <c r="H613" i="5"/>
  <c r="J613" i="5"/>
  <c r="K613" i="5"/>
  <c r="L613" i="5"/>
  <c r="D614" i="5"/>
  <c r="E614" i="5"/>
  <c r="F614" i="5"/>
  <c r="G614" i="5"/>
  <c r="H614" i="5"/>
  <c r="J614" i="5"/>
  <c r="K614" i="5"/>
  <c r="L614" i="5"/>
  <c r="D615" i="5"/>
  <c r="E615" i="5"/>
  <c r="F615" i="5"/>
  <c r="G615" i="5"/>
  <c r="H615" i="5"/>
  <c r="J615" i="5"/>
  <c r="K615" i="5"/>
  <c r="L615" i="5"/>
  <c r="D616" i="5"/>
  <c r="E616" i="5"/>
  <c r="F616" i="5"/>
  <c r="G616" i="5"/>
  <c r="H616" i="5"/>
  <c r="J616" i="5"/>
  <c r="K616" i="5"/>
  <c r="L616" i="5"/>
  <c r="D617" i="5"/>
  <c r="E617" i="5"/>
  <c r="F617" i="5"/>
  <c r="G617" i="5"/>
  <c r="H617" i="5"/>
  <c r="J617" i="5"/>
  <c r="K617" i="5"/>
  <c r="L617" i="5"/>
  <c r="D618" i="5"/>
  <c r="E618" i="5"/>
  <c r="F618" i="5"/>
  <c r="G618" i="5"/>
  <c r="H618" i="5"/>
  <c r="J618" i="5"/>
  <c r="K618" i="5"/>
  <c r="L618" i="5"/>
  <c r="D619" i="5"/>
  <c r="E619" i="5"/>
  <c r="F619" i="5"/>
  <c r="G619" i="5"/>
  <c r="H619" i="5"/>
  <c r="I619" i="5"/>
  <c r="J619" i="5"/>
  <c r="K619" i="5"/>
  <c r="L619" i="5"/>
  <c r="D620" i="5"/>
  <c r="E620" i="5"/>
  <c r="F620" i="5"/>
  <c r="G620" i="5"/>
  <c r="H620" i="5"/>
  <c r="J620" i="5"/>
  <c r="K620" i="5"/>
  <c r="L620" i="5"/>
  <c r="D621" i="5"/>
  <c r="E621" i="5"/>
  <c r="F621" i="5"/>
  <c r="G621" i="5"/>
  <c r="H621" i="5"/>
  <c r="J621" i="5"/>
  <c r="K621" i="5"/>
  <c r="L621" i="5"/>
  <c r="D622" i="5"/>
  <c r="E622" i="5"/>
  <c r="F622" i="5"/>
  <c r="G622" i="5"/>
  <c r="H622" i="5"/>
  <c r="J622" i="5"/>
  <c r="K622" i="5"/>
  <c r="L622" i="5"/>
  <c r="D623" i="5"/>
  <c r="E623" i="5"/>
  <c r="F623" i="5"/>
  <c r="G623" i="5"/>
  <c r="H623" i="5"/>
  <c r="I623" i="5"/>
  <c r="J623" i="5"/>
  <c r="K623" i="5"/>
  <c r="L623" i="5"/>
  <c r="D624" i="5"/>
  <c r="E624" i="5"/>
  <c r="F624" i="5"/>
  <c r="G624" i="5"/>
  <c r="H624" i="5"/>
  <c r="J624" i="5"/>
  <c r="K624" i="5"/>
  <c r="L624" i="5"/>
  <c r="D625" i="5"/>
  <c r="E625" i="5"/>
  <c r="F625" i="5"/>
  <c r="G625" i="5"/>
  <c r="H625" i="5"/>
  <c r="J625" i="5"/>
  <c r="K625" i="5"/>
  <c r="L625" i="5"/>
  <c r="D626" i="5"/>
  <c r="E626" i="5"/>
  <c r="F626" i="5"/>
  <c r="G626" i="5"/>
  <c r="H626" i="5"/>
  <c r="J626" i="5"/>
  <c r="K626" i="5"/>
  <c r="L626" i="5"/>
  <c r="D627" i="5"/>
  <c r="E627" i="5"/>
  <c r="F627" i="5"/>
  <c r="G627" i="5"/>
  <c r="H627" i="5"/>
  <c r="I627" i="5"/>
  <c r="J627" i="5"/>
  <c r="K627" i="5"/>
  <c r="L627" i="5"/>
  <c r="D628" i="5"/>
  <c r="E628" i="5"/>
  <c r="F628" i="5"/>
  <c r="G628" i="5"/>
  <c r="H628" i="5"/>
  <c r="J628" i="5"/>
  <c r="K628" i="5"/>
  <c r="L628" i="5"/>
  <c r="D629" i="5"/>
  <c r="E629" i="5"/>
  <c r="F629" i="5"/>
  <c r="G629" i="5"/>
  <c r="H629" i="5"/>
  <c r="J629" i="5"/>
  <c r="K629" i="5"/>
  <c r="L629" i="5"/>
  <c r="D630" i="5"/>
  <c r="E630" i="5"/>
  <c r="F630" i="5"/>
  <c r="G630" i="5"/>
  <c r="H630" i="5"/>
  <c r="J630" i="5"/>
  <c r="K630" i="5"/>
  <c r="L630" i="5"/>
  <c r="D631" i="5"/>
  <c r="E631" i="5"/>
  <c r="F631" i="5"/>
  <c r="G631" i="5"/>
  <c r="H631" i="5"/>
  <c r="I631" i="5"/>
  <c r="J631" i="5"/>
  <c r="K631" i="5"/>
  <c r="L631" i="5"/>
  <c r="D632" i="5"/>
  <c r="E632" i="5"/>
  <c r="F632" i="5"/>
  <c r="G632" i="5"/>
  <c r="H632" i="5"/>
  <c r="J632" i="5"/>
  <c r="K632" i="5"/>
  <c r="L632" i="5"/>
  <c r="D633" i="5"/>
  <c r="E633" i="5"/>
  <c r="F633" i="5"/>
  <c r="G633" i="5"/>
  <c r="H633" i="5"/>
  <c r="J633" i="5"/>
  <c r="K633" i="5"/>
  <c r="L633" i="5"/>
  <c r="D634" i="5"/>
  <c r="E634" i="5"/>
  <c r="F634" i="5"/>
  <c r="G634" i="5"/>
  <c r="H634" i="5"/>
  <c r="J634" i="5"/>
  <c r="K634" i="5"/>
  <c r="L634" i="5"/>
  <c r="D635" i="5"/>
  <c r="E635" i="5"/>
  <c r="F635" i="5"/>
  <c r="G635" i="5"/>
  <c r="H635" i="5"/>
  <c r="I635" i="5"/>
  <c r="J635" i="5"/>
  <c r="K635" i="5"/>
  <c r="L635" i="5"/>
  <c r="D636" i="5"/>
  <c r="E636" i="5"/>
  <c r="F636" i="5"/>
  <c r="G636" i="5"/>
  <c r="H636" i="5"/>
  <c r="J636" i="5"/>
  <c r="K636" i="5"/>
  <c r="L636" i="5"/>
  <c r="D637" i="5"/>
  <c r="E637" i="5"/>
  <c r="F637" i="5"/>
  <c r="G637" i="5"/>
  <c r="H637" i="5"/>
  <c r="J637" i="5"/>
  <c r="K637" i="5"/>
  <c r="L637" i="5"/>
  <c r="D638" i="5"/>
  <c r="E638" i="5"/>
  <c r="F638" i="5"/>
  <c r="G638" i="5"/>
  <c r="H638" i="5"/>
  <c r="J638" i="5"/>
  <c r="K638" i="5"/>
  <c r="L638" i="5"/>
  <c r="D639" i="5"/>
  <c r="E639" i="5"/>
  <c r="F639" i="5"/>
  <c r="G639" i="5"/>
  <c r="H639" i="5"/>
  <c r="I639" i="5"/>
  <c r="J639" i="5"/>
  <c r="K639" i="5"/>
  <c r="L639" i="5"/>
  <c r="D640" i="5"/>
  <c r="E640" i="5"/>
  <c r="F640" i="5"/>
  <c r="G640" i="5"/>
  <c r="H640" i="5"/>
  <c r="J640" i="5"/>
  <c r="K640" i="5"/>
  <c r="L640" i="5"/>
  <c r="D641" i="5"/>
  <c r="E641" i="5"/>
  <c r="F641" i="5"/>
  <c r="G641" i="5"/>
  <c r="H641" i="5"/>
  <c r="I641" i="5"/>
  <c r="J641" i="5"/>
  <c r="K641" i="5"/>
  <c r="L641" i="5"/>
  <c r="D642" i="5"/>
  <c r="E642" i="5"/>
  <c r="F642" i="5"/>
  <c r="G642" i="5"/>
  <c r="H642" i="5"/>
  <c r="J642" i="5"/>
  <c r="K642" i="5"/>
  <c r="L642" i="5"/>
  <c r="D643" i="5"/>
  <c r="E643" i="5"/>
  <c r="F643" i="5"/>
  <c r="G643" i="5"/>
  <c r="H643" i="5"/>
  <c r="I643" i="5"/>
  <c r="J643" i="5"/>
  <c r="K643" i="5"/>
  <c r="L643" i="5"/>
  <c r="D644" i="5"/>
  <c r="E644" i="5"/>
  <c r="F644" i="5"/>
  <c r="G644" i="5"/>
  <c r="H644" i="5"/>
  <c r="J644" i="5"/>
  <c r="K644" i="5"/>
  <c r="L644" i="5"/>
  <c r="D645" i="5"/>
  <c r="E645" i="5"/>
  <c r="F645" i="5"/>
  <c r="G645" i="5"/>
  <c r="H645" i="5"/>
  <c r="I645" i="5"/>
  <c r="J645" i="5"/>
  <c r="K645" i="5"/>
  <c r="L645" i="5"/>
  <c r="D646" i="5"/>
  <c r="E646" i="5"/>
  <c r="F646" i="5"/>
  <c r="G646" i="5"/>
  <c r="H646" i="5"/>
  <c r="J646" i="5"/>
  <c r="K646" i="5"/>
  <c r="L646" i="5"/>
  <c r="L2" i="5"/>
  <c r="K2" i="5"/>
  <c r="J2" i="5"/>
  <c r="I2" i="5"/>
  <c r="H2" i="5"/>
  <c r="G2" i="5"/>
  <c r="F2" i="5"/>
  <c r="E2" i="5"/>
  <c r="D2" i="5"/>
  <c r="G3" i="4"/>
  <c r="I424" i="5" s="1"/>
  <c r="G4" i="4"/>
  <c r="I493" i="5" s="1"/>
  <c r="G5" i="4"/>
  <c r="I385" i="5" s="1"/>
  <c r="G6" i="4"/>
  <c r="G7" i="4"/>
  <c r="I406" i="5" s="1"/>
  <c r="G8" i="4"/>
  <c r="I386" i="5" s="1"/>
  <c r="G9" i="4"/>
  <c r="I626" i="5" s="1"/>
  <c r="G10" i="4"/>
  <c r="G11" i="4"/>
  <c r="G12" i="4"/>
  <c r="I485" i="5" s="1"/>
  <c r="G13" i="4"/>
  <c r="G14" i="4"/>
  <c r="G15" i="4"/>
  <c r="I637" i="5" s="1"/>
  <c r="G16" i="4"/>
  <c r="I557" i="5" s="1"/>
  <c r="G17" i="4"/>
  <c r="G18" i="4"/>
  <c r="G19" i="4"/>
  <c r="I612" i="5" s="1"/>
  <c r="G20" i="4"/>
  <c r="I445" i="5" s="1"/>
  <c r="G21" i="4"/>
  <c r="I534" i="5" s="1"/>
  <c r="G22" i="4"/>
  <c r="G23" i="4"/>
  <c r="I526" i="5" s="1"/>
  <c r="G24" i="4"/>
  <c r="I473" i="5" s="1"/>
  <c r="G25" i="4"/>
  <c r="I589" i="5" s="1"/>
  <c r="G26" i="4"/>
  <c r="G27" i="4"/>
  <c r="G28" i="4"/>
  <c r="I353" i="5" s="1"/>
  <c r="G29" i="4"/>
  <c r="I510" i="5" s="1"/>
  <c r="G30" i="4"/>
  <c r="G31" i="4"/>
  <c r="I341" i="5" s="1"/>
  <c r="G32" i="4"/>
  <c r="I521" i="5" s="1"/>
  <c r="G33" i="4"/>
  <c r="G34" i="4"/>
  <c r="G35" i="4"/>
  <c r="I484" i="5" s="1"/>
  <c r="G36" i="4"/>
  <c r="I597" i="5" s="1"/>
  <c r="G37" i="4"/>
  <c r="I370" i="5" s="1"/>
  <c r="G38" i="4"/>
  <c r="G39" i="4"/>
  <c r="I570" i="5" s="1"/>
  <c r="G40" i="4"/>
  <c r="I429" i="5" s="1"/>
  <c r="G41" i="4"/>
  <c r="I501" i="5" s="1"/>
  <c r="G42" i="4"/>
  <c r="G43" i="4"/>
  <c r="I334" i="5" s="1"/>
  <c r="G44" i="4"/>
  <c r="I155" i="5" s="1"/>
  <c r="G2" i="4"/>
  <c r="I66" i="5" l="1"/>
  <c r="I123" i="5"/>
  <c r="I287" i="5"/>
  <c r="I105" i="5"/>
  <c r="I261" i="5"/>
  <c r="I110" i="5"/>
  <c r="I167" i="5"/>
  <c r="I312" i="5"/>
  <c r="I121" i="5"/>
  <c r="I22" i="5"/>
  <c r="I146" i="5"/>
  <c r="I186" i="5"/>
  <c r="I322" i="5"/>
  <c r="I195" i="5"/>
  <c r="I16" i="5"/>
  <c r="I124" i="5"/>
  <c r="I320" i="5"/>
  <c r="I336" i="5"/>
  <c r="I340" i="5"/>
  <c r="I197" i="5"/>
  <c r="I321" i="5"/>
  <c r="I98" i="5"/>
  <c r="I234" i="5"/>
  <c r="I286" i="5"/>
  <c r="I281" i="5"/>
  <c r="I215" i="5"/>
  <c r="I256" i="5"/>
  <c r="I102" i="5"/>
  <c r="I326" i="5"/>
  <c r="I11" i="5"/>
  <c r="I179" i="5"/>
  <c r="I231" i="5"/>
  <c r="I28" i="5"/>
  <c r="I104" i="5"/>
  <c r="I172" i="5"/>
  <c r="I240" i="5"/>
  <c r="I332" i="5"/>
  <c r="I17" i="5"/>
  <c r="I177" i="5"/>
  <c r="I6" i="5"/>
  <c r="I262" i="5"/>
  <c r="I39" i="5"/>
  <c r="I139" i="5"/>
  <c r="I176" i="5"/>
  <c r="I308" i="5"/>
  <c r="I173" i="5"/>
  <c r="I305" i="5"/>
  <c r="I111" i="5"/>
  <c r="I239" i="5"/>
  <c r="I97" i="5"/>
  <c r="I277" i="5"/>
  <c r="I289" i="5"/>
  <c r="I297" i="5"/>
  <c r="I10" i="5"/>
  <c r="I26" i="5"/>
  <c r="I259" i="5"/>
  <c r="I109" i="5"/>
  <c r="I213" i="5"/>
  <c r="I162" i="5"/>
  <c r="I206" i="5"/>
  <c r="I242" i="5"/>
  <c r="I298" i="5"/>
  <c r="I127" i="5"/>
  <c r="I187" i="5"/>
  <c r="I251" i="5"/>
  <c r="I25" i="5"/>
  <c r="I185" i="5"/>
  <c r="I313" i="5"/>
  <c r="I329" i="5"/>
  <c r="I302" i="5"/>
  <c r="I27" i="5"/>
  <c r="I43" i="5"/>
  <c r="I79" i="5"/>
  <c r="I87" i="5"/>
  <c r="I140" i="5"/>
  <c r="I133" i="5"/>
  <c r="I271" i="5"/>
  <c r="I88" i="5"/>
  <c r="I292" i="5"/>
  <c r="I49" i="5"/>
  <c r="I81" i="5"/>
  <c r="I646" i="5"/>
  <c r="I642" i="5"/>
  <c r="I638" i="5"/>
  <c r="I634" i="5"/>
  <c r="I630" i="5"/>
  <c r="I622" i="5"/>
  <c r="I618" i="5"/>
  <c r="I614" i="5"/>
  <c r="I610" i="5"/>
  <c r="I606" i="5"/>
  <c r="I602" i="5"/>
  <c r="I598" i="5"/>
  <c r="I594" i="5"/>
  <c r="I590" i="5"/>
  <c r="I586" i="5"/>
  <c r="I582" i="5"/>
  <c r="I578" i="5"/>
  <c r="I574" i="5"/>
  <c r="I562" i="5"/>
  <c r="I558" i="5"/>
  <c r="I554" i="5"/>
  <c r="I550" i="5"/>
  <c r="I546" i="5"/>
  <c r="I542" i="5"/>
  <c r="I538" i="5"/>
  <c r="I530" i="5"/>
  <c r="I522" i="5"/>
  <c r="I518" i="5"/>
  <c r="I514" i="5"/>
  <c r="I506" i="5"/>
  <c r="I502" i="5"/>
  <c r="I498" i="5"/>
  <c r="I494" i="5"/>
  <c r="I490" i="5"/>
  <c r="I486" i="5"/>
  <c r="I482" i="5"/>
  <c r="I478" i="5"/>
  <c r="I474" i="5"/>
  <c r="I470" i="5"/>
  <c r="I466" i="5"/>
  <c r="I462" i="5"/>
  <c r="I458" i="5"/>
  <c r="I454" i="5"/>
  <c r="I450" i="5"/>
  <c r="I446" i="5"/>
  <c r="I442" i="5"/>
  <c r="I438" i="5"/>
  <c r="I434" i="5"/>
  <c r="I430" i="5"/>
  <c r="I426" i="5"/>
  <c r="I422" i="5"/>
  <c r="I418" i="5"/>
  <c r="I414" i="5"/>
  <c r="I410" i="5"/>
  <c r="I402" i="5"/>
  <c r="I398" i="5"/>
  <c r="I394" i="5"/>
  <c r="I390" i="5"/>
  <c r="I382" i="5"/>
  <c r="I378" i="5"/>
  <c r="I374" i="5"/>
  <c r="I366" i="5"/>
  <c r="I362" i="5"/>
  <c r="I358" i="5"/>
  <c r="I354" i="5"/>
  <c r="I350" i="5"/>
  <c r="I346" i="5"/>
  <c r="I342" i="5"/>
  <c r="I122" i="5"/>
  <c r="I238" i="5"/>
  <c r="I307" i="5"/>
  <c r="I45" i="5"/>
  <c r="I141" i="5"/>
  <c r="I145" i="5"/>
  <c r="I249" i="5"/>
  <c r="I58" i="5"/>
  <c r="I7" i="5"/>
  <c r="I131" i="5"/>
  <c r="I143" i="5"/>
  <c r="I36" i="5"/>
  <c r="I180" i="5"/>
  <c r="I224" i="5"/>
  <c r="I272" i="5"/>
  <c r="I53" i="5"/>
  <c r="I253" i="5"/>
  <c r="I265" i="5"/>
  <c r="I325" i="5"/>
  <c r="I20" i="5"/>
  <c r="I221" i="5"/>
  <c r="I54" i="5"/>
  <c r="I130" i="5"/>
  <c r="I226" i="5"/>
  <c r="I230" i="5"/>
  <c r="I246" i="5"/>
  <c r="I250" i="5"/>
  <c r="I254" i="5"/>
  <c r="I282" i="5"/>
  <c r="I294" i="5"/>
  <c r="I3" i="5"/>
  <c r="I203" i="5"/>
  <c r="I335" i="5"/>
  <c r="I44" i="5"/>
  <c r="I56" i="5"/>
  <c r="I128" i="5"/>
  <c r="I168" i="5"/>
  <c r="I328" i="5"/>
  <c r="I129" i="5"/>
  <c r="I134" i="5"/>
  <c r="I8" i="5"/>
  <c r="I24" i="5"/>
  <c r="I144" i="5"/>
  <c r="I245" i="5"/>
  <c r="I30" i="5"/>
  <c r="I50" i="5"/>
  <c r="I178" i="5"/>
  <c r="I182" i="5"/>
  <c r="I218" i="5"/>
  <c r="I47" i="5"/>
  <c r="I267" i="5"/>
  <c r="I331" i="5"/>
  <c r="I156" i="5"/>
  <c r="I160" i="5"/>
  <c r="I208" i="5"/>
  <c r="I237" i="5"/>
  <c r="I241" i="5"/>
  <c r="I285" i="5"/>
  <c r="I337" i="5"/>
  <c r="I78" i="5"/>
  <c r="I86" i="5"/>
  <c r="I222" i="5"/>
  <c r="I266" i="5"/>
  <c r="I290" i="5"/>
  <c r="I306" i="5"/>
  <c r="I314" i="5"/>
  <c r="I51" i="5"/>
  <c r="I55" i="5"/>
  <c r="I159" i="5"/>
  <c r="I163" i="5"/>
  <c r="I255" i="5"/>
  <c r="I319" i="5"/>
  <c r="I60" i="5"/>
  <c r="I84" i="5"/>
  <c r="I96" i="5"/>
  <c r="I232" i="5"/>
  <c r="I9" i="5"/>
  <c r="I41" i="5"/>
  <c r="I61" i="5"/>
  <c r="I69" i="5"/>
  <c r="I633" i="5"/>
  <c r="I629" i="5"/>
  <c r="I625" i="5"/>
  <c r="I621" i="5"/>
  <c r="I617" i="5"/>
  <c r="I613" i="5"/>
  <c r="I609" i="5"/>
  <c r="I605" i="5"/>
  <c r="I601" i="5"/>
  <c r="I593" i="5"/>
  <c r="I585" i="5"/>
  <c r="I581" i="5"/>
  <c r="I577" i="5"/>
  <c r="I573" i="5"/>
  <c r="I569" i="5"/>
  <c r="I565" i="5"/>
  <c r="I561" i="5"/>
  <c r="I553" i="5"/>
  <c r="I549" i="5"/>
  <c r="I545" i="5"/>
  <c r="I541" i="5"/>
  <c r="I537" i="5"/>
  <c r="I533" i="5"/>
  <c r="I529" i="5"/>
  <c r="I525" i="5"/>
  <c r="I517" i="5"/>
  <c r="I513" i="5"/>
  <c r="I509" i="5"/>
  <c r="I505" i="5"/>
  <c r="I497" i="5"/>
  <c r="I489" i="5"/>
  <c r="I481" i="5"/>
  <c r="I477" i="5"/>
  <c r="I469" i="5"/>
  <c r="I465" i="5"/>
  <c r="I461" i="5"/>
  <c r="I457" i="5"/>
  <c r="I453" i="5"/>
  <c r="I449" i="5"/>
  <c r="I441" i="5"/>
  <c r="I437" i="5"/>
  <c r="I433" i="5"/>
  <c r="I425" i="5"/>
  <c r="I421" i="5"/>
  <c r="I417" i="5"/>
  <c r="I413" i="5"/>
  <c r="I409" i="5"/>
  <c r="I405" i="5"/>
  <c r="I401" i="5"/>
  <c r="I397" i="5"/>
  <c r="I393" i="5"/>
  <c r="I389" i="5"/>
  <c r="I381" i="5"/>
  <c r="I377" i="5"/>
  <c r="I373" i="5"/>
  <c r="I369" i="5"/>
  <c r="I365" i="5"/>
  <c r="I361" i="5"/>
  <c r="I357" i="5"/>
  <c r="I349" i="5"/>
  <c r="I345" i="5"/>
  <c r="I106" i="5"/>
  <c r="I114" i="5"/>
  <c r="I166" i="5"/>
  <c r="I270" i="5"/>
  <c r="I63" i="5"/>
  <c r="I235" i="5"/>
  <c r="I247" i="5"/>
  <c r="I283" i="5"/>
  <c r="I299" i="5"/>
  <c r="I236" i="5"/>
  <c r="I170" i="5"/>
  <c r="I258" i="5"/>
  <c r="I147" i="5"/>
  <c r="I171" i="5"/>
  <c r="I300" i="5"/>
  <c r="I42" i="5"/>
  <c r="I310" i="5"/>
  <c r="I99" i="5"/>
  <c r="I115" i="5"/>
  <c r="I151" i="5"/>
  <c r="I112" i="5"/>
  <c r="I212" i="5"/>
  <c r="I304" i="5"/>
  <c r="I29" i="5"/>
  <c r="I37" i="5"/>
  <c r="I57" i="5"/>
  <c r="I153" i="5"/>
  <c r="I301" i="5"/>
  <c r="I190" i="5"/>
  <c r="I103" i="5"/>
  <c r="I191" i="5"/>
  <c r="I211" i="5"/>
  <c r="I76" i="5"/>
  <c r="I184" i="5"/>
  <c r="I268" i="5"/>
  <c r="I46" i="5"/>
  <c r="I216" i="5"/>
  <c r="I324" i="5"/>
  <c r="I152" i="5"/>
  <c r="I73" i="5"/>
  <c r="I118" i="5"/>
  <c r="I150" i="5"/>
  <c r="I318" i="5"/>
  <c r="I83" i="5"/>
  <c r="I135" i="5"/>
  <c r="I175" i="5"/>
  <c r="I227" i="5"/>
  <c r="I243" i="5"/>
  <c r="I327" i="5"/>
  <c r="I48" i="5"/>
  <c r="I72" i="5"/>
  <c r="I116" i="5"/>
  <c r="I188" i="5"/>
  <c r="I113" i="5"/>
  <c r="I165" i="5"/>
  <c r="I293" i="5"/>
  <c r="I34" i="5"/>
  <c r="I120" i="5"/>
  <c r="I244" i="5"/>
  <c r="I229" i="5"/>
  <c r="I174" i="5"/>
  <c r="I275" i="5"/>
  <c r="I4" i="5"/>
  <c r="I100" i="5"/>
  <c r="I5" i="5"/>
  <c r="I125" i="5"/>
  <c r="I157" i="5"/>
  <c r="I126" i="5"/>
  <c r="I91" i="5"/>
  <c r="I108" i="5"/>
  <c r="I148" i="5"/>
  <c r="I248" i="5"/>
  <c r="I288" i="5"/>
  <c r="I13" i="5"/>
  <c r="I23" i="5"/>
  <c r="I220" i="5"/>
  <c r="I284" i="5"/>
  <c r="I18" i="5"/>
  <c r="I194" i="5"/>
  <c r="I198" i="5"/>
  <c r="I330" i="5"/>
  <c r="I19" i="5"/>
  <c r="I67" i="5"/>
  <c r="I183" i="5"/>
  <c r="I219" i="5"/>
  <c r="I223" i="5"/>
  <c r="I295" i="5"/>
  <c r="I40" i="5"/>
  <c r="I200" i="5"/>
  <c r="I101" i="5"/>
  <c r="I193" i="5"/>
  <c r="I201" i="5"/>
  <c r="I209" i="5"/>
  <c r="I309" i="5"/>
  <c r="I317" i="5"/>
  <c r="I214" i="5"/>
  <c r="I315" i="5"/>
  <c r="I164" i="5"/>
  <c r="I280" i="5"/>
  <c r="I65" i="5"/>
  <c r="I117" i="5"/>
  <c r="I181" i="5"/>
  <c r="I217" i="5"/>
  <c r="I274" i="5"/>
  <c r="I278" i="5"/>
  <c r="I35" i="5"/>
  <c r="I95" i="5"/>
  <c r="I291" i="5"/>
  <c r="I68" i="5"/>
  <c r="I149" i="5"/>
  <c r="I189" i="5"/>
  <c r="I205" i="5"/>
  <c r="I233" i="5"/>
  <c r="I62" i="5"/>
  <c r="I82" i="5"/>
  <c r="I31" i="5"/>
  <c r="I119" i="5"/>
  <c r="I263" i="5"/>
  <c r="I204" i="5"/>
  <c r="I252" i="5"/>
  <c r="I260" i="5"/>
  <c r="I93" i="5"/>
  <c r="I257" i="5"/>
  <c r="I269" i="5"/>
  <c r="I70" i="5"/>
  <c r="I138" i="5"/>
  <c r="I202" i="5"/>
  <c r="I338" i="5"/>
  <c r="I107" i="5"/>
  <c r="I207" i="5"/>
  <c r="I279" i="5"/>
  <c r="I12" i="5"/>
  <c r="I64" i="5"/>
  <c r="I137" i="5"/>
  <c r="I169" i="5"/>
  <c r="I38" i="5"/>
  <c r="I158" i="5"/>
  <c r="I196" i="5"/>
  <c r="I228" i="5"/>
  <c r="I264" i="5"/>
  <c r="I21" i="5"/>
  <c r="I77" i="5"/>
  <c r="I85" i="5"/>
  <c r="I333" i="5"/>
  <c r="I644" i="5"/>
  <c r="I640" i="5"/>
  <c r="I636" i="5"/>
  <c r="I632" i="5"/>
  <c r="I628" i="5"/>
  <c r="I624" i="5"/>
  <c r="I620" i="5"/>
  <c r="I616" i="5"/>
  <c r="I608" i="5"/>
  <c r="I604" i="5"/>
  <c r="I600" i="5"/>
  <c r="I596" i="5"/>
  <c r="I592" i="5"/>
  <c r="I588" i="5"/>
  <c r="I584" i="5"/>
  <c r="I580" i="5"/>
  <c r="I576" i="5"/>
  <c r="I572" i="5"/>
  <c r="I568" i="5"/>
  <c r="I564" i="5"/>
  <c r="I560" i="5"/>
  <c r="I556" i="5"/>
  <c r="I552" i="5"/>
  <c r="I548" i="5"/>
  <c r="I544" i="5"/>
  <c r="I540" i="5"/>
  <c r="I536" i="5"/>
  <c r="I532" i="5"/>
  <c r="I528" i="5"/>
  <c r="I524" i="5"/>
  <c r="I520" i="5"/>
  <c r="I516" i="5"/>
  <c r="I512" i="5"/>
  <c r="I508" i="5"/>
  <c r="I504" i="5"/>
  <c r="I500" i="5"/>
  <c r="I496" i="5"/>
  <c r="I492" i="5"/>
  <c r="I488" i="5"/>
  <c r="I480" i="5"/>
  <c r="I476" i="5"/>
  <c r="I472" i="5"/>
  <c r="I468" i="5"/>
  <c r="I464" i="5"/>
  <c r="I460" i="5"/>
  <c r="I456" i="5"/>
  <c r="I452" i="5"/>
  <c r="I448" i="5"/>
  <c r="I444" i="5"/>
  <c r="I440" i="5"/>
  <c r="I436" i="5"/>
  <c r="I432" i="5"/>
  <c r="I428" i="5"/>
  <c r="I420" i="5"/>
  <c r="I416" i="5"/>
  <c r="I412" i="5"/>
  <c r="I408" i="5"/>
  <c r="I404" i="5"/>
  <c r="I400" i="5"/>
  <c r="I396" i="5"/>
  <c r="I392" i="5"/>
  <c r="I388" i="5"/>
  <c r="I384" i="5"/>
  <c r="I380" i="5"/>
  <c r="I376" i="5"/>
  <c r="I372" i="5"/>
  <c r="I368" i="5"/>
  <c r="I364" i="5"/>
  <c r="I360" i="5"/>
  <c r="I356" i="5"/>
  <c r="I352" i="5"/>
  <c r="I348" i="5"/>
  <c r="I344" i="5"/>
  <c r="I339" i="5"/>
  <c r="I154" i="5"/>
  <c r="I92" i="5"/>
  <c r="I161" i="5"/>
  <c r="I225" i="5"/>
  <c r="I273" i="5"/>
  <c r="I15" i="5"/>
  <c r="I323" i="5"/>
  <c r="I32" i="5"/>
  <c r="I80" i="5"/>
  <c r="I132" i="5"/>
  <c r="I276" i="5"/>
  <c r="I296" i="5"/>
  <c r="I14" i="5"/>
  <c r="I74" i="5"/>
  <c r="I90" i="5"/>
  <c r="I94" i="5"/>
  <c r="I142" i="5"/>
  <c r="I210" i="5"/>
  <c r="I59" i="5"/>
  <c r="I71" i="5"/>
  <c r="I75" i="5"/>
  <c r="I199" i="5"/>
  <c r="I303" i="5"/>
  <c r="I311" i="5"/>
  <c r="I52" i="5"/>
  <c r="I136" i="5"/>
  <c r="I192" i="5"/>
  <c r="I316" i="5"/>
  <c r="I33" i="5"/>
  <c r="I89" i="5"/>
  <c r="I615" i="5"/>
  <c r="I603" i="5"/>
  <c r="I575" i="5"/>
  <c r="I551" i="5"/>
  <c r="I547" i="5"/>
  <c r="I543" i="5"/>
  <c r="I539" i="5"/>
  <c r="I535" i="5"/>
  <c r="I531" i="5"/>
  <c r="I527" i="5"/>
  <c r="I523" i="5"/>
  <c r="I519" i="5"/>
  <c r="I515" i="5"/>
  <c r="I511" i="5"/>
  <c r="I507" i="5"/>
  <c r="I503" i="5"/>
  <c r="I499" i="5"/>
  <c r="I495" i="5"/>
  <c r="I491" i="5"/>
  <c r="I487" i="5"/>
  <c r="I483" i="5"/>
  <c r="I479" i="5"/>
  <c r="I475" i="5"/>
  <c r="I471" i="5"/>
  <c r="I467" i="5"/>
  <c r="I463" i="5"/>
  <c r="I459" i="5"/>
  <c r="I455" i="5"/>
  <c r="I451" i="5"/>
  <c r="I447" i="5"/>
  <c r="I443" i="5"/>
  <c r="I439" i="5"/>
  <c r="I435" i="5"/>
  <c r="I431" i="5"/>
  <c r="I427" i="5"/>
  <c r="I423" i="5"/>
  <c r="I419" i="5"/>
  <c r="I415" i="5"/>
  <c r="I411" i="5"/>
  <c r="I407" i="5"/>
  <c r="I403" i="5"/>
  <c r="I399" i="5"/>
  <c r="I395" i="5"/>
  <c r="I391" i="5"/>
  <c r="I387" i="5"/>
  <c r="I383" i="5"/>
  <c r="I379" i="5"/>
  <c r="I375" i="5"/>
  <c r="I371" i="5"/>
  <c r="I367" i="5"/>
  <c r="I363" i="5"/>
  <c r="I359" i="5"/>
  <c r="I355" i="5"/>
  <c r="I351" i="5"/>
  <c r="I347" i="5"/>
  <c r="I343" i="5"/>
  <c r="E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1" i="1"/>
  <c r="E32" i="1"/>
  <c r="E33" i="1"/>
  <c r="E34" i="1"/>
  <c r="E35" i="1"/>
  <c r="E36" i="1"/>
  <c r="E37" i="1"/>
  <c r="E38" i="1"/>
  <c r="E39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2" i="1"/>
  <c r="E173" i="1"/>
  <c r="E174" i="1"/>
  <c r="E175" i="1"/>
  <c r="E176" i="1"/>
  <c r="E177" i="1"/>
  <c r="E179" i="1"/>
  <c r="E180" i="1"/>
  <c r="E181" i="1"/>
  <c r="E182" i="1"/>
  <c r="E183" i="1"/>
  <c r="E184" i="1"/>
  <c r="E185" i="1"/>
  <c r="E186" i="1"/>
  <c r="E187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1" i="1"/>
  <c r="E402" i="1"/>
  <c r="E403" i="1"/>
  <c r="E404" i="1"/>
  <c r="E405" i="1"/>
  <c r="E406" i="1"/>
  <c r="E407" i="1"/>
  <c r="E408" i="1"/>
  <c r="E409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8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6" i="1"/>
  <c r="E557" i="1"/>
  <c r="E558" i="1"/>
  <c r="E559" i="1"/>
  <c r="E560" i="1"/>
  <c r="E561" i="1"/>
  <c r="E562" i="1"/>
  <c r="E563" i="1"/>
  <c r="E564" i="1"/>
  <c r="E565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6" i="1"/>
  <c r="E637" i="1"/>
  <c r="E638" i="1"/>
  <c r="E639" i="1"/>
  <c r="E640" i="1"/>
  <c r="E641" i="1"/>
  <c r="E642" i="1"/>
  <c r="E643" i="1"/>
  <c r="E644" i="1"/>
  <c r="E645" i="1"/>
  <c r="E646" i="1"/>
  <c r="E30" i="1"/>
  <c r="E76" i="1"/>
  <c r="E170" i="1"/>
  <c r="E178" i="1"/>
  <c r="E188" i="1"/>
  <c r="E208" i="1"/>
  <c r="E348" i="1"/>
  <c r="E400" i="1"/>
  <c r="E517" i="1"/>
  <c r="E519" i="1"/>
  <c r="E532" i="1"/>
  <c r="E555" i="1"/>
  <c r="E635" i="1"/>
  <c r="E566" i="1"/>
  <c r="E40" i="1"/>
  <c r="E171" i="1"/>
  <c r="E410" i="1"/>
  <c r="E349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8" i="1"/>
  <c r="H177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8" i="1"/>
  <c r="H347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2" i="1"/>
  <c r="H531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8" i="1"/>
  <c r="C177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8" i="1"/>
  <c r="C347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2" i="1"/>
  <c r="C531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8" i="1"/>
  <c r="D177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8" i="1"/>
  <c r="D347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2" i="1"/>
  <c r="D531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2" i="1"/>
  <c r="G3" i="1"/>
  <c r="F3" i="1" s="1"/>
  <c r="G4" i="1"/>
  <c r="F4" i="1" s="1"/>
  <c r="G5" i="1"/>
  <c r="F5" i="1" s="1"/>
  <c r="G6" i="1"/>
  <c r="F6" i="1" s="1"/>
  <c r="G7" i="1"/>
  <c r="F7" i="1" s="1"/>
  <c r="G8" i="1"/>
  <c r="F8" i="1" s="1"/>
  <c r="G9" i="1"/>
  <c r="F9" i="1" s="1"/>
  <c r="G10" i="1"/>
  <c r="F10" i="1" s="1"/>
  <c r="G11" i="1"/>
  <c r="F11" i="1" s="1"/>
  <c r="G12" i="1"/>
  <c r="F12" i="1" s="1"/>
  <c r="G13" i="1"/>
  <c r="F13" i="1" s="1"/>
  <c r="G14" i="1"/>
  <c r="F14" i="1" s="1"/>
  <c r="G15" i="1"/>
  <c r="F15" i="1" s="1"/>
  <c r="G16" i="1"/>
  <c r="F16" i="1" s="1"/>
  <c r="G17" i="1"/>
  <c r="F17" i="1" s="1"/>
  <c r="G18" i="1"/>
  <c r="F18" i="1" s="1"/>
  <c r="G19" i="1"/>
  <c r="F19" i="1" s="1"/>
  <c r="G20" i="1"/>
  <c r="F20" i="1" s="1"/>
  <c r="G21" i="1"/>
  <c r="F21" i="1" s="1"/>
  <c r="G22" i="1"/>
  <c r="F22" i="1" s="1"/>
  <c r="G23" i="1"/>
  <c r="F23" i="1" s="1"/>
  <c r="G24" i="1"/>
  <c r="F24" i="1" s="1"/>
  <c r="G25" i="1"/>
  <c r="F25" i="1" s="1"/>
  <c r="G26" i="1"/>
  <c r="F26" i="1" s="1"/>
  <c r="G27" i="1"/>
  <c r="F27" i="1" s="1"/>
  <c r="G28" i="1"/>
  <c r="F28" i="1" s="1"/>
  <c r="G29" i="1"/>
  <c r="F29" i="1" s="1"/>
  <c r="G30" i="1"/>
  <c r="F30" i="1" s="1"/>
  <c r="G31" i="1"/>
  <c r="F31" i="1" s="1"/>
  <c r="G32" i="1"/>
  <c r="F32" i="1" s="1"/>
  <c r="G33" i="1"/>
  <c r="F33" i="1" s="1"/>
  <c r="G34" i="1"/>
  <c r="F34" i="1" s="1"/>
  <c r="G35" i="1"/>
  <c r="F35" i="1" s="1"/>
  <c r="G36" i="1"/>
  <c r="F36" i="1" s="1"/>
  <c r="G37" i="1"/>
  <c r="F37" i="1" s="1"/>
  <c r="G38" i="1"/>
  <c r="F38" i="1" s="1"/>
  <c r="G39" i="1"/>
  <c r="F39" i="1" s="1"/>
  <c r="G40" i="1"/>
  <c r="F40" i="1" s="1"/>
  <c r="G41" i="1"/>
  <c r="F41" i="1" s="1"/>
  <c r="G42" i="1"/>
  <c r="F42" i="1" s="1"/>
  <c r="G43" i="1"/>
  <c r="F43" i="1" s="1"/>
  <c r="G44" i="1"/>
  <c r="F44" i="1" s="1"/>
  <c r="G45" i="1"/>
  <c r="F45" i="1" s="1"/>
  <c r="G46" i="1"/>
  <c r="F46" i="1" s="1"/>
  <c r="G47" i="1"/>
  <c r="F47" i="1" s="1"/>
  <c r="G48" i="1"/>
  <c r="F48" i="1" s="1"/>
  <c r="G49" i="1"/>
  <c r="F49" i="1" s="1"/>
  <c r="G50" i="1"/>
  <c r="F50" i="1" s="1"/>
  <c r="G51" i="1"/>
  <c r="F51" i="1" s="1"/>
  <c r="G52" i="1"/>
  <c r="F52" i="1" s="1"/>
  <c r="G53" i="1"/>
  <c r="F53" i="1" s="1"/>
  <c r="G54" i="1"/>
  <c r="F54" i="1" s="1"/>
  <c r="G55" i="1"/>
  <c r="F55" i="1" s="1"/>
  <c r="G56" i="1"/>
  <c r="F56" i="1" s="1"/>
  <c r="G57" i="1"/>
  <c r="F57" i="1" s="1"/>
  <c r="G58" i="1"/>
  <c r="F58" i="1" s="1"/>
  <c r="G59" i="1"/>
  <c r="F59" i="1" s="1"/>
  <c r="G60" i="1"/>
  <c r="F60" i="1" s="1"/>
  <c r="G61" i="1"/>
  <c r="F61" i="1" s="1"/>
  <c r="G62" i="1"/>
  <c r="F62" i="1" s="1"/>
  <c r="G63" i="1"/>
  <c r="F63" i="1" s="1"/>
  <c r="G64" i="1"/>
  <c r="F64" i="1" s="1"/>
  <c r="G65" i="1"/>
  <c r="F65" i="1" s="1"/>
  <c r="G66" i="1"/>
  <c r="F66" i="1" s="1"/>
  <c r="G67" i="1"/>
  <c r="F67" i="1" s="1"/>
  <c r="G68" i="1"/>
  <c r="F68" i="1" s="1"/>
  <c r="G69" i="1"/>
  <c r="F69" i="1" s="1"/>
  <c r="G70" i="1"/>
  <c r="F70" i="1" s="1"/>
  <c r="G71" i="1"/>
  <c r="F71" i="1" s="1"/>
  <c r="G72" i="1"/>
  <c r="F72" i="1" s="1"/>
  <c r="G73" i="1"/>
  <c r="F73" i="1" s="1"/>
  <c r="G74" i="1"/>
  <c r="F74" i="1" s="1"/>
  <c r="G75" i="1"/>
  <c r="F75" i="1" s="1"/>
  <c r="G76" i="1"/>
  <c r="F76" i="1" s="1"/>
  <c r="G77" i="1"/>
  <c r="F77" i="1" s="1"/>
  <c r="G78" i="1"/>
  <c r="F78" i="1" s="1"/>
  <c r="G79" i="1"/>
  <c r="F79" i="1" s="1"/>
  <c r="G80" i="1"/>
  <c r="F80" i="1" s="1"/>
  <c r="G81" i="1"/>
  <c r="F81" i="1" s="1"/>
  <c r="G82" i="1"/>
  <c r="F82" i="1" s="1"/>
  <c r="G83" i="1"/>
  <c r="F83" i="1" s="1"/>
  <c r="G84" i="1"/>
  <c r="F84" i="1" s="1"/>
  <c r="G85" i="1"/>
  <c r="F85" i="1" s="1"/>
  <c r="G86" i="1"/>
  <c r="F86" i="1" s="1"/>
  <c r="G87" i="1"/>
  <c r="F87" i="1" s="1"/>
  <c r="G88" i="1"/>
  <c r="F88" i="1" s="1"/>
  <c r="G89" i="1"/>
  <c r="F89" i="1" s="1"/>
  <c r="G90" i="1"/>
  <c r="F90" i="1" s="1"/>
  <c r="G91" i="1"/>
  <c r="F91" i="1" s="1"/>
  <c r="G92" i="1"/>
  <c r="F92" i="1" s="1"/>
  <c r="G93" i="1"/>
  <c r="F93" i="1" s="1"/>
  <c r="G94" i="1"/>
  <c r="F94" i="1" s="1"/>
  <c r="G95" i="1"/>
  <c r="F95" i="1" s="1"/>
  <c r="G96" i="1"/>
  <c r="F96" i="1" s="1"/>
  <c r="G97" i="1"/>
  <c r="F97" i="1" s="1"/>
  <c r="G98" i="1"/>
  <c r="F98" i="1" s="1"/>
  <c r="G99" i="1"/>
  <c r="F99" i="1" s="1"/>
  <c r="G100" i="1"/>
  <c r="F100" i="1" s="1"/>
  <c r="G101" i="1"/>
  <c r="F101" i="1" s="1"/>
  <c r="G102" i="1"/>
  <c r="F102" i="1" s="1"/>
  <c r="G103" i="1"/>
  <c r="F103" i="1" s="1"/>
  <c r="G104" i="1"/>
  <c r="F104" i="1" s="1"/>
  <c r="G105" i="1"/>
  <c r="F105" i="1" s="1"/>
  <c r="G106" i="1"/>
  <c r="F106" i="1" s="1"/>
  <c r="G107" i="1"/>
  <c r="F107" i="1" s="1"/>
  <c r="G108" i="1"/>
  <c r="F108" i="1" s="1"/>
  <c r="G109" i="1"/>
  <c r="F109" i="1" s="1"/>
  <c r="G110" i="1"/>
  <c r="F110" i="1" s="1"/>
  <c r="G111" i="1"/>
  <c r="F111" i="1" s="1"/>
  <c r="G112" i="1"/>
  <c r="F112" i="1" s="1"/>
  <c r="G113" i="1"/>
  <c r="F113" i="1" s="1"/>
  <c r="G114" i="1"/>
  <c r="F114" i="1" s="1"/>
  <c r="G115" i="1"/>
  <c r="F115" i="1" s="1"/>
  <c r="G116" i="1"/>
  <c r="F116" i="1" s="1"/>
  <c r="G117" i="1"/>
  <c r="F117" i="1" s="1"/>
  <c r="G118" i="1"/>
  <c r="F118" i="1" s="1"/>
  <c r="G119" i="1"/>
  <c r="F119" i="1" s="1"/>
  <c r="G120" i="1"/>
  <c r="F120" i="1" s="1"/>
  <c r="G121" i="1"/>
  <c r="F121" i="1" s="1"/>
  <c r="G122" i="1"/>
  <c r="F122" i="1" s="1"/>
  <c r="G123" i="1"/>
  <c r="F123" i="1" s="1"/>
  <c r="G124" i="1"/>
  <c r="F124" i="1" s="1"/>
  <c r="G125" i="1"/>
  <c r="F125" i="1" s="1"/>
  <c r="G126" i="1"/>
  <c r="F126" i="1" s="1"/>
  <c r="G127" i="1"/>
  <c r="F127" i="1" s="1"/>
  <c r="G128" i="1"/>
  <c r="F128" i="1" s="1"/>
  <c r="G129" i="1"/>
  <c r="F129" i="1" s="1"/>
  <c r="G130" i="1"/>
  <c r="F130" i="1" s="1"/>
  <c r="G131" i="1"/>
  <c r="F131" i="1" s="1"/>
  <c r="G132" i="1"/>
  <c r="F132" i="1" s="1"/>
  <c r="G133" i="1"/>
  <c r="F133" i="1" s="1"/>
  <c r="G134" i="1"/>
  <c r="F134" i="1" s="1"/>
  <c r="G135" i="1"/>
  <c r="F135" i="1" s="1"/>
  <c r="G136" i="1"/>
  <c r="F136" i="1" s="1"/>
  <c r="G137" i="1"/>
  <c r="F137" i="1" s="1"/>
  <c r="G138" i="1"/>
  <c r="F138" i="1" s="1"/>
  <c r="G139" i="1"/>
  <c r="F139" i="1" s="1"/>
  <c r="G140" i="1"/>
  <c r="F140" i="1" s="1"/>
  <c r="G141" i="1"/>
  <c r="F141" i="1" s="1"/>
  <c r="G142" i="1"/>
  <c r="F142" i="1" s="1"/>
  <c r="G143" i="1"/>
  <c r="F143" i="1" s="1"/>
  <c r="G144" i="1"/>
  <c r="F144" i="1" s="1"/>
  <c r="G145" i="1"/>
  <c r="F145" i="1" s="1"/>
  <c r="G146" i="1"/>
  <c r="F146" i="1" s="1"/>
  <c r="G147" i="1"/>
  <c r="F147" i="1" s="1"/>
  <c r="G148" i="1"/>
  <c r="F148" i="1" s="1"/>
  <c r="G149" i="1"/>
  <c r="F149" i="1" s="1"/>
  <c r="G150" i="1"/>
  <c r="F150" i="1" s="1"/>
  <c r="G151" i="1"/>
  <c r="F151" i="1" s="1"/>
  <c r="G152" i="1"/>
  <c r="F152" i="1" s="1"/>
  <c r="G153" i="1"/>
  <c r="F153" i="1" s="1"/>
  <c r="G154" i="1"/>
  <c r="F154" i="1" s="1"/>
  <c r="G155" i="1"/>
  <c r="F155" i="1" s="1"/>
  <c r="G156" i="1"/>
  <c r="F156" i="1" s="1"/>
  <c r="G157" i="1"/>
  <c r="F157" i="1" s="1"/>
  <c r="G158" i="1"/>
  <c r="F158" i="1" s="1"/>
  <c r="G159" i="1"/>
  <c r="F159" i="1" s="1"/>
  <c r="G160" i="1"/>
  <c r="F160" i="1" s="1"/>
  <c r="G161" i="1"/>
  <c r="F161" i="1" s="1"/>
  <c r="G162" i="1"/>
  <c r="F162" i="1" s="1"/>
  <c r="G163" i="1"/>
  <c r="F163" i="1" s="1"/>
  <c r="G164" i="1"/>
  <c r="F164" i="1" s="1"/>
  <c r="G165" i="1"/>
  <c r="F165" i="1" s="1"/>
  <c r="G166" i="1"/>
  <c r="F166" i="1" s="1"/>
  <c r="G167" i="1"/>
  <c r="F167" i="1" s="1"/>
  <c r="G168" i="1"/>
  <c r="F168" i="1" s="1"/>
  <c r="G169" i="1"/>
  <c r="F169" i="1" s="1"/>
  <c r="G170" i="1"/>
  <c r="F170" i="1" s="1"/>
  <c r="G171" i="1"/>
  <c r="F171" i="1" s="1"/>
  <c r="G172" i="1"/>
  <c r="F172" i="1" s="1"/>
  <c r="G173" i="1"/>
  <c r="F173" i="1" s="1"/>
  <c r="G174" i="1"/>
  <c r="F174" i="1" s="1"/>
  <c r="G175" i="1"/>
  <c r="F175" i="1" s="1"/>
  <c r="G176" i="1"/>
  <c r="F176" i="1" s="1"/>
  <c r="G178" i="1"/>
  <c r="F178" i="1" s="1"/>
  <c r="G177" i="1"/>
  <c r="F177" i="1" s="1"/>
  <c r="G179" i="1"/>
  <c r="F179" i="1" s="1"/>
  <c r="G180" i="1"/>
  <c r="F180" i="1" s="1"/>
  <c r="G181" i="1"/>
  <c r="F181" i="1" s="1"/>
  <c r="G182" i="1"/>
  <c r="F182" i="1" s="1"/>
  <c r="G183" i="1"/>
  <c r="F183" i="1" s="1"/>
  <c r="G184" i="1"/>
  <c r="F184" i="1" s="1"/>
  <c r="G185" i="1"/>
  <c r="F185" i="1" s="1"/>
  <c r="G186" i="1"/>
  <c r="F186" i="1" s="1"/>
  <c r="G187" i="1"/>
  <c r="F187" i="1" s="1"/>
  <c r="G188" i="1"/>
  <c r="F188" i="1" s="1"/>
  <c r="G189" i="1"/>
  <c r="F189" i="1" s="1"/>
  <c r="G190" i="1"/>
  <c r="F190" i="1" s="1"/>
  <c r="G191" i="1"/>
  <c r="F191" i="1" s="1"/>
  <c r="G192" i="1"/>
  <c r="F192" i="1" s="1"/>
  <c r="G193" i="1"/>
  <c r="F193" i="1" s="1"/>
  <c r="G194" i="1"/>
  <c r="F194" i="1" s="1"/>
  <c r="G195" i="1"/>
  <c r="F195" i="1" s="1"/>
  <c r="G196" i="1"/>
  <c r="F196" i="1" s="1"/>
  <c r="G197" i="1"/>
  <c r="F197" i="1" s="1"/>
  <c r="G198" i="1"/>
  <c r="F198" i="1" s="1"/>
  <c r="G199" i="1"/>
  <c r="F199" i="1" s="1"/>
  <c r="G200" i="1"/>
  <c r="F200" i="1" s="1"/>
  <c r="G201" i="1"/>
  <c r="F201" i="1" s="1"/>
  <c r="G202" i="1"/>
  <c r="F202" i="1" s="1"/>
  <c r="G203" i="1"/>
  <c r="F203" i="1" s="1"/>
  <c r="G204" i="1"/>
  <c r="F204" i="1" s="1"/>
  <c r="G205" i="1"/>
  <c r="F205" i="1" s="1"/>
  <c r="G206" i="1"/>
  <c r="F206" i="1" s="1"/>
  <c r="G207" i="1"/>
  <c r="F207" i="1" s="1"/>
  <c r="G208" i="1"/>
  <c r="F208" i="1" s="1"/>
  <c r="G209" i="1"/>
  <c r="F209" i="1" s="1"/>
  <c r="G210" i="1"/>
  <c r="F210" i="1" s="1"/>
  <c r="G211" i="1"/>
  <c r="F211" i="1" s="1"/>
  <c r="G212" i="1"/>
  <c r="F212" i="1" s="1"/>
  <c r="G213" i="1"/>
  <c r="F213" i="1" s="1"/>
  <c r="G214" i="1"/>
  <c r="F214" i="1" s="1"/>
  <c r="G215" i="1"/>
  <c r="F215" i="1" s="1"/>
  <c r="G216" i="1"/>
  <c r="F216" i="1" s="1"/>
  <c r="G217" i="1"/>
  <c r="F217" i="1" s="1"/>
  <c r="G218" i="1"/>
  <c r="F218" i="1" s="1"/>
  <c r="G219" i="1"/>
  <c r="F219" i="1" s="1"/>
  <c r="G220" i="1"/>
  <c r="F220" i="1" s="1"/>
  <c r="G221" i="1"/>
  <c r="F221" i="1" s="1"/>
  <c r="G222" i="1"/>
  <c r="F222" i="1" s="1"/>
  <c r="G223" i="1"/>
  <c r="F223" i="1" s="1"/>
  <c r="G224" i="1"/>
  <c r="F224" i="1" s="1"/>
  <c r="G225" i="1"/>
  <c r="F225" i="1" s="1"/>
  <c r="G226" i="1"/>
  <c r="F226" i="1" s="1"/>
  <c r="G227" i="1"/>
  <c r="F227" i="1" s="1"/>
  <c r="G228" i="1"/>
  <c r="F228" i="1" s="1"/>
  <c r="G229" i="1"/>
  <c r="F229" i="1" s="1"/>
  <c r="G230" i="1"/>
  <c r="F230" i="1" s="1"/>
  <c r="G231" i="1"/>
  <c r="F231" i="1" s="1"/>
  <c r="G232" i="1"/>
  <c r="F232" i="1" s="1"/>
  <c r="G233" i="1"/>
  <c r="F233" i="1" s="1"/>
  <c r="G234" i="1"/>
  <c r="F234" i="1" s="1"/>
  <c r="G235" i="1"/>
  <c r="F235" i="1" s="1"/>
  <c r="G236" i="1"/>
  <c r="F236" i="1" s="1"/>
  <c r="G237" i="1"/>
  <c r="F237" i="1" s="1"/>
  <c r="G238" i="1"/>
  <c r="F238" i="1" s="1"/>
  <c r="G239" i="1"/>
  <c r="F239" i="1" s="1"/>
  <c r="G240" i="1"/>
  <c r="F240" i="1" s="1"/>
  <c r="G241" i="1"/>
  <c r="F241" i="1" s="1"/>
  <c r="G242" i="1"/>
  <c r="F242" i="1" s="1"/>
  <c r="G243" i="1"/>
  <c r="F243" i="1" s="1"/>
  <c r="G244" i="1"/>
  <c r="F244" i="1" s="1"/>
  <c r="G245" i="1"/>
  <c r="F245" i="1" s="1"/>
  <c r="G246" i="1"/>
  <c r="F246" i="1" s="1"/>
  <c r="G247" i="1"/>
  <c r="F247" i="1" s="1"/>
  <c r="G248" i="1"/>
  <c r="F248" i="1" s="1"/>
  <c r="G249" i="1"/>
  <c r="F249" i="1" s="1"/>
  <c r="G250" i="1"/>
  <c r="F250" i="1" s="1"/>
  <c r="G251" i="1"/>
  <c r="F251" i="1" s="1"/>
  <c r="G252" i="1"/>
  <c r="F252" i="1" s="1"/>
  <c r="G253" i="1"/>
  <c r="F253" i="1" s="1"/>
  <c r="G254" i="1"/>
  <c r="F254" i="1" s="1"/>
  <c r="G255" i="1"/>
  <c r="F255" i="1" s="1"/>
  <c r="G256" i="1"/>
  <c r="F256" i="1" s="1"/>
  <c r="G257" i="1"/>
  <c r="F257" i="1" s="1"/>
  <c r="G258" i="1"/>
  <c r="F258" i="1" s="1"/>
  <c r="G259" i="1"/>
  <c r="F259" i="1" s="1"/>
  <c r="G260" i="1"/>
  <c r="F260" i="1" s="1"/>
  <c r="G261" i="1"/>
  <c r="F261" i="1" s="1"/>
  <c r="G262" i="1"/>
  <c r="F262" i="1" s="1"/>
  <c r="G263" i="1"/>
  <c r="F263" i="1" s="1"/>
  <c r="G264" i="1"/>
  <c r="F264" i="1" s="1"/>
  <c r="G265" i="1"/>
  <c r="F265" i="1" s="1"/>
  <c r="G266" i="1"/>
  <c r="F266" i="1" s="1"/>
  <c r="G267" i="1"/>
  <c r="F267" i="1" s="1"/>
  <c r="G268" i="1"/>
  <c r="F268" i="1" s="1"/>
  <c r="G269" i="1"/>
  <c r="F269" i="1" s="1"/>
  <c r="G270" i="1"/>
  <c r="F270" i="1" s="1"/>
  <c r="G271" i="1"/>
  <c r="F271" i="1" s="1"/>
  <c r="G272" i="1"/>
  <c r="F272" i="1" s="1"/>
  <c r="G273" i="1"/>
  <c r="F273" i="1" s="1"/>
  <c r="G274" i="1"/>
  <c r="F274" i="1" s="1"/>
  <c r="G275" i="1"/>
  <c r="F275" i="1" s="1"/>
  <c r="G276" i="1"/>
  <c r="F276" i="1" s="1"/>
  <c r="G277" i="1"/>
  <c r="F277" i="1" s="1"/>
  <c r="G278" i="1"/>
  <c r="F278" i="1" s="1"/>
  <c r="G279" i="1"/>
  <c r="F279" i="1" s="1"/>
  <c r="G280" i="1"/>
  <c r="F280" i="1" s="1"/>
  <c r="G281" i="1"/>
  <c r="F281" i="1" s="1"/>
  <c r="G282" i="1"/>
  <c r="F282" i="1" s="1"/>
  <c r="G283" i="1"/>
  <c r="F283" i="1" s="1"/>
  <c r="G284" i="1"/>
  <c r="F284" i="1" s="1"/>
  <c r="G285" i="1"/>
  <c r="F285" i="1" s="1"/>
  <c r="G286" i="1"/>
  <c r="F286" i="1" s="1"/>
  <c r="G287" i="1"/>
  <c r="F287" i="1" s="1"/>
  <c r="G288" i="1"/>
  <c r="F288" i="1" s="1"/>
  <c r="G289" i="1"/>
  <c r="F289" i="1" s="1"/>
  <c r="G290" i="1"/>
  <c r="F290" i="1" s="1"/>
  <c r="G291" i="1"/>
  <c r="F291" i="1" s="1"/>
  <c r="G292" i="1"/>
  <c r="F292" i="1" s="1"/>
  <c r="G293" i="1"/>
  <c r="F293" i="1" s="1"/>
  <c r="G294" i="1"/>
  <c r="F294" i="1" s="1"/>
  <c r="G295" i="1"/>
  <c r="F295" i="1" s="1"/>
  <c r="G296" i="1"/>
  <c r="F296" i="1" s="1"/>
  <c r="G297" i="1"/>
  <c r="F297" i="1" s="1"/>
  <c r="G298" i="1"/>
  <c r="F298" i="1" s="1"/>
  <c r="G299" i="1"/>
  <c r="F299" i="1" s="1"/>
  <c r="G300" i="1"/>
  <c r="F300" i="1" s="1"/>
  <c r="G301" i="1"/>
  <c r="F301" i="1" s="1"/>
  <c r="G302" i="1"/>
  <c r="F302" i="1" s="1"/>
  <c r="G303" i="1"/>
  <c r="F303" i="1" s="1"/>
  <c r="G304" i="1"/>
  <c r="F304" i="1" s="1"/>
  <c r="G305" i="1"/>
  <c r="F305" i="1" s="1"/>
  <c r="G306" i="1"/>
  <c r="F306" i="1" s="1"/>
  <c r="G307" i="1"/>
  <c r="F307" i="1" s="1"/>
  <c r="G308" i="1"/>
  <c r="F308" i="1" s="1"/>
  <c r="G309" i="1"/>
  <c r="F309" i="1" s="1"/>
  <c r="G310" i="1"/>
  <c r="F310" i="1" s="1"/>
  <c r="G311" i="1"/>
  <c r="F311" i="1" s="1"/>
  <c r="G312" i="1"/>
  <c r="F312" i="1" s="1"/>
  <c r="G313" i="1"/>
  <c r="F313" i="1" s="1"/>
  <c r="G314" i="1"/>
  <c r="F314" i="1" s="1"/>
  <c r="G315" i="1"/>
  <c r="F315" i="1" s="1"/>
  <c r="G316" i="1"/>
  <c r="F316" i="1" s="1"/>
  <c r="G317" i="1"/>
  <c r="F317" i="1" s="1"/>
  <c r="G318" i="1"/>
  <c r="F318" i="1" s="1"/>
  <c r="G319" i="1"/>
  <c r="F319" i="1" s="1"/>
  <c r="G320" i="1"/>
  <c r="F320" i="1" s="1"/>
  <c r="G321" i="1"/>
  <c r="F321" i="1" s="1"/>
  <c r="G322" i="1"/>
  <c r="F322" i="1" s="1"/>
  <c r="G323" i="1"/>
  <c r="F323" i="1" s="1"/>
  <c r="G324" i="1"/>
  <c r="F324" i="1" s="1"/>
  <c r="G325" i="1"/>
  <c r="F325" i="1" s="1"/>
  <c r="G326" i="1"/>
  <c r="F326" i="1" s="1"/>
  <c r="G327" i="1"/>
  <c r="F327" i="1" s="1"/>
  <c r="G328" i="1"/>
  <c r="F328" i="1" s="1"/>
  <c r="G329" i="1"/>
  <c r="F329" i="1" s="1"/>
  <c r="G330" i="1"/>
  <c r="F330" i="1" s="1"/>
  <c r="G331" i="1"/>
  <c r="F331" i="1" s="1"/>
  <c r="G332" i="1"/>
  <c r="F332" i="1" s="1"/>
  <c r="G333" i="1"/>
  <c r="F333" i="1" s="1"/>
  <c r="G334" i="1"/>
  <c r="F334" i="1" s="1"/>
  <c r="G335" i="1"/>
  <c r="F335" i="1" s="1"/>
  <c r="G336" i="1"/>
  <c r="F336" i="1" s="1"/>
  <c r="G337" i="1"/>
  <c r="F337" i="1" s="1"/>
  <c r="G338" i="1"/>
  <c r="F338" i="1" s="1"/>
  <c r="G339" i="1"/>
  <c r="F339" i="1" s="1"/>
  <c r="G340" i="1"/>
  <c r="F340" i="1" s="1"/>
  <c r="G341" i="1"/>
  <c r="F341" i="1" s="1"/>
  <c r="G342" i="1"/>
  <c r="F342" i="1" s="1"/>
  <c r="G343" i="1"/>
  <c r="F343" i="1" s="1"/>
  <c r="G344" i="1"/>
  <c r="F344" i="1" s="1"/>
  <c r="G345" i="1"/>
  <c r="F345" i="1" s="1"/>
  <c r="G346" i="1"/>
  <c r="F346" i="1" s="1"/>
  <c r="G348" i="1"/>
  <c r="F348" i="1" s="1"/>
  <c r="G347" i="1"/>
  <c r="F347" i="1" s="1"/>
  <c r="G349" i="1"/>
  <c r="F349" i="1" s="1"/>
  <c r="G350" i="1"/>
  <c r="F350" i="1" s="1"/>
  <c r="G351" i="1"/>
  <c r="F351" i="1" s="1"/>
  <c r="G352" i="1"/>
  <c r="F352" i="1" s="1"/>
  <c r="G353" i="1"/>
  <c r="F353" i="1" s="1"/>
  <c r="G354" i="1"/>
  <c r="F354" i="1" s="1"/>
  <c r="G355" i="1"/>
  <c r="F355" i="1" s="1"/>
  <c r="G356" i="1"/>
  <c r="F356" i="1" s="1"/>
  <c r="G357" i="1"/>
  <c r="F357" i="1" s="1"/>
  <c r="G358" i="1"/>
  <c r="F358" i="1" s="1"/>
  <c r="G359" i="1"/>
  <c r="F359" i="1" s="1"/>
  <c r="G360" i="1"/>
  <c r="F360" i="1" s="1"/>
  <c r="G361" i="1"/>
  <c r="F361" i="1" s="1"/>
  <c r="G362" i="1"/>
  <c r="F362" i="1" s="1"/>
  <c r="G363" i="1"/>
  <c r="F363" i="1" s="1"/>
  <c r="G364" i="1"/>
  <c r="F364" i="1" s="1"/>
  <c r="G365" i="1"/>
  <c r="F365" i="1" s="1"/>
  <c r="G366" i="1"/>
  <c r="F366" i="1" s="1"/>
  <c r="G367" i="1"/>
  <c r="F367" i="1" s="1"/>
  <c r="G368" i="1"/>
  <c r="F368" i="1" s="1"/>
  <c r="G369" i="1"/>
  <c r="F369" i="1" s="1"/>
  <c r="G370" i="1"/>
  <c r="F370" i="1" s="1"/>
  <c r="G371" i="1"/>
  <c r="F371" i="1" s="1"/>
  <c r="G372" i="1"/>
  <c r="F372" i="1" s="1"/>
  <c r="G373" i="1"/>
  <c r="F373" i="1" s="1"/>
  <c r="G374" i="1"/>
  <c r="F374" i="1" s="1"/>
  <c r="G375" i="1"/>
  <c r="F375" i="1" s="1"/>
  <c r="G376" i="1"/>
  <c r="F376" i="1" s="1"/>
  <c r="G377" i="1"/>
  <c r="F377" i="1" s="1"/>
  <c r="G378" i="1"/>
  <c r="F378" i="1" s="1"/>
  <c r="G379" i="1"/>
  <c r="F379" i="1" s="1"/>
  <c r="G380" i="1"/>
  <c r="F380" i="1" s="1"/>
  <c r="G381" i="1"/>
  <c r="F381" i="1" s="1"/>
  <c r="G382" i="1"/>
  <c r="F382" i="1" s="1"/>
  <c r="G383" i="1"/>
  <c r="F383" i="1" s="1"/>
  <c r="G384" i="1"/>
  <c r="F384" i="1" s="1"/>
  <c r="G385" i="1"/>
  <c r="F385" i="1" s="1"/>
  <c r="G386" i="1"/>
  <c r="F386" i="1" s="1"/>
  <c r="G387" i="1"/>
  <c r="F387" i="1" s="1"/>
  <c r="G388" i="1"/>
  <c r="F388" i="1" s="1"/>
  <c r="G389" i="1"/>
  <c r="F389" i="1" s="1"/>
  <c r="G390" i="1"/>
  <c r="F390" i="1" s="1"/>
  <c r="G391" i="1"/>
  <c r="F391" i="1" s="1"/>
  <c r="G392" i="1"/>
  <c r="F392" i="1" s="1"/>
  <c r="G393" i="1"/>
  <c r="F393" i="1" s="1"/>
  <c r="G394" i="1"/>
  <c r="F394" i="1" s="1"/>
  <c r="G395" i="1"/>
  <c r="F395" i="1" s="1"/>
  <c r="G396" i="1"/>
  <c r="F396" i="1" s="1"/>
  <c r="G397" i="1"/>
  <c r="F397" i="1" s="1"/>
  <c r="G398" i="1"/>
  <c r="F398" i="1" s="1"/>
  <c r="G399" i="1"/>
  <c r="F399" i="1" s="1"/>
  <c r="G400" i="1"/>
  <c r="F400" i="1" s="1"/>
  <c r="G401" i="1"/>
  <c r="F401" i="1" s="1"/>
  <c r="G402" i="1"/>
  <c r="F402" i="1" s="1"/>
  <c r="G403" i="1"/>
  <c r="F403" i="1" s="1"/>
  <c r="G404" i="1"/>
  <c r="F404" i="1" s="1"/>
  <c r="G405" i="1"/>
  <c r="F405" i="1" s="1"/>
  <c r="G406" i="1"/>
  <c r="F406" i="1" s="1"/>
  <c r="G407" i="1"/>
  <c r="F407" i="1" s="1"/>
  <c r="G408" i="1"/>
  <c r="F408" i="1" s="1"/>
  <c r="G409" i="1"/>
  <c r="F409" i="1" s="1"/>
  <c r="G410" i="1"/>
  <c r="F410" i="1" s="1"/>
  <c r="G411" i="1"/>
  <c r="F411" i="1" s="1"/>
  <c r="G412" i="1"/>
  <c r="F412" i="1" s="1"/>
  <c r="G413" i="1"/>
  <c r="F413" i="1" s="1"/>
  <c r="G414" i="1"/>
  <c r="F414" i="1" s="1"/>
  <c r="G415" i="1"/>
  <c r="F415" i="1" s="1"/>
  <c r="G416" i="1"/>
  <c r="F416" i="1" s="1"/>
  <c r="G417" i="1"/>
  <c r="F417" i="1" s="1"/>
  <c r="G418" i="1"/>
  <c r="F418" i="1" s="1"/>
  <c r="G419" i="1"/>
  <c r="F419" i="1" s="1"/>
  <c r="G420" i="1"/>
  <c r="F420" i="1" s="1"/>
  <c r="G421" i="1"/>
  <c r="F421" i="1" s="1"/>
  <c r="G422" i="1"/>
  <c r="F422" i="1" s="1"/>
  <c r="G423" i="1"/>
  <c r="F423" i="1" s="1"/>
  <c r="G424" i="1"/>
  <c r="F424" i="1" s="1"/>
  <c r="G425" i="1"/>
  <c r="F425" i="1" s="1"/>
  <c r="G426" i="1"/>
  <c r="F426" i="1" s="1"/>
  <c r="G427" i="1"/>
  <c r="F427" i="1" s="1"/>
  <c r="G428" i="1"/>
  <c r="F428" i="1" s="1"/>
  <c r="G429" i="1"/>
  <c r="F429" i="1" s="1"/>
  <c r="G430" i="1"/>
  <c r="F430" i="1" s="1"/>
  <c r="G431" i="1"/>
  <c r="F431" i="1" s="1"/>
  <c r="G432" i="1"/>
  <c r="F432" i="1" s="1"/>
  <c r="G433" i="1"/>
  <c r="F433" i="1" s="1"/>
  <c r="G434" i="1"/>
  <c r="F434" i="1" s="1"/>
  <c r="G435" i="1"/>
  <c r="F435" i="1" s="1"/>
  <c r="G436" i="1"/>
  <c r="F436" i="1" s="1"/>
  <c r="G437" i="1"/>
  <c r="F437" i="1" s="1"/>
  <c r="G438" i="1"/>
  <c r="F438" i="1" s="1"/>
  <c r="G439" i="1"/>
  <c r="F439" i="1" s="1"/>
  <c r="G440" i="1"/>
  <c r="F440" i="1" s="1"/>
  <c r="G441" i="1"/>
  <c r="F441" i="1" s="1"/>
  <c r="G442" i="1"/>
  <c r="F442" i="1" s="1"/>
  <c r="G443" i="1"/>
  <c r="F443" i="1" s="1"/>
  <c r="G444" i="1"/>
  <c r="F444" i="1" s="1"/>
  <c r="G445" i="1"/>
  <c r="F445" i="1" s="1"/>
  <c r="G446" i="1"/>
  <c r="F446" i="1" s="1"/>
  <c r="G447" i="1"/>
  <c r="F447" i="1" s="1"/>
  <c r="G448" i="1"/>
  <c r="F448" i="1" s="1"/>
  <c r="G449" i="1"/>
  <c r="F449" i="1" s="1"/>
  <c r="G450" i="1"/>
  <c r="F450" i="1" s="1"/>
  <c r="G451" i="1"/>
  <c r="F451" i="1" s="1"/>
  <c r="G452" i="1"/>
  <c r="F452" i="1" s="1"/>
  <c r="G453" i="1"/>
  <c r="F453" i="1" s="1"/>
  <c r="G454" i="1"/>
  <c r="F454" i="1" s="1"/>
  <c r="G455" i="1"/>
  <c r="F455" i="1" s="1"/>
  <c r="G456" i="1"/>
  <c r="F456" i="1" s="1"/>
  <c r="G457" i="1"/>
  <c r="F457" i="1" s="1"/>
  <c r="G458" i="1"/>
  <c r="F458" i="1" s="1"/>
  <c r="G459" i="1"/>
  <c r="F459" i="1" s="1"/>
  <c r="G460" i="1"/>
  <c r="F460" i="1" s="1"/>
  <c r="G461" i="1"/>
  <c r="F461" i="1" s="1"/>
  <c r="G462" i="1"/>
  <c r="F462" i="1" s="1"/>
  <c r="G463" i="1"/>
  <c r="F463" i="1" s="1"/>
  <c r="G464" i="1"/>
  <c r="F464" i="1" s="1"/>
  <c r="G465" i="1"/>
  <c r="F465" i="1" s="1"/>
  <c r="G466" i="1"/>
  <c r="F466" i="1" s="1"/>
  <c r="G467" i="1"/>
  <c r="F467" i="1" s="1"/>
  <c r="G468" i="1"/>
  <c r="F468" i="1" s="1"/>
  <c r="G469" i="1"/>
  <c r="F469" i="1" s="1"/>
  <c r="G470" i="1"/>
  <c r="F470" i="1" s="1"/>
  <c r="G471" i="1"/>
  <c r="F471" i="1" s="1"/>
  <c r="G472" i="1"/>
  <c r="F472" i="1" s="1"/>
  <c r="G473" i="1"/>
  <c r="F473" i="1" s="1"/>
  <c r="G474" i="1"/>
  <c r="F474" i="1" s="1"/>
  <c r="G475" i="1"/>
  <c r="F475" i="1" s="1"/>
  <c r="G476" i="1"/>
  <c r="F476" i="1" s="1"/>
  <c r="G477" i="1"/>
  <c r="F477" i="1" s="1"/>
  <c r="G478" i="1"/>
  <c r="F478" i="1" s="1"/>
  <c r="G479" i="1"/>
  <c r="F479" i="1" s="1"/>
  <c r="G480" i="1"/>
  <c r="F480" i="1" s="1"/>
  <c r="G481" i="1"/>
  <c r="F481" i="1" s="1"/>
  <c r="G482" i="1"/>
  <c r="F482" i="1" s="1"/>
  <c r="G483" i="1"/>
  <c r="F483" i="1" s="1"/>
  <c r="G484" i="1"/>
  <c r="F484" i="1" s="1"/>
  <c r="G485" i="1"/>
  <c r="F485" i="1" s="1"/>
  <c r="G486" i="1"/>
  <c r="F486" i="1" s="1"/>
  <c r="G487" i="1"/>
  <c r="F487" i="1" s="1"/>
  <c r="G488" i="1"/>
  <c r="F488" i="1" s="1"/>
  <c r="G489" i="1"/>
  <c r="F489" i="1" s="1"/>
  <c r="G490" i="1"/>
  <c r="F490" i="1" s="1"/>
  <c r="G491" i="1"/>
  <c r="F491" i="1" s="1"/>
  <c r="G492" i="1"/>
  <c r="F492" i="1" s="1"/>
  <c r="G493" i="1"/>
  <c r="F493" i="1" s="1"/>
  <c r="G494" i="1"/>
  <c r="F494" i="1" s="1"/>
  <c r="G495" i="1"/>
  <c r="F495" i="1" s="1"/>
  <c r="G496" i="1"/>
  <c r="F496" i="1" s="1"/>
  <c r="G497" i="1"/>
  <c r="F497" i="1" s="1"/>
  <c r="G498" i="1"/>
  <c r="F498" i="1" s="1"/>
  <c r="G499" i="1"/>
  <c r="F499" i="1" s="1"/>
  <c r="G500" i="1"/>
  <c r="F500" i="1" s="1"/>
  <c r="G501" i="1"/>
  <c r="F501" i="1" s="1"/>
  <c r="G502" i="1"/>
  <c r="F502" i="1" s="1"/>
  <c r="G503" i="1"/>
  <c r="F503" i="1" s="1"/>
  <c r="G504" i="1"/>
  <c r="F504" i="1" s="1"/>
  <c r="G505" i="1"/>
  <c r="F505" i="1" s="1"/>
  <c r="G506" i="1"/>
  <c r="F506" i="1" s="1"/>
  <c r="G507" i="1"/>
  <c r="F507" i="1" s="1"/>
  <c r="G508" i="1"/>
  <c r="F508" i="1" s="1"/>
  <c r="G509" i="1"/>
  <c r="F509" i="1" s="1"/>
  <c r="G510" i="1"/>
  <c r="F510" i="1" s="1"/>
  <c r="G511" i="1"/>
  <c r="F511" i="1" s="1"/>
  <c r="G512" i="1"/>
  <c r="F512" i="1" s="1"/>
  <c r="G513" i="1"/>
  <c r="F513" i="1" s="1"/>
  <c r="G514" i="1"/>
  <c r="F514" i="1" s="1"/>
  <c r="G515" i="1"/>
  <c r="F515" i="1" s="1"/>
  <c r="G516" i="1"/>
  <c r="F516" i="1" s="1"/>
  <c r="G517" i="1"/>
  <c r="F517" i="1" s="1"/>
  <c r="G518" i="1"/>
  <c r="F518" i="1" s="1"/>
  <c r="G519" i="1"/>
  <c r="F519" i="1" s="1"/>
  <c r="G520" i="1"/>
  <c r="F520" i="1" s="1"/>
  <c r="G521" i="1"/>
  <c r="F521" i="1" s="1"/>
  <c r="G522" i="1"/>
  <c r="F522" i="1" s="1"/>
  <c r="G523" i="1"/>
  <c r="F523" i="1" s="1"/>
  <c r="G524" i="1"/>
  <c r="F524" i="1" s="1"/>
  <c r="G525" i="1"/>
  <c r="F525" i="1" s="1"/>
  <c r="G526" i="1"/>
  <c r="F526" i="1" s="1"/>
  <c r="G527" i="1"/>
  <c r="F527" i="1" s="1"/>
  <c r="G528" i="1"/>
  <c r="F528" i="1" s="1"/>
  <c r="G529" i="1"/>
  <c r="F529" i="1" s="1"/>
  <c r="G530" i="1"/>
  <c r="F530" i="1" s="1"/>
  <c r="G532" i="1"/>
  <c r="F532" i="1" s="1"/>
  <c r="G531" i="1"/>
  <c r="F531" i="1" s="1"/>
  <c r="G533" i="1"/>
  <c r="F533" i="1" s="1"/>
  <c r="G534" i="1"/>
  <c r="F534" i="1" s="1"/>
  <c r="G535" i="1"/>
  <c r="F535" i="1" s="1"/>
  <c r="G536" i="1"/>
  <c r="F536" i="1" s="1"/>
  <c r="G537" i="1"/>
  <c r="F537" i="1" s="1"/>
  <c r="G538" i="1"/>
  <c r="F538" i="1" s="1"/>
  <c r="G539" i="1"/>
  <c r="F539" i="1" s="1"/>
  <c r="G540" i="1"/>
  <c r="F540" i="1" s="1"/>
  <c r="G541" i="1"/>
  <c r="F541" i="1" s="1"/>
  <c r="G542" i="1"/>
  <c r="F542" i="1" s="1"/>
  <c r="G543" i="1"/>
  <c r="F543" i="1" s="1"/>
  <c r="G544" i="1"/>
  <c r="F544" i="1" s="1"/>
  <c r="G545" i="1"/>
  <c r="F545" i="1" s="1"/>
  <c r="G546" i="1"/>
  <c r="F546" i="1" s="1"/>
  <c r="G547" i="1"/>
  <c r="F547" i="1" s="1"/>
  <c r="G548" i="1"/>
  <c r="F548" i="1" s="1"/>
  <c r="G549" i="1"/>
  <c r="F549" i="1" s="1"/>
  <c r="G550" i="1"/>
  <c r="F550" i="1" s="1"/>
  <c r="G551" i="1"/>
  <c r="F551" i="1" s="1"/>
  <c r="G552" i="1"/>
  <c r="F552" i="1" s="1"/>
  <c r="G553" i="1"/>
  <c r="F553" i="1" s="1"/>
  <c r="G554" i="1"/>
  <c r="F554" i="1" s="1"/>
  <c r="G555" i="1"/>
  <c r="F555" i="1" s="1"/>
  <c r="G556" i="1"/>
  <c r="F556" i="1" s="1"/>
  <c r="G557" i="1"/>
  <c r="F557" i="1" s="1"/>
  <c r="G558" i="1"/>
  <c r="F558" i="1" s="1"/>
  <c r="G559" i="1"/>
  <c r="F559" i="1" s="1"/>
  <c r="G560" i="1"/>
  <c r="F560" i="1" s="1"/>
  <c r="G561" i="1"/>
  <c r="F561" i="1" s="1"/>
  <c r="G562" i="1"/>
  <c r="F562" i="1" s="1"/>
  <c r="G563" i="1"/>
  <c r="F563" i="1" s="1"/>
  <c r="G564" i="1"/>
  <c r="F564" i="1" s="1"/>
  <c r="G565" i="1"/>
  <c r="F565" i="1" s="1"/>
  <c r="G566" i="1"/>
  <c r="F566" i="1" s="1"/>
  <c r="G567" i="1"/>
  <c r="F567" i="1" s="1"/>
  <c r="G568" i="1"/>
  <c r="F568" i="1" s="1"/>
  <c r="G569" i="1"/>
  <c r="F569" i="1" s="1"/>
  <c r="G570" i="1"/>
  <c r="F570" i="1" s="1"/>
  <c r="G571" i="1"/>
  <c r="F571" i="1" s="1"/>
  <c r="G572" i="1"/>
  <c r="F572" i="1" s="1"/>
  <c r="G573" i="1"/>
  <c r="F573" i="1" s="1"/>
  <c r="G574" i="1"/>
  <c r="F574" i="1" s="1"/>
  <c r="G575" i="1"/>
  <c r="F575" i="1" s="1"/>
  <c r="G576" i="1"/>
  <c r="F576" i="1" s="1"/>
  <c r="G577" i="1"/>
  <c r="F577" i="1" s="1"/>
  <c r="G578" i="1"/>
  <c r="F578" i="1" s="1"/>
  <c r="G579" i="1"/>
  <c r="F579" i="1" s="1"/>
  <c r="G580" i="1"/>
  <c r="F580" i="1" s="1"/>
  <c r="G581" i="1"/>
  <c r="F581" i="1" s="1"/>
  <c r="G582" i="1"/>
  <c r="F582" i="1" s="1"/>
  <c r="G583" i="1"/>
  <c r="F583" i="1" s="1"/>
  <c r="G584" i="1"/>
  <c r="F584" i="1" s="1"/>
  <c r="G585" i="1"/>
  <c r="F585" i="1" s="1"/>
  <c r="G586" i="1"/>
  <c r="F586" i="1" s="1"/>
  <c r="G587" i="1"/>
  <c r="F587" i="1" s="1"/>
  <c r="G588" i="1"/>
  <c r="F588" i="1" s="1"/>
  <c r="G589" i="1"/>
  <c r="F589" i="1" s="1"/>
  <c r="G590" i="1"/>
  <c r="F590" i="1" s="1"/>
  <c r="G591" i="1"/>
  <c r="F591" i="1" s="1"/>
  <c r="G592" i="1"/>
  <c r="F592" i="1" s="1"/>
  <c r="G593" i="1"/>
  <c r="F593" i="1" s="1"/>
  <c r="G594" i="1"/>
  <c r="F594" i="1" s="1"/>
  <c r="G595" i="1"/>
  <c r="F595" i="1" s="1"/>
  <c r="G596" i="1"/>
  <c r="F596" i="1" s="1"/>
  <c r="G597" i="1"/>
  <c r="F597" i="1" s="1"/>
  <c r="G598" i="1"/>
  <c r="F598" i="1" s="1"/>
  <c r="G599" i="1"/>
  <c r="F599" i="1" s="1"/>
  <c r="G600" i="1"/>
  <c r="F600" i="1" s="1"/>
  <c r="G601" i="1"/>
  <c r="F601" i="1" s="1"/>
  <c r="G602" i="1"/>
  <c r="F602" i="1" s="1"/>
  <c r="G603" i="1"/>
  <c r="F603" i="1" s="1"/>
  <c r="G604" i="1"/>
  <c r="F604" i="1" s="1"/>
  <c r="G605" i="1"/>
  <c r="F605" i="1" s="1"/>
  <c r="G606" i="1"/>
  <c r="F606" i="1" s="1"/>
  <c r="G607" i="1"/>
  <c r="F607" i="1" s="1"/>
  <c r="G608" i="1"/>
  <c r="F608" i="1" s="1"/>
  <c r="G609" i="1"/>
  <c r="F609" i="1" s="1"/>
  <c r="G610" i="1"/>
  <c r="F610" i="1" s="1"/>
  <c r="G611" i="1"/>
  <c r="F611" i="1" s="1"/>
  <c r="G612" i="1"/>
  <c r="F612" i="1" s="1"/>
  <c r="G613" i="1"/>
  <c r="F613" i="1" s="1"/>
  <c r="G614" i="1"/>
  <c r="F614" i="1" s="1"/>
  <c r="G615" i="1"/>
  <c r="F615" i="1" s="1"/>
  <c r="G616" i="1"/>
  <c r="F616" i="1" s="1"/>
  <c r="G617" i="1"/>
  <c r="F617" i="1" s="1"/>
  <c r="G618" i="1"/>
  <c r="F618" i="1" s="1"/>
  <c r="G619" i="1"/>
  <c r="F619" i="1" s="1"/>
  <c r="G620" i="1"/>
  <c r="F620" i="1" s="1"/>
  <c r="G621" i="1"/>
  <c r="F621" i="1" s="1"/>
  <c r="G622" i="1"/>
  <c r="F622" i="1" s="1"/>
  <c r="G623" i="1"/>
  <c r="F623" i="1" s="1"/>
  <c r="G624" i="1"/>
  <c r="F624" i="1" s="1"/>
  <c r="G625" i="1"/>
  <c r="F625" i="1" s="1"/>
  <c r="G626" i="1"/>
  <c r="F626" i="1" s="1"/>
  <c r="G627" i="1"/>
  <c r="F627" i="1" s="1"/>
  <c r="G628" i="1"/>
  <c r="F628" i="1" s="1"/>
  <c r="G629" i="1"/>
  <c r="F629" i="1" s="1"/>
  <c r="G630" i="1"/>
  <c r="F630" i="1" s="1"/>
  <c r="G631" i="1"/>
  <c r="F631" i="1" s="1"/>
  <c r="G632" i="1"/>
  <c r="F632" i="1" s="1"/>
  <c r="G633" i="1"/>
  <c r="F633" i="1" s="1"/>
  <c r="G634" i="1"/>
  <c r="F634" i="1" s="1"/>
  <c r="G635" i="1"/>
  <c r="F635" i="1" s="1"/>
  <c r="G636" i="1"/>
  <c r="F636" i="1" s="1"/>
  <c r="G637" i="1"/>
  <c r="F637" i="1" s="1"/>
  <c r="G638" i="1"/>
  <c r="F638" i="1" s="1"/>
  <c r="G639" i="1"/>
  <c r="F639" i="1" s="1"/>
  <c r="G640" i="1"/>
  <c r="F640" i="1" s="1"/>
  <c r="G641" i="1"/>
  <c r="F641" i="1" s="1"/>
  <c r="G642" i="1"/>
  <c r="F642" i="1" s="1"/>
  <c r="G643" i="1"/>
  <c r="F643" i="1" s="1"/>
  <c r="G644" i="1"/>
  <c r="F644" i="1" s="1"/>
  <c r="G645" i="1"/>
  <c r="F645" i="1" s="1"/>
  <c r="G646" i="1"/>
  <c r="F646" i="1" s="1"/>
  <c r="G2" i="1"/>
  <c r="F2" i="1" s="1"/>
</calcChain>
</file>

<file path=xl/comments1.xml><?xml version="1.0" encoding="utf-8"?>
<comments xmlns="http://schemas.openxmlformats.org/spreadsheetml/2006/main">
  <authors>
    <author>Michel Metran</author>
  </authors>
  <commentList>
    <comment ref="D1" authorId="0">
      <text>
        <r>
          <rPr>
            <b/>
            <sz val="9"/>
            <color indexed="81"/>
            <rFont val="Tahoma"/>
            <charset val="1"/>
          </rPr>
          <t>Michel Metran:</t>
        </r>
        <r>
          <rPr>
            <sz val="9"/>
            <color indexed="81"/>
            <rFont val="Tahoma"/>
            <charset val="1"/>
          </rPr>
          <t xml:space="preserve">
Aptidão de Acordo com a Classificação do Impacto Ambiental Local</t>
        </r>
      </text>
    </comment>
  </commentList>
</comments>
</file>

<file path=xl/sharedStrings.xml><?xml version="1.0" encoding="utf-8"?>
<sst xmlns="http://schemas.openxmlformats.org/spreadsheetml/2006/main" count="10285" uniqueCount="1969">
  <si>
    <t>ADAMANTINA</t>
  </si>
  <si>
    <t>ADOLFO</t>
  </si>
  <si>
    <t>AGUAÍ</t>
  </si>
  <si>
    <t>ÁGUAS DA PRATA</t>
  </si>
  <si>
    <t>ÁGUAS DE LINDÓIA</t>
  </si>
  <si>
    <t>ÁGUAS DE SANTA BÁRBARA</t>
  </si>
  <si>
    <t>ÁGUAS DE SÃO PEDRO</t>
  </si>
  <si>
    <t>AGUDOS</t>
  </si>
  <si>
    <t>ALAMBARI</t>
  </si>
  <si>
    <t>ALFREDO MARCONDES</t>
  </si>
  <si>
    <t>ALTAIR</t>
  </si>
  <si>
    <t>ALTINÓPOLIS</t>
  </si>
  <si>
    <t>ALTO ALEGRE</t>
  </si>
  <si>
    <t>ALUMÍNIO</t>
  </si>
  <si>
    <t>ÁLVARES FLORENCE</t>
  </si>
  <si>
    <t>ÁLVARES MACHADO</t>
  </si>
  <si>
    <t>ÁLVARO DE CARVALHO</t>
  </si>
  <si>
    <t>ALVINLÂNDIA</t>
  </si>
  <si>
    <t>AMERICANA</t>
  </si>
  <si>
    <t>AMÉRICO BRASILIENSE</t>
  </si>
  <si>
    <t>AMÉRICO DE CAMPOS</t>
  </si>
  <si>
    <t>AMPARO</t>
  </si>
  <si>
    <t>ANALÂNDIA</t>
  </si>
  <si>
    <t>ANDRADINA</t>
  </si>
  <si>
    <t>ANGATUBA</t>
  </si>
  <si>
    <t>ANHEMBI</t>
  </si>
  <si>
    <t>ANHUMAS</t>
  </si>
  <si>
    <t>APARECIDA</t>
  </si>
  <si>
    <t>APARECIDA D`OESTE</t>
  </si>
  <si>
    <t>APIAÍ</t>
  </si>
  <si>
    <t>ARAÇARIGUAMA</t>
  </si>
  <si>
    <t>ARAÇATUBA</t>
  </si>
  <si>
    <t>ARAÇOIABA DA SERRA</t>
  </si>
  <si>
    <t>ARAMINA</t>
  </si>
  <si>
    <t>ARANDU</t>
  </si>
  <si>
    <t>ARAPEÍ</t>
  </si>
  <si>
    <t>ARARAQUARA</t>
  </si>
  <si>
    <t>ARARAS</t>
  </si>
  <si>
    <t>ARCO-ÍRIS</t>
  </si>
  <si>
    <t>AREALVA</t>
  </si>
  <si>
    <t>AREIAS</t>
  </si>
  <si>
    <t>AREIÓPOLIS</t>
  </si>
  <si>
    <t>ARIRANHA</t>
  </si>
  <si>
    <t>ARTUR NOGUEIRA</t>
  </si>
  <si>
    <t>ARUJÁ</t>
  </si>
  <si>
    <t>ASPÁSIA</t>
  </si>
  <si>
    <t>ASSIS</t>
  </si>
  <si>
    <t>ATIBAIA</t>
  </si>
  <si>
    <t>AURIFLAMA</t>
  </si>
  <si>
    <t>AVAÍ</t>
  </si>
  <si>
    <t>AVANHANDAVA</t>
  </si>
  <si>
    <t>AVARÉ</t>
  </si>
  <si>
    <t>BADY BASSITT</t>
  </si>
  <si>
    <t>BALBINOS</t>
  </si>
  <si>
    <t>BÁLSAMO</t>
  </si>
  <si>
    <t>BANANAL</t>
  </si>
  <si>
    <t>BARÃO DE ANTONINA</t>
  </si>
  <si>
    <t>BARBOSA</t>
  </si>
  <si>
    <t>BARIRI</t>
  </si>
  <si>
    <t>BARRA BONITA</t>
  </si>
  <si>
    <t>BARRA DO CHAPÉU</t>
  </si>
  <si>
    <t>BARRA DO TURVO</t>
  </si>
  <si>
    <t>BARRETOS</t>
  </si>
  <si>
    <t>BARRINHA</t>
  </si>
  <si>
    <t>BARUERI</t>
  </si>
  <si>
    <t>BASTOS</t>
  </si>
  <si>
    <t>BATATAIS</t>
  </si>
  <si>
    <t>BAURU</t>
  </si>
  <si>
    <t>BEBEDOURO</t>
  </si>
  <si>
    <t>BENTO DE ABREU</t>
  </si>
  <si>
    <t>BERNARDINO DE CAMPOS</t>
  </si>
  <si>
    <t>BERTIOGA</t>
  </si>
  <si>
    <t>BILAC</t>
  </si>
  <si>
    <t>BIRIGUI</t>
  </si>
  <si>
    <t>BIRITIBA MIRIM</t>
  </si>
  <si>
    <t>BOA ESPERANÇA DO SUL</t>
  </si>
  <si>
    <t>BOCAINA</t>
  </si>
  <si>
    <t>BOFETE</t>
  </si>
  <si>
    <t>BOITUVA</t>
  </si>
  <si>
    <t>BOM JESUS DOS PERDÕES</t>
  </si>
  <si>
    <t>BOM SUCESSO DE ITARARÉ</t>
  </si>
  <si>
    <t>BORÁ</t>
  </si>
  <si>
    <t>BORACÉIA</t>
  </si>
  <si>
    <t>BORBOREMA</t>
  </si>
  <si>
    <t>BOREBI</t>
  </si>
  <si>
    <t>BOTUCATU</t>
  </si>
  <si>
    <t>BRAGANÇA PAULISTA</t>
  </si>
  <si>
    <t>BRAÚNA</t>
  </si>
  <si>
    <t>BREJO ALEGRE</t>
  </si>
  <si>
    <t>BRODOWSKI</t>
  </si>
  <si>
    <t>BROTAS</t>
  </si>
  <si>
    <t>BURI</t>
  </si>
  <si>
    <t>BURITAMA</t>
  </si>
  <si>
    <t>BURITIZAL</t>
  </si>
  <si>
    <t>CABRÁLIA PAULISTA</t>
  </si>
  <si>
    <t>CABREÚVA</t>
  </si>
  <si>
    <t>CAÇAPAVA</t>
  </si>
  <si>
    <t>CACHOEIRA PAULISTA</t>
  </si>
  <si>
    <t>CACONDE</t>
  </si>
  <si>
    <t>CAFELÂNDIA</t>
  </si>
  <si>
    <t>CAIABU</t>
  </si>
  <si>
    <t>CAIEIRAS</t>
  </si>
  <si>
    <t>CAIUÁ</t>
  </si>
  <si>
    <t>CAJAMAR</t>
  </si>
  <si>
    <t>CAJATI</t>
  </si>
  <si>
    <t>CAJOBI</t>
  </si>
  <si>
    <t>CAJURU</t>
  </si>
  <si>
    <t>CAMPINA DO MONTE ALEGRE</t>
  </si>
  <si>
    <t>CAMPINAS</t>
  </si>
  <si>
    <t>CAMPO LIMPO PAULISTA</t>
  </si>
  <si>
    <t>CAMPOS DO JORDÃO</t>
  </si>
  <si>
    <t>CAMPOS NOVOS PAULISTA</t>
  </si>
  <si>
    <t>CANANÉIA</t>
  </si>
  <si>
    <t>CANAS</t>
  </si>
  <si>
    <t>CÂNDIDO MOTA</t>
  </si>
  <si>
    <t>CÂNDIDO RODRIGUES</t>
  </si>
  <si>
    <t>CANITAR</t>
  </si>
  <si>
    <t>CAPÃO BONITO</t>
  </si>
  <si>
    <t>CAPELA DO ALTO</t>
  </si>
  <si>
    <t>CAPIVARI</t>
  </si>
  <si>
    <t>CARAGUATATUBA</t>
  </si>
  <si>
    <t>CARAPICUÍBA</t>
  </si>
  <si>
    <t>CARDOSO</t>
  </si>
  <si>
    <t>CASA BRANCA</t>
  </si>
  <si>
    <t>CÁSSIA DOS COQUEIROS</t>
  </si>
  <si>
    <t>CASTILHO</t>
  </si>
  <si>
    <t>CATANDUVA</t>
  </si>
  <si>
    <t>CATIGUÁ</t>
  </si>
  <si>
    <t>CEDRAL</t>
  </si>
  <si>
    <t>CERQUEIRA CÉSAR</t>
  </si>
  <si>
    <t>CERQUILHO</t>
  </si>
  <si>
    <t>CESÁRIO LANGE</t>
  </si>
  <si>
    <t>CHARQUEADA</t>
  </si>
  <si>
    <t>CHAVANTES</t>
  </si>
  <si>
    <t>CLEMENTINA</t>
  </si>
  <si>
    <t>COLINA</t>
  </si>
  <si>
    <t>COLÔMBIA</t>
  </si>
  <si>
    <t>CONCHAL</t>
  </si>
  <si>
    <t>CONCHAS</t>
  </si>
  <si>
    <t>CORDEIRÓPOLIS</t>
  </si>
  <si>
    <t>COROADOS</t>
  </si>
  <si>
    <t>CORONEL MACEDO</t>
  </si>
  <si>
    <t>CORUMBATAÍ</t>
  </si>
  <si>
    <t>COSMÓPOLIS</t>
  </si>
  <si>
    <t>COSMORAMA</t>
  </si>
  <si>
    <t>COTIA</t>
  </si>
  <si>
    <t>CRAVINHOS</t>
  </si>
  <si>
    <t>CRISTAIS PAULISTA</t>
  </si>
  <si>
    <t>CRUZÁLIA</t>
  </si>
  <si>
    <t>CRUZEIRO</t>
  </si>
  <si>
    <t>CUBATÃO</t>
  </si>
  <si>
    <t>CUNHA</t>
  </si>
  <si>
    <t>DESCALVADO</t>
  </si>
  <si>
    <t>DIADEMA</t>
  </si>
  <si>
    <t>DIRCE REIS</t>
  </si>
  <si>
    <t>DIVINOLÂNDIA</t>
  </si>
  <si>
    <t>DOBRADA</t>
  </si>
  <si>
    <t>DOIS CÓRREGOS</t>
  </si>
  <si>
    <t>DOLCINÓPOLIS</t>
  </si>
  <si>
    <t>DOURADO</t>
  </si>
  <si>
    <t>DRACENA</t>
  </si>
  <si>
    <t>DUARTINA</t>
  </si>
  <si>
    <t>DUMONT</t>
  </si>
  <si>
    <t>ECHAPORÃ</t>
  </si>
  <si>
    <t>ELDORADO</t>
  </si>
  <si>
    <t>ELIAS FAUSTO</t>
  </si>
  <si>
    <t>ELISIÁRIO</t>
  </si>
  <si>
    <t>EMBAÚBA</t>
  </si>
  <si>
    <t>EMBU DAS ARTES</t>
  </si>
  <si>
    <t>EMBU-GUAÇU</t>
  </si>
  <si>
    <t>EMILIANÓPOLIS</t>
  </si>
  <si>
    <t>ENGENHEIRO COELHO</t>
  </si>
  <si>
    <t>ESPÍRITO SANTO DO PINHAL</t>
  </si>
  <si>
    <t>ESPÍRITO SANTO DO TURVO</t>
  </si>
  <si>
    <t>ESTIVA GERBI</t>
  </si>
  <si>
    <t>ESTRELA D`OESTE</t>
  </si>
  <si>
    <t>ESTRELA DO NORTE</t>
  </si>
  <si>
    <t>EUCLIDES DA CUNHA PAULISTA</t>
  </si>
  <si>
    <t>FARTURA</t>
  </si>
  <si>
    <t>FERNANDO PRESTES</t>
  </si>
  <si>
    <t>FERNANDÓPOLIS</t>
  </si>
  <si>
    <t>FERNÃO</t>
  </si>
  <si>
    <t>FERRAZ DE VASCONCELOS</t>
  </si>
  <si>
    <t>FLORA RICA</t>
  </si>
  <si>
    <t>FLOREAL</t>
  </si>
  <si>
    <t>FLÓRIDA PAULISTA</t>
  </si>
  <si>
    <t>FLORÍNEA</t>
  </si>
  <si>
    <t>FRANCA</t>
  </si>
  <si>
    <t>FRANCISCO MORATO</t>
  </si>
  <si>
    <t>FRANCO DA ROCHA</t>
  </si>
  <si>
    <t>GABRIEL MONTEIRO</t>
  </si>
  <si>
    <t>GÁLIA</t>
  </si>
  <si>
    <t>GARÇA</t>
  </si>
  <si>
    <t>GASTÃO VIDIGAL</t>
  </si>
  <si>
    <t>GAVIÃO PEIXOTO</t>
  </si>
  <si>
    <t>GENERAL SALGADO</t>
  </si>
  <si>
    <t>GETULINA</t>
  </si>
  <si>
    <t>GLICÉRIO</t>
  </si>
  <si>
    <t>GUAIÇARA</t>
  </si>
  <si>
    <t>GUAIMBÊ</t>
  </si>
  <si>
    <t>GUAÍRA</t>
  </si>
  <si>
    <t>GUAPIAÇU</t>
  </si>
  <si>
    <t>GUAPIARA</t>
  </si>
  <si>
    <t>GUARÁ</t>
  </si>
  <si>
    <t>GUARAÇAÍ</t>
  </si>
  <si>
    <t>GUARACI</t>
  </si>
  <si>
    <t>GUARANI D`OESTE</t>
  </si>
  <si>
    <t>GUARANTÃ</t>
  </si>
  <si>
    <t>GUARARAPES</t>
  </si>
  <si>
    <t>GUARAREMA</t>
  </si>
  <si>
    <t>GUARATINGUETÁ</t>
  </si>
  <si>
    <t>GUAREÍ</t>
  </si>
  <si>
    <t>GUARIBA</t>
  </si>
  <si>
    <t>GUARUJÁ</t>
  </si>
  <si>
    <t>GUARULHOS</t>
  </si>
  <si>
    <t>GUATAPARÁ</t>
  </si>
  <si>
    <t>GUZOLÂNDIA</t>
  </si>
  <si>
    <t>HERCULÂNDIA</t>
  </si>
  <si>
    <t>HOLAMBRA</t>
  </si>
  <si>
    <t>HORTOLÂNDIA</t>
  </si>
  <si>
    <t>IACANGA</t>
  </si>
  <si>
    <t>IACRI</t>
  </si>
  <si>
    <t>IARAS</t>
  </si>
  <si>
    <t>IBATÉ</t>
  </si>
  <si>
    <t>IBIRÁ</t>
  </si>
  <si>
    <t>IBIRAREMA</t>
  </si>
  <si>
    <t>IBITINGA</t>
  </si>
  <si>
    <t>IBIÚNA</t>
  </si>
  <si>
    <t>ICÉM</t>
  </si>
  <si>
    <t>IEPÊ</t>
  </si>
  <si>
    <t>IGARAÇU DO TIETÊ</t>
  </si>
  <si>
    <t>IGARAPAVA</t>
  </si>
  <si>
    <t>IGARATÁ</t>
  </si>
  <si>
    <t>IGUAPE</t>
  </si>
  <si>
    <t>ILHA COMPRIDA</t>
  </si>
  <si>
    <t>ILHA SOLTEIRA</t>
  </si>
  <si>
    <t>ILHABELA</t>
  </si>
  <si>
    <t>INDAIATUBA</t>
  </si>
  <si>
    <t>INDIANA</t>
  </si>
  <si>
    <t>INDIAPORÃ</t>
  </si>
  <si>
    <t>INÚBIA PAULISTA</t>
  </si>
  <si>
    <t>IPAUSSU</t>
  </si>
  <si>
    <t>IPERÓ</t>
  </si>
  <si>
    <t>IPEÚNA</t>
  </si>
  <si>
    <t>IPIGUÁ</t>
  </si>
  <si>
    <t>IPORANGA</t>
  </si>
  <si>
    <t>IPUÃ</t>
  </si>
  <si>
    <t>IRACEMÁPOLIS</t>
  </si>
  <si>
    <t>IRAPUÃ</t>
  </si>
  <si>
    <t>IRAPURU</t>
  </si>
  <si>
    <t>ITABERÁ</t>
  </si>
  <si>
    <t>ITAÍ</t>
  </si>
  <si>
    <t>ITAJOBI</t>
  </si>
  <si>
    <t>ITAJU</t>
  </si>
  <si>
    <t>ITANHAÉM</t>
  </si>
  <si>
    <t>ITAÓCA</t>
  </si>
  <si>
    <t>ITAPECERICA DA SERRA</t>
  </si>
  <si>
    <t>ITAPETININGA</t>
  </si>
  <si>
    <t>ITAPEVA</t>
  </si>
  <si>
    <t>ITAPEVI</t>
  </si>
  <si>
    <t>ITAPIRA</t>
  </si>
  <si>
    <t>ITAPIRAPUÃ PAULISTA</t>
  </si>
  <si>
    <t>ITÁPOLIS</t>
  </si>
  <si>
    <t>ITAPORANGA</t>
  </si>
  <si>
    <t>ITAPUÍ</t>
  </si>
  <si>
    <t>ITAPURA</t>
  </si>
  <si>
    <t>ITAQUAQUECETUBA</t>
  </si>
  <si>
    <t>ITARARÉ</t>
  </si>
  <si>
    <t>ITARIRI</t>
  </si>
  <si>
    <t>ITATIBA</t>
  </si>
  <si>
    <t>ITATINGA</t>
  </si>
  <si>
    <t>ITIRAPINA</t>
  </si>
  <si>
    <t>ITIRAPUÃ</t>
  </si>
  <si>
    <t>ITOBI</t>
  </si>
  <si>
    <t>ITU</t>
  </si>
  <si>
    <t>ITUPEVA</t>
  </si>
  <si>
    <t>ITUVERAVA</t>
  </si>
  <si>
    <t>JABORANDI</t>
  </si>
  <si>
    <t>JABOTICABAL</t>
  </si>
  <si>
    <t>JACAREÍ</t>
  </si>
  <si>
    <t>JACI</t>
  </si>
  <si>
    <t>JACUPIRANGA</t>
  </si>
  <si>
    <t>JAGUARIÚNA</t>
  </si>
  <si>
    <t>JALES</t>
  </si>
  <si>
    <t>JAMBEIRO</t>
  </si>
  <si>
    <t>JANDIRA</t>
  </si>
  <si>
    <t>JARDINÓPOLIS</t>
  </si>
  <si>
    <t>JARINU</t>
  </si>
  <si>
    <t>JAÚ</t>
  </si>
  <si>
    <t>JERIQUARA</t>
  </si>
  <si>
    <t>JOANÓPOLIS</t>
  </si>
  <si>
    <t>JOÃO RAMALHO</t>
  </si>
  <si>
    <t>JOSÉ BONIFÁCIO</t>
  </si>
  <si>
    <t>JÚLIO MESQUITA</t>
  </si>
  <si>
    <t>JUMIRIM</t>
  </si>
  <si>
    <t>JUNDIAÍ</t>
  </si>
  <si>
    <t>JUNQUEIRÓPOLIS</t>
  </si>
  <si>
    <t>JUQUIÁ</t>
  </si>
  <si>
    <t>JUQUITIBA</t>
  </si>
  <si>
    <t>LAGOINHA</t>
  </si>
  <si>
    <t>LARANJAL PAULISTA</t>
  </si>
  <si>
    <t>LAVÍNIA</t>
  </si>
  <si>
    <t>LAVRINHAS</t>
  </si>
  <si>
    <t>LEME</t>
  </si>
  <si>
    <t>LENÇÓIS PAULISTA</t>
  </si>
  <si>
    <t>LIMEIRA</t>
  </si>
  <si>
    <t>LINDÓIA</t>
  </si>
  <si>
    <t>LINS</t>
  </si>
  <si>
    <t>LORENA</t>
  </si>
  <si>
    <t>LOURDES</t>
  </si>
  <si>
    <t>LOUVEIRA</t>
  </si>
  <si>
    <t>LUCÉLIA</t>
  </si>
  <si>
    <t>LUCIANÓPOLIS</t>
  </si>
  <si>
    <t>LUÍS ANTÔNIO</t>
  </si>
  <si>
    <t>LUIZIÂNIA</t>
  </si>
  <si>
    <t>LUPÉRCIO</t>
  </si>
  <si>
    <t>LUTÉCIA</t>
  </si>
  <si>
    <t>MACATUBA</t>
  </si>
  <si>
    <t>MACAUBAL</t>
  </si>
  <si>
    <t>MACEDÔNIA</t>
  </si>
  <si>
    <t>MAGDA</t>
  </si>
  <si>
    <t>MAIRINQUE</t>
  </si>
  <si>
    <t>MAIRIPORÃ</t>
  </si>
  <si>
    <t>MANDURI</t>
  </si>
  <si>
    <t>MARABÁ PAULISTA</t>
  </si>
  <si>
    <t>MARACAÍ</t>
  </si>
  <si>
    <t>MARAPOAMA</t>
  </si>
  <si>
    <t>MARIÁPOLIS</t>
  </si>
  <si>
    <t>MARÍLIA</t>
  </si>
  <si>
    <t>MARINÓPOLIS</t>
  </si>
  <si>
    <t>MARTINÓPOLIS</t>
  </si>
  <si>
    <t>MATÃO</t>
  </si>
  <si>
    <t>MAUÁ</t>
  </si>
  <si>
    <t>MENDONÇA</t>
  </si>
  <si>
    <t>MERIDIANO</t>
  </si>
  <si>
    <t>MESÓPOLIS</t>
  </si>
  <si>
    <t>MIGUELÓPOLIS</t>
  </si>
  <si>
    <t>MINEIROS DO TIETÊ</t>
  </si>
  <si>
    <t>MIRA ESTRELA</t>
  </si>
  <si>
    <t>MIRACATU</t>
  </si>
  <si>
    <t>MIRANDÓPOLIS</t>
  </si>
  <si>
    <t>MIRANTE DO PARANAPANEMA</t>
  </si>
  <si>
    <t>MIRASSOL</t>
  </si>
  <si>
    <t>MIRASSOLÂNDIA</t>
  </si>
  <si>
    <t>MOCOCA</t>
  </si>
  <si>
    <t>MOGI DAS CRUZES</t>
  </si>
  <si>
    <t>MOGI GUAÇU</t>
  </si>
  <si>
    <t>MOGI-MIRIM</t>
  </si>
  <si>
    <t>MOMBUCA</t>
  </si>
  <si>
    <t>MONÇÕES</t>
  </si>
  <si>
    <t>MONGAGUÁ</t>
  </si>
  <si>
    <t>MONTE ALEGRE DO SUL</t>
  </si>
  <si>
    <t>MONTE ALTO</t>
  </si>
  <si>
    <t>MONTE APRAZÍVEL</t>
  </si>
  <si>
    <t>MONTE AZUL PAULISTA</t>
  </si>
  <si>
    <t>MONTE CASTELO</t>
  </si>
  <si>
    <t>MONTE MOR</t>
  </si>
  <si>
    <t>MONTEIRO LOBATO</t>
  </si>
  <si>
    <t>MORRO AGUDO</t>
  </si>
  <si>
    <t>MORUNGABA</t>
  </si>
  <si>
    <t>MOTUCA</t>
  </si>
  <si>
    <t>MURUTINGA DO SUL</t>
  </si>
  <si>
    <t>NANTES</t>
  </si>
  <si>
    <t>NARANDIBA</t>
  </si>
  <si>
    <t>NATIVIDADE DA SERRA</t>
  </si>
  <si>
    <t>NAZARÉ PAULISTA</t>
  </si>
  <si>
    <t>NEVES PAULISTA</t>
  </si>
  <si>
    <t>NHANDEARA</t>
  </si>
  <si>
    <t>NIPOÃ</t>
  </si>
  <si>
    <t>NOVA ALIANÇA</t>
  </si>
  <si>
    <t>NOVA CAMPINA</t>
  </si>
  <si>
    <t>NOVA CANAÃ PAULISTA</t>
  </si>
  <si>
    <t>NOVA CASTILHO</t>
  </si>
  <si>
    <t>NOVA EUROPA</t>
  </si>
  <si>
    <t>NOVA GRANADA</t>
  </si>
  <si>
    <t>NOVA GUATAPORANGA</t>
  </si>
  <si>
    <t>NOVA INDEPENDÊNCIA</t>
  </si>
  <si>
    <t>NOVA LUZITÂNIA</t>
  </si>
  <si>
    <t>NOVA ODESSA</t>
  </si>
  <si>
    <t>NOVAIS</t>
  </si>
  <si>
    <t>NOVO HORIZONTE</t>
  </si>
  <si>
    <t>NUPORANGA</t>
  </si>
  <si>
    <t>OCAUÇU</t>
  </si>
  <si>
    <t>ÓLEO</t>
  </si>
  <si>
    <t>OLÍMPIA</t>
  </si>
  <si>
    <t>ONDA VERDE</t>
  </si>
  <si>
    <t>ORIENTE</t>
  </si>
  <si>
    <t>ORINDIÚVA</t>
  </si>
  <si>
    <t>ORLÂNDIA</t>
  </si>
  <si>
    <t>OSASCO</t>
  </si>
  <si>
    <t>OSCAR BRESSANE</t>
  </si>
  <si>
    <t>OSVALDO CRUZ</t>
  </si>
  <si>
    <t>OURINHOS</t>
  </si>
  <si>
    <t>OURO VERDE</t>
  </si>
  <si>
    <t>OUROESTE</t>
  </si>
  <si>
    <t>PACAEMBU</t>
  </si>
  <si>
    <t>PALESTINA</t>
  </si>
  <si>
    <t>PALMARES PAULISTA</t>
  </si>
  <si>
    <t>PALMEIRA D`OESTE</t>
  </si>
  <si>
    <t>PALMITAL</t>
  </si>
  <si>
    <t>PANORAMA</t>
  </si>
  <si>
    <t>PARAGUAÇU PAULISTA</t>
  </si>
  <si>
    <t>PARAIBUNA</t>
  </si>
  <si>
    <t>PARAÍSO</t>
  </si>
  <si>
    <t>PARANAPANEMA</t>
  </si>
  <si>
    <t>PARANAPUÃ</t>
  </si>
  <si>
    <t>PARAPUÃ</t>
  </si>
  <si>
    <t>PARDINHO</t>
  </si>
  <si>
    <t>PARIQUERA-AÇU</t>
  </si>
  <si>
    <t>PARISI</t>
  </si>
  <si>
    <t>PATROCÍNIO PAULISTA</t>
  </si>
  <si>
    <t>PAULICÉIA</t>
  </si>
  <si>
    <t>PAULÍNIA</t>
  </si>
  <si>
    <t>PAULISTÂNIA</t>
  </si>
  <si>
    <t>PAULO DE FARIA</t>
  </si>
  <si>
    <t>PEDERNEIRAS</t>
  </si>
  <si>
    <t>PEDRA BELA</t>
  </si>
  <si>
    <t>PEDRANÓPOLIS</t>
  </si>
  <si>
    <t>PEDREGULHO</t>
  </si>
  <si>
    <t>PEDREIRA</t>
  </si>
  <si>
    <t>PEDRINHAS PAULISTA</t>
  </si>
  <si>
    <t>PEDRO DE TOLEDO</t>
  </si>
  <si>
    <t>PENÁPOLIS</t>
  </si>
  <si>
    <t>PEREIRA BARRETO</t>
  </si>
  <si>
    <t>PEREIRAS</t>
  </si>
  <si>
    <t>PERUÍBE</t>
  </si>
  <si>
    <t>PIACATU</t>
  </si>
  <si>
    <t>PIEDADE</t>
  </si>
  <si>
    <t>PILAR DO SUL</t>
  </si>
  <si>
    <t>PINDAMONHANGABA</t>
  </si>
  <si>
    <t>PINDORAMA</t>
  </si>
  <si>
    <t>PINHALZINHO</t>
  </si>
  <si>
    <t>PIQUEROBI</t>
  </si>
  <si>
    <t>PIQUETE</t>
  </si>
  <si>
    <t>PIRACAIA</t>
  </si>
  <si>
    <t>PIRACICABA</t>
  </si>
  <si>
    <t>PIRAJU</t>
  </si>
  <si>
    <t>PIRAJUÍ</t>
  </si>
  <si>
    <t>PIRANGI</t>
  </si>
  <si>
    <t>PIRAPORA DO BOM JESUS</t>
  </si>
  <si>
    <t>PIRAPOZINHO</t>
  </si>
  <si>
    <t>PIRASSUNUNGA</t>
  </si>
  <si>
    <t>PIRATININGA</t>
  </si>
  <si>
    <t>PITANGUEIRAS</t>
  </si>
  <si>
    <t>PLANALTO</t>
  </si>
  <si>
    <t>PLATINA</t>
  </si>
  <si>
    <t>POÁ</t>
  </si>
  <si>
    <t>POLONI</t>
  </si>
  <si>
    <t>POMPÉIA</t>
  </si>
  <si>
    <t>PONGAÍ</t>
  </si>
  <si>
    <t>PONTAL</t>
  </si>
  <si>
    <t>PONTALINDA</t>
  </si>
  <si>
    <t>PONTES GESTAL</t>
  </si>
  <si>
    <t>POPULINA</t>
  </si>
  <si>
    <t>PORANGABA</t>
  </si>
  <si>
    <t>PORTO FELIZ</t>
  </si>
  <si>
    <t>PORTO FERREIRA</t>
  </si>
  <si>
    <t>POTIM</t>
  </si>
  <si>
    <t>POTIRENDABA</t>
  </si>
  <si>
    <t>PRACINHA</t>
  </si>
  <si>
    <t>PRADÓPOLIS</t>
  </si>
  <si>
    <t>PRAIA GRANDE</t>
  </si>
  <si>
    <t>PRATÂNIA</t>
  </si>
  <si>
    <t>PRESIDENTE ALVES</t>
  </si>
  <si>
    <t>PRESIDENTE BERNARDES</t>
  </si>
  <si>
    <t>PRESIDENTE EPITÁCIO</t>
  </si>
  <si>
    <t>PRESIDENTE PRUDENTE</t>
  </si>
  <si>
    <t>PRESIDENTE VENCESLAU</t>
  </si>
  <si>
    <t>PROMISSÃO</t>
  </si>
  <si>
    <t>QUADRA</t>
  </si>
  <si>
    <t>QUATÁ</t>
  </si>
  <si>
    <t>QUEIROZ</t>
  </si>
  <si>
    <t>QUELUZ</t>
  </si>
  <si>
    <t>QUINTANA</t>
  </si>
  <si>
    <t>RAFARD</t>
  </si>
  <si>
    <t>RANCHARIA</t>
  </si>
  <si>
    <t>REDENÇÃO DA SERRA</t>
  </si>
  <si>
    <t>REGENTE FEIJÓ</t>
  </si>
  <si>
    <t>REGINÓPOLIS</t>
  </si>
  <si>
    <t>REGISTRO</t>
  </si>
  <si>
    <t>RESTINGA</t>
  </si>
  <si>
    <t>RIBEIRA</t>
  </si>
  <si>
    <t>RIBEIRÃO BONITO</t>
  </si>
  <si>
    <t>RIBEIRÃO BRANCO</t>
  </si>
  <si>
    <t>RIBEIRÃO CORRENTE</t>
  </si>
  <si>
    <t>RIBEIRÃO DO SUL</t>
  </si>
  <si>
    <t>RIBEIRÃO DOS ÍNDIOS</t>
  </si>
  <si>
    <t>RIBEIRÃO GRANDE</t>
  </si>
  <si>
    <t>RIBEIRÃO PIRES</t>
  </si>
  <si>
    <t>RIBEIRÃO PRETO</t>
  </si>
  <si>
    <t>RIFAINA</t>
  </si>
  <si>
    <t>RINCÃO</t>
  </si>
  <si>
    <t>RINÓPOLIS</t>
  </si>
  <si>
    <t>RIO CLARO</t>
  </si>
  <si>
    <t>RIO DAS PEDRAS</t>
  </si>
  <si>
    <t>RIO GRANDE DA SERRA</t>
  </si>
  <si>
    <t>RIOLÂNDIA</t>
  </si>
  <si>
    <t>RIVERSUL</t>
  </si>
  <si>
    <t>ROSANA</t>
  </si>
  <si>
    <t>ROSEIRA</t>
  </si>
  <si>
    <t>RUBIÁCEA</t>
  </si>
  <si>
    <t>RUBINÉIA</t>
  </si>
  <si>
    <t>SABINO</t>
  </si>
  <si>
    <t>SAGRES</t>
  </si>
  <si>
    <t>SALES</t>
  </si>
  <si>
    <t>SALES OLIVEIRA</t>
  </si>
  <si>
    <t>SALESÓPOLIS</t>
  </si>
  <si>
    <t>SALMOURÃO</t>
  </si>
  <si>
    <t>SALTINHO</t>
  </si>
  <si>
    <t>SALTO</t>
  </si>
  <si>
    <t>SALTO DE PIRAPORA</t>
  </si>
  <si>
    <t>SALTO GRANDE</t>
  </si>
  <si>
    <t>SANDOVALINA</t>
  </si>
  <si>
    <t>SANTA ADÉLIA</t>
  </si>
  <si>
    <t>SANTA ALBERTINA</t>
  </si>
  <si>
    <t>SANTA BÁRBARA D´OESTE</t>
  </si>
  <si>
    <t>SANTA BRANCA</t>
  </si>
  <si>
    <t>SANTA CLARA D`OESTE</t>
  </si>
  <si>
    <t>SANTA CRUZ DA CONCEIÇÃO</t>
  </si>
  <si>
    <t>SANTA CRUZ DA ESPERANÇA</t>
  </si>
  <si>
    <t>SANTA CRUZ DAS PALMEIRAS</t>
  </si>
  <si>
    <t>SANTA CRUZ DO RIO PARDO</t>
  </si>
  <si>
    <t>SANTA ERNESTINA</t>
  </si>
  <si>
    <t>SANTA FÉ DO SUL</t>
  </si>
  <si>
    <t>SANTA GERTRUDES</t>
  </si>
  <si>
    <t>SANTA ISABEL</t>
  </si>
  <si>
    <t>SANTA LÚCIA</t>
  </si>
  <si>
    <t>SANTA MARIA DA SERRA</t>
  </si>
  <si>
    <t>SANTA MERCEDES</t>
  </si>
  <si>
    <t>SANTA RITA D´OESTE</t>
  </si>
  <si>
    <t>SANTA RITA DO PASSA QUATRO</t>
  </si>
  <si>
    <t>SANTA ROSA DE VITERBO</t>
  </si>
  <si>
    <t>SANTA SALETE</t>
  </si>
  <si>
    <t>SANTANA DA PONTE PENSA</t>
  </si>
  <si>
    <t>SANTANA DE PARNAÍBA</t>
  </si>
  <si>
    <t>SANTO ANASTÁCIO</t>
  </si>
  <si>
    <t>SANTO ANDRÉ</t>
  </si>
  <si>
    <t>SANTO ANTÔNIO DA ALEGRIA</t>
  </si>
  <si>
    <t>SANTO ANTÔNIO DE POSSE</t>
  </si>
  <si>
    <t>SANTO ANTÔNIO DO ARACANGUÁ</t>
  </si>
  <si>
    <t>SANTO ANTÔNIO DO JARDIM</t>
  </si>
  <si>
    <t>SANTO ANTÔNIO DO PINHAL</t>
  </si>
  <si>
    <t>SANTO EXPEDITO</t>
  </si>
  <si>
    <t>SANTÓPOLIS DO AGUAPEÍ</t>
  </si>
  <si>
    <t>SANTOS</t>
  </si>
  <si>
    <t>SÃO BENTO DO SAPUCAÍ</t>
  </si>
  <si>
    <t>SÃO BERNARDO DO CAMPO</t>
  </si>
  <si>
    <t>SÃO CAETANO DO SUL</t>
  </si>
  <si>
    <t>SÃO CARLOS</t>
  </si>
  <si>
    <t>SÃO FRANCISCO</t>
  </si>
  <si>
    <t>SÃO JOÃO DA BOA VISTA</t>
  </si>
  <si>
    <t>SÃO JOÃO DAS DUAS PONTES</t>
  </si>
  <si>
    <t>SÃO JOÃO DE IRACEMA</t>
  </si>
  <si>
    <t>SÃO JOÃO DO PAU D´ALHO</t>
  </si>
  <si>
    <t>SÃO JOAQUIM DA BARRA</t>
  </si>
  <si>
    <t>SÃO JOSÉ DA BELA VISTA</t>
  </si>
  <si>
    <t>SÃO JOSÉ DO BARREIRO</t>
  </si>
  <si>
    <t>SÃO JOSÉ DO RIO PARDO</t>
  </si>
  <si>
    <t>SÃO JOSÉ DO RIO PRETO</t>
  </si>
  <si>
    <t>SÃO JOSÉ DOS CAMPOS</t>
  </si>
  <si>
    <t>SÃO LOURENÇO DA SERRA</t>
  </si>
  <si>
    <t>SÃO LUÍS DO PARAITINGA</t>
  </si>
  <si>
    <t>SÃO MANUEL</t>
  </si>
  <si>
    <t>SÃO MIGUEL ARCANJO</t>
  </si>
  <si>
    <t>SÃO PEDRO</t>
  </si>
  <si>
    <t>SÃO PEDRO DO TURVO</t>
  </si>
  <si>
    <t>SÃO ROQUE</t>
  </si>
  <si>
    <t>SÃO SEBASTIÃO</t>
  </si>
  <si>
    <t>SÃO SEBASTIÃO DA GRAMA</t>
  </si>
  <si>
    <t>SÃO SIMÃO</t>
  </si>
  <si>
    <t>SÃO VICENTE</t>
  </si>
  <si>
    <t>SARAPUÍ</t>
  </si>
  <si>
    <t>SARUTAIÁ</t>
  </si>
  <si>
    <t>SEBASTIANÓPOLIS DO SUL</t>
  </si>
  <si>
    <t>SERRA AZUL</t>
  </si>
  <si>
    <t>SERRA NEGRA</t>
  </si>
  <si>
    <t>SERRANA</t>
  </si>
  <si>
    <t>SERTÃOZINHO</t>
  </si>
  <si>
    <t>SETE BARRAS</t>
  </si>
  <si>
    <t>SEVERÍNIA</t>
  </si>
  <si>
    <t>SILVEIRAS</t>
  </si>
  <si>
    <t>SOCORRO</t>
  </si>
  <si>
    <t>SOROCABA</t>
  </si>
  <si>
    <t>SUD MENNUCCI</t>
  </si>
  <si>
    <t>SUMARÉ</t>
  </si>
  <si>
    <t>SUZANÁPOLIS</t>
  </si>
  <si>
    <t>SUZANO</t>
  </si>
  <si>
    <t>TABAPUÃ</t>
  </si>
  <si>
    <t>TABATINGA</t>
  </si>
  <si>
    <t>TABOÃO DA SERRA</t>
  </si>
  <si>
    <t>TACIBA</t>
  </si>
  <si>
    <t>TAGUAÍ</t>
  </si>
  <si>
    <t>TAIAÇU</t>
  </si>
  <si>
    <t>TAIÚVA</t>
  </si>
  <si>
    <t>TAMBAÚ</t>
  </si>
  <si>
    <t>TANABI</t>
  </si>
  <si>
    <t>TAPIRAÍ</t>
  </si>
  <si>
    <t>TAPIRATIBA</t>
  </si>
  <si>
    <t>TAQUARAL</t>
  </si>
  <si>
    <t>TAQUARITINGA</t>
  </si>
  <si>
    <t>TAQUARITUBA</t>
  </si>
  <si>
    <t>TAQUARIVAÍ</t>
  </si>
  <si>
    <t>TARABAI</t>
  </si>
  <si>
    <t>TARUMÃ</t>
  </si>
  <si>
    <t>TATUÍ</t>
  </si>
  <si>
    <t>TAUBATÉ</t>
  </si>
  <si>
    <t>TEJUPÁ</t>
  </si>
  <si>
    <t>TEODORO SAMPAIO</t>
  </si>
  <si>
    <t>TERRA ROXA</t>
  </si>
  <si>
    <t>TIETÊ</t>
  </si>
  <si>
    <t>TIMBURI</t>
  </si>
  <si>
    <t>TORRE DE PEDRA</t>
  </si>
  <si>
    <t>TORRINHA</t>
  </si>
  <si>
    <t>TRABIJU</t>
  </si>
  <si>
    <t>TREMEMBÉ</t>
  </si>
  <si>
    <t>TRÊS FRONTEIRAS</t>
  </si>
  <si>
    <t>TUIUTI</t>
  </si>
  <si>
    <t>TUPÃ</t>
  </si>
  <si>
    <t>TUPI PAULISTA</t>
  </si>
  <si>
    <t>TURIÚBA</t>
  </si>
  <si>
    <t>TURMALINA</t>
  </si>
  <si>
    <t>UBARANA</t>
  </si>
  <si>
    <t>UBATUBA</t>
  </si>
  <si>
    <t>UBIRAJARA</t>
  </si>
  <si>
    <t>UCHOA</t>
  </si>
  <si>
    <t>UNIÃO PAULISTA</t>
  </si>
  <si>
    <t>URÂNIA</t>
  </si>
  <si>
    <t>URU</t>
  </si>
  <si>
    <t>URUPÊS</t>
  </si>
  <si>
    <t>VALENTIM GENTIL</t>
  </si>
  <si>
    <t>VALINHOS</t>
  </si>
  <si>
    <t>VALPARAÍSO</t>
  </si>
  <si>
    <t>VARGEM</t>
  </si>
  <si>
    <t>VARGEM GRANDE DO SUL</t>
  </si>
  <si>
    <t>VARGEM GRANDE PAULISTA</t>
  </si>
  <si>
    <t>VÁRZEA PAULISTA</t>
  </si>
  <si>
    <t>VERA CRUZ</t>
  </si>
  <si>
    <t>VINHEDO</t>
  </si>
  <si>
    <t>VIRADOURO</t>
  </si>
  <si>
    <t>VISTA ALEGRE DO ALTO</t>
  </si>
  <si>
    <t>VITÓRIA BRASIL</t>
  </si>
  <si>
    <t>VOTORANTIM</t>
  </si>
  <si>
    <t>VOTUPORANGA</t>
  </si>
  <si>
    <t>ZACARIAS</t>
  </si>
  <si>
    <t>Municípios</t>
  </si>
  <si>
    <t>ID</t>
  </si>
  <si>
    <t>Informação 1</t>
  </si>
  <si>
    <t>Informação 2</t>
  </si>
  <si>
    <t>Informação 3</t>
  </si>
  <si>
    <t>Informação 4</t>
  </si>
  <si>
    <t>Informação 5</t>
  </si>
  <si>
    <t>Informação 6</t>
  </si>
  <si>
    <t>Informação 7</t>
  </si>
  <si>
    <t>Informação 8</t>
  </si>
  <si>
    <t>Informação 9</t>
  </si>
  <si>
    <t>Informação 10</t>
  </si>
  <si>
    <t>Rua Tomé de Souza   nº438  </t>
  </si>
  <si>
    <t xml:space="preserve">Bairro: Centro </t>
  </si>
  <si>
    <t xml:space="preserve">Cidade: DRACENA </t>
  </si>
  <si>
    <t>CEP: 17900000</t>
  </si>
  <si>
    <t>Fone: 18 - 38223166</t>
  </si>
  <si>
    <t>Fax: 18 - 38223166</t>
  </si>
  <si>
    <t>E-mail: dracena@cetesbnet.sp.gov.br</t>
  </si>
  <si>
    <t>Av. Mário Andreazza   nº  </t>
  </si>
  <si>
    <t xml:space="preserve">Bairro: Jd. São Marcos </t>
  </si>
  <si>
    <t xml:space="preserve">Cidade: SÃO JOSÉ DO RIO PRETO </t>
  </si>
  <si>
    <t>CEP: 15081490</t>
  </si>
  <si>
    <t>Fone: 17 - 32184300</t>
  </si>
  <si>
    <t>Fax: 17 - 32184300</t>
  </si>
  <si>
    <t>Rua Hugo Pancieira   nº400  </t>
  </si>
  <si>
    <t xml:space="preserve">Bairro: Pedregulhal </t>
  </si>
  <si>
    <t xml:space="preserve">Cidade: MOGI GUAÇU </t>
  </si>
  <si>
    <t>CEP: 13845190</t>
  </si>
  <si>
    <t>Fone: 19 - 38180396</t>
  </si>
  <si>
    <t>Fax: 19 - 38180396</t>
  </si>
  <si>
    <t>E-mail: mogiguacu@cetesbnet.sp.gov.br</t>
  </si>
  <si>
    <t>Rua Marechal Deodoro   nº345  </t>
  </si>
  <si>
    <t xml:space="preserve">Cidade: SÃO JOÃO DA BOA VISTA </t>
  </si>
  <si>
    <t>CEP: 13870223</t>
  </si>
  <si>
    <t>Fone: 19 - 36331510</t>
  </si>
  <si>
    <t>Fax: 19 - 36331510</t>
  </si>
  <si>
    <t>Av Governador Mário Covas   nº525  </t>
  </si>
  <si>
    <t xml:space="preserve">Bairro: Vila Industrial </t>
  </si>
  <si>
    <t xml:space="preserve">Cidade: AVARÉ </t>
  </si>
  <si>
    <t>CEP: 18705851</t>
  </si>
  <si>
    <t>Fone: 14 - 37324900</t>
  </si>
  <si>
    <t>Fax:  - </t>
  </si>
  <si>
    <t>E-mail: avare@cetesbnet.sp.gov.br</t>
  </si>
  <si>
    <t>Rua do Rosário   nº566  </t>
  </si>
  <si>
    <t xml:space="preserve">Cidade: PIRACICABA </t>
  </si>
  <si>
    <t>CEP: 13400183</t>
  </si>
  <si>
    <t>Fone: 19 - 34026863</t>
  </si>
  <si>
    <t>Fax: 19 - 34026863</t>
  </si>
  <si>
    <t>E-mail: piracicaba@cetesbnet.sp.gov.br</t>
  </si>
  <si>
    <t>Av. Rodrigues Alves - Quadra 38   nº138  </t>
  </si>
  <si>
    <t xml:space="preserve">Bairro: V. Coralina </t>
  </si>
  <si>
    <t xml:space="preserve">Cidade: BAURU </t>
  </si>
  <si>
    <t>CEP: 17030000</t>
  </si>
  <si>
    <t>Fone: 14 - 32032058</t>
  </si>
  <si>
    <t>Fax: 14 - 32032344</t>
  </si>
  <si>
    <t>E-mail: bauru@cetesbnet.sp.gov.br</t>
  </si>
  <si>
    <t>Rua General Carneiro   nº196  </t>
  </si>
  <si>
    <t xml:space="preserve">Cidade: ITAPETININGA </t>
  </si>
  <si>
    <t>CEP: 18200024</t>
  </si>
  <si>
    <t>Fone: 15 - 32722888</t>
  </si>
  <si>
    <t>Fax: 15 - 32722891</t>
  </si>
  <si>
    <t>E-mail: itapetininga@cetesbnet.sp.gov.br</t>
  </si>
  <si>
    <t>Rua João Gonçalves Foz   nº1738  </t>
  </si>
  <si>
    <t xml:space="preserve">Bairro: Jardim das Rosas </t>
  </si>
  <si>
    <t xml:space="preserve">Cidade: PRESIDENTE PRUDENTE </t>
  </si>
  <si>
    <t>CEP: 19060050</t>
  </si>
  <si>
    <t>Fone: 18 - 32235001</t>
  </si>
  <si>
    <t>E-mail: prudente@cetesbnet.sp.gov.br</t>
  </si>
  <si>
    <t>Rua Bolívia   nº2255  </t>
  </si>
  <si>
    <t xml:space="preserve">Bairro: América </t>
  </si>
  <si>
    <t xml:space="preserve">Cidade: BARRETOS </t>
  </si>
  <si>
    <t>CEP: 14783197</t>
  </si>
  <si>
    <t>Fone: 17 - 33222655</t>
  </si>
  <si>
    <t>Fax: 17 - 33222952</t>
  </si>
  <si>
    <t>E-mail: barretos@cetesbnet.sp.gov.br</t>
  </si>
  <si>
    <t>Av. Presidente Kennedy   nº1760  </t>
  </si>
  <si>
    <t xml:space="preserve">Bairro: Ribeirânia </t>
  </si>
  <si>
    <t xml:space="preserve">Cidade: RIBEIRÃO PRETO </t>
  </si>
  <si>
    <t>CEP: 14096350</t>
  </si>
  <si>
    <t>Fone: 16 - 36174700</t>
  </si>
  <si>
    <t>Fax: 16 - 36174207</t>
  </si>
  <si>
    <t>E-mail: ribeirao@cetesbnet.sp.gov.br</t>
  </si>
  <si>
    <t>Rua Ten. Alcides Teodoro dos Santos   nº260  </t>
  </si>
  <si>
    <t xml:space="preserve">Bairro: Aviação </t>
  </si>
  <si>
    <t xml:space="preserve">Cidade: ARAÇATUBA </t>
  </si>
  <si>
    <t>CEP: 16055557</t>
  </si>
  <si>
    <t>Fone: 18 - 36088053</t>
  </si>
  <si>
    <t>Fax: 18 - 36087197</t>
  </si>
  <si>
    <t>Rua Santa Rita   nº1165  </t>
  </si>
  <si>
    <t xml:space="preserve">Cidade: ITU </t>
  </si>
  <si>
    <t>CEP: 13300065</t>
  </si>
  <si>
    <t>Fone: 11 - 40133419</t>
  </si>
  <si>
    <t>Fax: 11 - 40133419</t>
  </si>
  <si>
    <t>E-mail: itu@cetesbnet.sp.gov.br</t>
  </si>
  <si>
    <t>Av. Deputado Aureo Ferreira   nº1724  </t>
  </si>
  <si>
    <t xml:space="preserve">Bairro: Vila Paes </t>
  </si>
  <si>
    <t xml:space="preserve">Cidade: VOTUPORANGA </t>
  </si>
  <si>
    <t>CEP: 15500112</t>
  </si>
  <si>
    <t>Fone: 17 - 34214004</t>
  </si>
  <si>
    <t>Fax: 17 - 34214004</t>
  </si>
  <si>
    <t>E-mail: votuporanga@cetesbnet.sp.gov.br</t>
  </si>
  <si>
    <t>Rua Santa Helena   nº436  </t>
  </si>
  <si>
    <t xml:space="preserve">Bairro: Jd. Alvorada </t>
  </si>
  <si>
    <t xml:space="preserve">Cidade: MARÍLIA </t>
  </si>
  <si>
    <t>CEP: 17513322</t>
  </si>
  <si>
    <t>Fone: 14 - 34224666</t>
  </si>
  <si>
    <t>Fax: 14 - 34224666</t>
  </si>
  <si>
    <t>E-mail: marilia@cetesbnet.sp.gov.br</t>
  </si>
  <si>
    <t>Rua Florindo Cibin   nº435  </t>
  </si>
  <si>
    <t xml:space="preserve">Bairro: V. Medon </t>
  </si>
  <si>
    <t xml:space="preserve">Cidade: AMERICANA </t>
  </si>
  <si>
    <t>CEP: 13465230</t>
  </si>
  <si>
    <t>Fone: 19 - 34611550</t>
  </si>
  <si>
    <t>Fax: 19 - 34611550</t>
  </si>
  <si>
    <t>E-mail: americana@cetesbnet.sp.gov.br</t>
  </si>
  <si>
    <t>Av. Castro Alves   nº1271  </t>
  </si>
  <si>
    <t xml:space="preserve">Bairro: Carmo </t>
  </si>
  <si>
    <t xml:space="preserve">Cidade: ARARAQUARA </t>
  </si>
  <si>
    <t>CEP: 14800140</t>
  </si>
  <si>
    <t>Fone: 16 - 33322211</t>
  </si>
  <si>
    <t>Fax: 16 - 33322211</t>
  </si>
  <si>
    <t>E-mail: araraquara@cetesbnet.sp.gov.br</t>
  </si>
  <si>
    <t>Rua Angelo Varandas   nº550  </t>
  </si>
  <si>
    <t xml:space="preserve">Bairro: Jd. Santa Terezinha </t>
  </si>
  <si>
    <t xml:space="preserve">Cidade: PAULÍNIA </t>
  </si>
  <si>
    <t>CEP: 13140802</t>
  </si>
  <si>
    <t>Fone: 19 - 38440466</t>
  </si>
  <si>
    <t>Fax: 19 - 38440466</t>
  </si>
  <si>
    <t>E-mail: paulinia@cetesbnet.sp.gov.br</t>
  </si>
  <si>
    <t>Rua João Morato da Conceição   nº525  </t>
  </si>
  <si>
    <t xml:space="preserve">Bairro: Vila Maria </t>
  </si>
  <si>
    <t xml:space="preserve">Cidade: BOTUCATU </t>
  </si>
  <si>
    <t>CEP: 18611358</t>
  </si>
  <si>
    <t>Fone: 14 - 38821134</t>
  </si>
  <si>
    <t>Fax: 14 - 38821134</t>
  </si>
  <si>
    <t>E-mail: botucatu@cetesbnet.sp.gov.br</t>
  </si>
  <si>
    <t>Av. Itambé   nº38  </t>
  </si>
  <si>
    <t xml:space="preserve">Bairro: Sta. Luzia </t>
  </si>
  <si>
    <t xml:space="preserve">Cidade: TAUBATÉ </t>
  </si>
  <si>
    <t>CEP: 12091200</t>
  </si>
  <si>
    <t>Fone: 12 - 36348222</t>
  </si>
  <si>
    <t>Fax: 12 - 36348234</t>
  </si>
  <si>
    <t>E-mail: taubate@cetesbnet.sp.gov.br</t>
  </si>
  <si>
    <t>Rua Nova Iorque   nº1016  </t>
  </si>
  <si>
    <t xml:space="preserve">Bairro: Jardim Monte Rrey </t>
  </si>
  <si>
    <t xml:space="preserve">Cidade: JALES </t>
  </si>
  <si>
    <t>CEP: 15703326</t>
  </si>
  <si>
    <t>Fone: 17 - 36211042</t>
  </si>
  <si>
    <t>Fax: 17 - 36211042</t>
  </si>
  <si>
    <t>E-mail: jales@cetesbnet.sp.gov.br</t>
  </si>
  <si>
    <t>Rua Denise   nº131  </t>
  </si>
  <si>
    <t xml:space="preserve">Bairro: Terras de Imbirucu </t>
  </si>
  <si>
    <t xml:space="preserve">Cidade: CAPÃO BONITO </t>
  </si>
  <si>
    <t>CEP: 18304700</t>
  </si>
  <si>
    <t>Fone: 15 - 35423885</t>
  </si>
  <si>
    <t>Fax: 15 - 35423885</t>
  </si>
  <si>
    <t>E-mail: capaobonito@cetesbnet.sp.gov.br</t>
  </si>
  <si>
    <t>Av. Américo de Carvalho   nº820  </t>
  </si>
  <si>
    <t xml:space="preserve">Bairro: Jd. Europa </t>
  </si>
  <si>
    <t xml:space="preserve">Cidade: SOROCABA </t>
  </si>
  <si>
    <t>CEP: 18045000</t>
  </si>
  <si>
    <t>Fone: 15 - 32222065</t>
  </si>
  <si>
    <t>Fax: 15 - 32222065</t>
  </si>
  <si>
    <t>E-mail: sorocaba@cetesbnet.sp.gov.br</t>
  </si>
  <si>
    <t>Av. Dr. Flávio Rocha   nº4551  </t>
  </si>
  <si>
    <t xml:space="preserve">Bairro: Pq. dos Pinhais </t>
  </si>
  <si>
    <t xml:space="preserve">Cidade: FRANCA </t>
  </si>
  <si>
    <t>CEP: 14405600</t>
  </si>
  <si>
    <t>Fone: 16 - 37245922</t>
  </si>
  <si>
    <t>Fax: 16 - 37245922</t>
  </si>
  <si>
    <t>E-mail: franca@cetesbnet.sp.gov.br</t>
  </si>
  <si>
    <t>Av. Vitório Bortolan   nº1450  </t>
  </si>
  <si>
    <t xml:space="preserve">Bairro: Pq. Abílio Pedro </t>
  </si>
  <si>
    <t xml:space="preserve">Cidade: LIMEIRA </t>
  </si>
  <si>
    <t>CEP: 13483132</t>
  </si>
  <si>
    <t>Fone: 19 - 34516203</t>
  </si>
  <si>
    <t>Fax: 19 - 34516203</t>
  </si>
  <si>
    <t>E-mail: limeira@cetesbnet.sp.gov.br</t>
  </si>
  <si>
    <t>Avenida Emílio Ribas    nº1120  </t>
  </si>
  <si>
    <t xml:space="preserve">Bairro: Gopouva </t>
  </si>
  <si>
    <t xml:space="preserve">Cidade: GUARULHOS </t>
  </si>
  <si>
    <t>CEP: 7020010</t>
  </si>
  <si>
    <t>Fone: 11 - 22290031</t>
  </si>
  <si>
    <t>Fax: 11 - 22290031</t>
  </si>
  <si>
    <t>E-mail: guarulhos@cetesbnet.sp.gov.br</t>
  </si>
  <si>
    <t>Via Chico Mendes   nº75  </t>
  </si>
  <si>
    <t xml:space="preserve">Bairro: Quinta dos Flamboyants </t>
  </si>
  <si>
    <t xml:space="preserve">Cidade: ASSIS </t>
  </si>
  <si>
    <t>CEP: 19810005</t>
  </si>
  <si>
    <t>Fone: 18 - 33244177</t>
  </si>
  <si>
    <t>Fax: 18 - 33244177</t>
  </si>
  <si>
    <t>E-mail: assis@cetesbnet.sp.gov.br</t>
  </si>
  <si>
    <t>Av. Nove de Julho   nº266  </t>
  </si>
  <si>
    <t xml:space="preserve">Cidade: ATIBAIA </t>
  </si>
  <si>
    <t>CEP: 12940580</t>
  </si>
  <si>
    <t>Fone: 11 - 44110662</t>
  </si>
  <si>
    <t>Fax: 11 - 44110662</t>
  </si>
  <si>
    <t>E-mail: atibaia@cetesbnet.sp.gov.br</t>
  </si>
  <si>
    <t>Rua São Bento   nº249  </t>
  </si>
  <si>
    <t xml:space="preserve">Bairro: Jd. São Nicolau </t>
  </si>
  <si>
    <t xml:space="preserve">Cidade: REGISTRO </t>
  </si>
  <si>
    <t>CEP: 11900000</t>
  </si>
  <si>
    <t>Fone: 13 - 38223855</t>
  </si>
  <si>
    <t>Fax: 13 - 38224437</t>
  </si>
  <si>
    <t>E-mail: registro@cetesbnet.sp.gov.br</t>
  </si>
  <si>
    <t>Av. Angelo Morello   nº60  </t>
  </si>
  <si>
    <t xml:space="preserve">Bairro: Jardim Santa Rosa </t>
  </si>
  <si>
    <t xml:space="preserve">Cidade: JABOTICABAL </t>
  </si>
  <si>
    <t>CEP: 14875290</t>
  </si>
  <si>
    <t>Fone: 16 - 32039400</t>
  </si>
  <si>
    <t>Fax: 16 - 32039400</t>
  </si>
  <si>
    <t>E-mail: jaboticabal@cetesbnet.sp.gov.br</t>
  </si>
  <si>
    <t>Rua Anete Queiroz Lacerda   nº80  </t>
  </si>
  <si>
    <t xml:space="preserve">Bairro: Butantã </t>
  </si>
  <si>
    <t xml:space="preserve">Cidade: SÃO PAULO </t>
  </si>
  <si>
    <t>CEP: 5591080</t>
  </si>
  <si>
    <t>Fone: 11 - 37219600</t>
  </si>
  <si>
    <t>Fax: 11 - 37219600</t>
  </si>
  <si>
    <t>E-mail: osasco@cetesbnet.sp.gov.br</t>
  </si>
  <si>
    <t>Rua Salgado Filho   nº353  </t>
  </si>
  <si>
    <t xml:space="preserve">Bairro: Jd. Costa e Silva </t>
  </si>
  <si>
    <t xml:space="preserve">Cidade: CUBATÃO </t>
  </si>
  <si>
    <t>CEP: 11500270</t>
  </si>
  <si>
    <t>Fone: 13 - 33616663</t>
  </si>
  <si>
    <t>Fax: 13 - 33616743</t>
  </si>
  <si>
    <t>E-mail: cubatao@cetesbnet.sp.gov.br</t>
  </si>
  <si>
    <t>Av João XXIII   nº165  </t>
  </si>
  <si>
    <t xml:space="preserve">Bairro: Socorro </t>
  </si>
  <si>
    <t xml:space="preserve">Cidade: MOGI DAS CRUZES </t>
  </si>
  <si>
    <t>CEP: 8830000</t>
  </si>
  <si>
    <t>Fone: 11 - 47257490</t>
  </si>
  <si>
    <t>E-mail: mogi@cetesbnet.sp.gov.br</t>
  </si>
  <si>
    <t>Avenida das Azaléias   nº700  </t>
  </si>
  <si>
    <t xml:space="preserve">Bairro: Cidade Jardim </t>
  </si>
  <si>
    <t xml:space="preserve">Cidade: SÃO CARLOS </t>
  </si>
  <si>
    <t>CEP: 13566500</t>
  </si>
  <si>
    <t>Fone: 16 - 33612004</t>
  </si>
  <si>
    <t>Fax: 16 - 33612004</t>
  </si>
  <si>
    <t>E-mail: saocarlos@cetesbnet.sp.gov.br</t>
  </si>
  <si>
    <t>Rua João Ferrara   nº555  </t>
  </si>
  <si>
    <t xml:space="preserve">Bairro: Jd. Pitangueiras II </t>
  </si>
  <si>
    <t xml:space="preserve">Cidade: JUNDIAÍ </t>
  </si>
  <si>
    <t>CEP: 13206714</t>
  </si>
  <si>
    <t>Fone: 11 - 48171898</t>
  </si>
  <si>
    <t>Fax: 11 - 45873597</t>
  </si>
  <si>
    <t>E-mail: jundiai@cetesbnet.sp.gov.br</t>
  </si>
  <si>
    <t>Av. Olivo Gomes   nº100  </t>
  </si>
  <si>
    <t xml:space="preserve">Bairro: Pq. da Cidade/Santana </t>
  </si>
  <si>
    <t xml:space="preserve">Cidade: SÃO JOSÉ DOS CAMPOS </t>
  </si>
  <si>
    <t>CEP: 12211115</t>
  </si>
  <si>
    <t>Fone: 12 - 39119536</t>
  </si>
  <si>
    <t>Fax: 12 - 39119536</t>
  </si>
  <si>
    <t>E-mail: sjcampos@cetesbnet.sp.gov.br</t>
  </si>
  <si>
    <t>Rua São Carlos   nº277  </t>
  </si>
  <si>
    <t xml:space="preserve">Bairro: V. Industrial </t>
  </si>
  <si>
    <t xml:space="preserve">Cidade: CAMPINAS </t>
  </si>
  <si>
    <t>CEP: 13035420</t>
  </si>
  <si>
    <t>Fone: 19 - 37726600</t>
  </si>
  <si>
    <t>Fax: 19 - 37726624</t>
  </si>
  <si>
    <t>E-mail: campinasI@cetesbnet.sp.gov.br</t>
  </si>
  <si>
    <t>Rua Francisco da Cruz Maldonado   nº132  </t>
  </si>
  <si>
    <t xml:space="preserve">Bairro: Portal da Olaria </t>
  </si>
  <si>
    <t xml:space="preserve">Cidade: SÃO SEBASTIÃO </t>
  </si>
  <si>
    <t>CEP: 11600000</t>
  </si>
  <si>
    <t>Fone: 12 - 38622300</t>
  </si>
  <si>
    <t>Fax: 12 - 38622300</t>
  </si>
  <si>
    <t>E-mail: ssebastiao@cetesbnet.sp.gov.br</t>
  </si>
  <si>
    <t>Rua João Paulo I   nº495  </t>
  </si>
  <si>
    <t xml:space="preserve">Bairro: Jd. São Luiz </t>
  </si>
  <si>
    <t xml:space="preserve">Cidade: EMBU DAS ARTES </t>
  </si>
  <si>
    <t>CEP: 6816550</t>
  </si>
  <si>
    <t>Fone: 11 - 47048835</t>
  </si>
  <si>
    <t>Fax: 11 - 47048835</t>
  </si>
  <si>
    <t>E-mail: embu@cetesbnet.sp.gov.br</t>
  </si>
  <si>
    <t>Rua dos Vianas   nº625  </t>
  </si>
  <si>
    <t xml:space="preserve">Bairro: Baeta Neves </t>
  </si>
  <si>
    <t xml:space="preserve">Cidade: SÃO BERNARDO DO CAMPO </t>
  </si>
  <si>
    <t>CEP: 9760040</t>
  </si>
  <si>
    <t>Fone: 11 - 41234555</t>
  </si>
  <si>
    <t>Fax: 11 - 41234555</t>
  </si>
  <si>
    <t>E-mail: abc2@cetesbnet.sp.gov.br</t>
  </si>
  <si>
    <t>Rua Delfim Moreira   nº56  </t>
  </si>
  <si>
    <t xml:space="preserve">Bairro: Embaré </t>
  </si>
  <si>
    <t xml:space="preserve">Cidade: SANTOS </t>
  </si>
  <si>
    <t>CEP: 11040100</t>
  </si>
  <si>
    <t>Fone: 13 - 32277767</t>
  </si>
  <si>
    <t>Fax: 13 - 32277767</t>
  </si>
  <si>
    <t>E-mail: santos@cetesbnet.sp.gov.br</t>
  </si>
  <si>
    <t>E-mail: abc1@cetesbnet.sp.gov.br</t>
  </si>
  <si>
    <t>Hifen</t>
  </si>
  <si>
    <t>Registrado</t>
  </si>
  <si>
    <t>E-mail: aracatuba@cetesbnet.sp.gov.br</t>
  </si>
  <si>
    <t>E-mail: sjboavista@cetesbnet.sp.gov.br</t>
  </si>
  <si>
    <t>E-mail: riopreto@cetesbnet.sp.gov.br</t>
  </si>
  <si>
    <t>GeoCodigo</t>
  </si>
  <si>
    <t>Adamantina</t>
  </si>
  <si>
    <t>Adolfo</t>
  </si>
  <si>
    <t>Aguaí</t>
  </si>
  <si>
    <t>Águas da Prata</t>
  </si>
  <si>
    <t>Águas de Lindóia</t>
  </si>
  <si>
    <t>Águas de Santa Bárbara</t>
  </si>
  <si>
    <t>Águas de São Pedro</t>
  </si>
  <si>
    <t>Agudos</t>
  </si>
  <si>
    <t>Alambari</t>
  </si>
  <si>
    <t>Alfredo Marcondes</t>
  </si>
  <si>
    <t>Altair</t>
  </si>
  <si>
    <t>Altinópolis</t>
  </si>
  <si>
    <t>Alto Alegre</t>
  </si>
  <si>
    <t>Alumínio</t>
  </si>
  <si>
    <t>Álvares Florence</t>
  </si>
  <si>
    <t>Álvares Machado</t>
  </si>
  <si>
    <t>Álvaro de Carvalho</t>
  </si>
  <si>
    <t>Alvinlândia</t>
  </si>
  <si>
    <t>Americana</t>
  </si>
  <si>
    <t>Américo Brasiliense</t>
  </si>
  <si>
    <t>Américo de Campos</t>
  </si>
  <si>
    <t>Amparo</t>
  </si>
  <si>
    <t>Analândia</t>
  </si>
  <si>
    <t>Andradina</t>
  </si>
  <si>
    <t>Angatuba</t>
  </si>
  <si>
    <t>Anhembi</t>
  </si>
  <si>
    <t>Anhumas</t>
  </si>
  <si>
    <t>Aparecida</t>
  </si>
  <si>
    <t>Aparecida d'Oeste</t>
  </si>
  <si>
    <t>Apiaí</t>
  </si>
  <si>
    <t>Araçariguama</t>
  </si>
  <si>
    <t>Araçatuba</t>
  </si>
  <si>
    <t>Araçoiaba da Serra</t>
  </si>
  <si>
    <t>Aramina</t>
  </si>
  <si>
    <t>Arandu</t>
  </si>
  <si>
    <t>Arapeí</t>
  </si>
  <si>
    <t>Araraquara</t>
  </si>
  <si>
    <t>Araras</t>
  </si>
  <si>
    <t>Arco-Íris</t>
  </si>
  <si>
    <t>Arealva</t>
  </si>
  <si>
    <t>Areias</t>
  </si>
  <si>
    <t>Areiópolis</t>
  </si>
  <si>
    <t>Ariranha</t>
  </si>
  <si>
    <t>Artur Nogueira</t>
  </si>
  <si>
    <t>Arujá</t>
  </si>
  <si>
    <t>Aspásia</t>
  </si>
  <si>
    <t>Assis</t>
  </si>
  <si>
    <t>Atibaia</t>
  </si>
  <si>
    <t>Auriflama</t>
  </si>
  <si>
    <t>Avaí</t>
  </si>
  <si>
    <t>Avanhandava</t>
  </si>
  <si>
    <t>Avaré</t>
  </si>
  <si>
    <t>Bady Bassitt</t>
  </si>
  <si>
    <t>Balbinos</t>
  </si>
  <si>
    <t>Bálsamo</t>
  </si>
  <si>
    <t>Bananal</t>
  </si>
  <si>
    <t>Barão de Antonina</t>
  </si>
  <si>
    <t>Barbosa</t>
  </si>
  <si>
    <t>Bariri</t>
  </si>
  <si>
    <t>Barra Bonita</t>
  </si>
  <si>
    <t>Barra do Chapéu</t>
  </si>
  <si>
    <t>Barra do Turvo</t>
  </si>
  <si>
    <t>Barretos</t>
  </si>
  <si>
    <t>Barrinha</t>
  </si>
  <si>
    <t>Barueri</t>
  </si>
  <si>
    <t>Bastos</t>
  </si>
  <si>
    <t>Batatais</t>
  </si>
  <si>
    <t>Bauru</t>
  </si>
  <si>
    <t>Bebedouro</t>
  </si>
  <si>
    <t>Bento de Abreu</t>
  </si>
  <si>
    <t>Bernardino de Campos</t>
  </si>
  <si>
    <t>Bertioga</t>
  </si>
  <si>
    <t>Bilac</t>
  </si>
  <si>
    <t>Birigui</t>
  </si>
  <si>
    <t>Biritiba-Mirim</t>
  </si>
  <si>
    <t>Boa Esperança do Sul</t>
  </si>
  <si>
    <t>Bocaina</t>
  </si>
  <si>
    <t>Bofete</t>
  </si>
  <si>
    <t>Boituva</t>
  </si>
  <si>
    <t>Bom Jesus dos Perdões</t>
  </si>
  <si>
    <t>Bom Sucesso de Itararé</t>
  </si>
  <si>
    <t>Borá</t>
  </si>
  <si>
    <t>Boracéia</t>
  </si>
  <si>
    <t>Borborema</t>
  </si>
  <si>
    <t>Borebi</t>
  </si>
  <si>
    <t>Botucatu</t>
  </si>
  <si>
    <t>Bragança Paulista</t>
  </si>
  <si>
    <t>Braúna</t>
  </si>
  <si>
    <t>Brejo Alegre</t>
  </si>
  <si>
    <t>Brodowski</t>
  </si>
  <si>
    <t>Brotas</t>
  </si>
  <si>
    <t>Buri</t>
  </si>
  <si>
    <t>Buritama</t>
  </si>
  <si>
    <t>Buritizal</t>
  </si>
  <si>
    <t>Cabrália Paulista</t>
  </si>
  <si>
    <t>Cabreúva</t>
  </si>
  <si>
    <t>Caçapava</t>
  </si>
  <si>
    <t>Cachoeira Paulista</t>
  </si>
  <si>
    <t>Caconde</t>
  </si>
  <si>
    <t>Cafelândia</t>
  </si>
  <si>
    <t>Caiabu</t>
  </si>
  <si>
    <t>Caieiras</t>
  </si>
  <si>
    <t>Caiuá</t>
  </si>
  <si>
    <t>Cajamar</t>
  </si>
  <si>
    <t>Cajati</t>
  </si>
  <si>
    <t>Cajobi</t>
  </si>
  <si>
    <t>Cajuru</t>
  </si>
  <si>
    <t>Campina do Monte Alegre</t>
  </si>
  <si>
    <t>Campinas</t>
  </si>
  <si>
    <t>Campo Limpo Paulista</t>
  </si>
  <si>
    <t>Campos do Jordão</t>
  </si>
  <si>
    <t>Campos Novos Paulista</t>
  </si>
  <si>
    <t>Cananéia</t>
  </si>
  <si>
    <t>Canas</t>
  </si>
  <si>
    <t>Cândido Mota</t>
  </si>
  <si>
    <t>Cândido Rodrigues</t>
  </si>
  <si>
    <t>Canitar</t>
  </si>
  <si>
    <t>Capão Bonito</t>
  </si>
  <si>
    <t>Capela do Alto</t>
  </si>
  <si>
    <t>Capivari</t>
  </si>
  <si>
    <t>Caraguatatuba</t>
  </si>
  <si>
    <t>Carapicuíba</t>
  </si>
  <si>
    <t>Cardoso</t>
  </si>
  <si>
    <t>Casa Branca</t>
  </si>
  <si>
    <t>Cássia dos Coqueiros</t>
  </si>
  <si>
    <t>Castilho</t>
  </si>
  <si>
    <t>Catanduva</t>
  </si>
  <si>
    <t>Catiguá</t>
  </si>
  <si>
    <t>Cedral</t>
  </si>
  <si>
    <t>Cerqueira César</t>
  </si>
  <si>
    <t>Cerquilho</t>
  </si>
  <si>
    <t>Cesário Lange</t>
  </si>
  <si>
    <t>Charqueada</t>
  </si>
  <si>
    <t>Chavantes</t>
  </si>
  <si>
    <t>Clementina</t>
  </si>
  <si>
    <t>Colina</t>
  </si>
  <si>
    <t>Colômbia</t>
  </si>
  <si>
    <t>Conchal</t>
  </si>
  <si>
    <t>Conchas</t>
  </si>
  <si>
    <t>Cordeirópolis</t>
  </si>
  <si>
    <t>Coroados</t>
  </si>
  <si>
    <t>Coronel Macedo</t>
  </si>
  <si>
    <t>Corumbataí</t>
  </si>
  <si>
    <t>Cosmópolis</t>
  </si>
  <si>
    <t>Cosmorama</t>
  </si>
  <si>
    <t>Cotia</t>
  </si>
  <si>
    <t>Cravinhos</t>
  </si>
  <si>
    <t>Cristais Paulista</t>
  </si>
  <si>
    <t>Cruzália</t>
  </si>
  <si>
    <t>Cruzeiro</t>
  </si>
  <si>
    <t>Cubatão</t>
  </si>
  <si>
    <t>Cunha</t>
  </si>
  <si>
    <t>Descalvado</t>
  </si>
  <si>
    <t>Diadema</t>
  </si>
  <si>
    <t>Dirce Reis</t>
  </si>
  <si>
    <t>Divinolândia</t>
  </si>
  <si>
    <t>Dobrada</t>
  </si>
  <si>
    <t>Dois Córregos</t>
  </si>
  <si>
    <t>Dolcinópolis</t>
  </si>
  <si>
    <t>Dourado</t>
  </si>
  <si>
    <t>Dracena</t>
  </si>
  <si>
    <t>Duartina</t>
  </si>
  <si>
    <t>Dumont</t>
  </si>
  <si>
    <t>Echaporã</t>
  </si>
  <si>
    <t>Eldorado</t>
  </si>
  <si>
    <t>Elias Fausto</t>
  </si>
  <si>
    <t>Elisiário</t>
  </si>
  <si>
    <t>Embaúba</t>
  </si>
  <si>
    <t>Embu</t>
  </si>
  <si>
    <t>Embu-Guaçu</t>
  </si>
  <si>
    <t>Emilianópolis</t>
  </si>
  <si>
    <t>Engenheiro Coelho</t>
  </si>
  <si>
    <t>Espírito Santo do Pinhal</t>
  </si>
  <si>
    <t>Espírito Santo do Turvo</t>
  </si>
  <si>
    <t>Estiva Gerbi</t>
  </si>
  <si>
    <t>Estrela do Norte</t>
  </si>
  <si>
    <t>Estrela d'Oeste</t>
  </si>
  <si>
    <t>Euclides da Cunha Paulista</t>
  </si>
  <si>
    <t>Fartura</t>
  </si>
  <si>
    <t>Fernando Prestes</t>
  </si>
  <si>
    <t>Fernandópolis</t>
  </si>
  <si>
    <t>Fernão</t>
  </si>
  <si>
    <t>Ferraz de Vasconcelos</t>
  </si>
  <si>
    <t>Flora Rica</t>
  </si>
  <si>
    <t>Floreal</t>
  </si>
  <si>
    <t>Flórida Paulista</t>
  </si>
  <si>
    <t>Florínia</t>
  </si>
  <si>
    <t>Franca</t>
  </si>
  <si>
    <t>Francisco Morato</t>
  </si>
  <si>
    <t>Franco da Rocha</t>
  </si>
  <si>
    <t>Gabriel Monteiro</t>
  </si>
  <si>
    <t>Gália</t>
  </si>
  <si>
    <t>Garça</t>
  </si>
  <si>
    <t>Gastão Vidigal</t>
  </si>
  <si>
    <t>Gavião Peixoto</t>
  </si>
  <si>
    <t>General Salgado</t>
  </si>
  <si>
    <t>Getulina</t>
  </si>
  <si>
    <t>Glicério</t>
  </si>
  <si>
    <t>Guaiçara</t>
  </si>
  <si>
    <t>Guaimbê</t>
  </si>
  <si>
    <t>Guaíra</t>
  </si>
  <si>
    <t>Guapiaçu</t>
  </si>
  <si>
    <t>Guapiara</t>
  </si>
  <si>
    <t>Guará</t>
  </si>
  <si>
    <t>Guaraçaí</t>
  </si>
  <si>
    <t>Guaraci</t>
  </si>
  <si>
    <t>Guarani d'Oeste</t>
  </si>
  <si>
    <t>Guarantã</t>
  </si>
  <si>
    <t>Guararapes</t>
  </si>
  <si>
    <t>Guararema</t>
  </si>
  <si>
    <t>Guaratinguetá</t>
  </si>
  <si>
    <t>Guareí</t>
  </si>
  <si>
    <t>Guariba</t>
  </si>
  <si>
    <t>Guarujá</t>
  </si>
  <si>
    <t>Guarulhos</t>
  </si>
  <si>
    <t>Guatapará</t>
  </si>
  <si>
    <t>Guzolândia</t>
  </si>
  <si>
    <t>Herculândia</t>
  </si>
  <si>
    <t>Holambra</t>
  </si>
  <si>
    <t>Hortolândia</t>
  </si>
  <si>
    <t>Iacanga</t>
  </si>
  <si>
    <t>Iacri</t>
  </si>
  <si>
    <t>Iaras</t>
  </si>
  <si>
    <t>Ibaté</t>
  </si>
  <si>
    <t>Ibirá</t>
  </si>
  <si>
    <t>Ibirarema</t>
  </si>
  <si>
    <t>Ibitinga</t>
  </si>
  <si>
    <t>Ibiúna</t>
  </si>
  <si>
    <t>Icém</t>
  </si>
  <si>
    <t>Iepê</t>
  </si>
  <si>
    <t>Igaraçu do Tietê</t>
  </si>
  <si>
    <t>Igarapava</t>
  </si>
  <si>
    <t>Igaratá</t>
  </si>
  <si>
    <t>Iguape</t>
  </si>
  <si>
    <t>Ilha Comprida</t>
  </si>
  <si>
    <t>Ilha Solteira</t>
  </si>
  <si>
    <t>Ilhabela</t>
  </si>
  <si>
    <t>Indaiatuba</t>
  </si>
  <si>
    <t>Indiana</t>
  </si>
  <si>
    <t>Indiaporã</t>
  </si>
  <si>
    <t>Inúbia Paulista</t>
  </si>
  <si>
    <t>Ipaussu</t>
  </si>
  <si>
    <t>Iperó</t>
  </si>
  <si>
    <t>Ipeúna</t>
  </si>
  <si>
    <t>Ipiguá</t>
  </si>
  <si>
    <t>Iporanga</t>
  </si>
  <si>
    <t>Ipuã</t>
  </si>
  <si>
    <t>Iracemápolis</t>
  </si>
  <si>
    <t>Irapuã</t>
  </si>
  <si>
    <t>Irapuru</t>
  </si>
  <si>
    <t>Itaberá</t>
  </si>
  <si>
    <t>Itaí</t>
  </si>
  <si>
    <t>Itajobi</t>
  </si>
  <si>
    <t>Itaju</t>
  </si>
  <si>
    <t>Itanhaém</t>
  </si>
  <si>
    <t>Itaóca</t>
  </si>
  <si>
    <t>Itapecerica da Serra</t>
  </si>
  <si>
    <t>Itapetininga</t>
  </si>
  <si>
    <t>Itapeva</t>
  </si>
  <si>
    <t>Itapevi</t>
  </si>
  <si>
    <t>Itapira</t>
  </si>
  <si>
    <t>Itapirapuã Paulista</t>
  </si>
  <si>
    <t>Itápolis</t>
  </si>
  <si>
    <t>Itaporanga</t>
  </si>
  <si>
    <t>Itapuí</t>
  </si>
  <si>
    <t>Itapura</t>
  </si>
  <si>
    <t>Itaquaquecetuba</t>
  </si>
  <si>
    <t>Itararé</t>
  </si>
  <si>
    <t>Itariri</t>
  </si>
  <si>
    <t>Itatiba</t>
  </si>
  <si>
    <t>Itatinga</t>
  </si>
  <si>
    <t>Itirapina</t>
  </si>
  <si>
    <t>Itirapuã</t>
  </si>
  <si>
    <t>Itobi</t>
  </si>
  <si>
    <t>Itu</t>
  </si>
  <si>
    <t>Itupeva</t>
  </si>
  <si>
    <t>Ituverava</t>
  </si>
  <si>
    <t>Jaborandi</t>
  </si>
  <si>
    <t>Jaboticabal</t>
  </si>
  <si>
    <t>Jacareí</t>
  </si>
  <si>
    <t>Jaci</t>
  </si>
  <si>
    <t>Jacupiranga</t>
  </si>
  <si>
    <t>Jaguariúna</t>
  </si>
  <si>
    <t>Jales</t>
  </si>
  <si>
    <t>Jambeiro</t>
  </si>
  <si>
    <t>Jandira</t>
  </si>
  <si>
    <t>Jardinópolis</t>
  </si>
  <si>
    <t>Jarinu</t>
  </si>
  <si>
    <t>Jaú</t>
  </si>
  <si>
    <t>Jeriquara</t>
  </si>
  <si>
    <t>Joanópolis</t>
  </si>
  <si>
    <t>João Ramalho</t>
  </si>
  <si>
    <t>José Bonifácio</t>
  </si>
  <si>
    <t>Júlio Mesquita</t>
  </si>
  <si>
    <t>Jumirim</t>
  </si>
  <si>
    <t>Jundiaí</t>
  </si>
  <si>
    <t>Junqueirópolis</t>
  </si>
  <si>
    <t>Juquiá</t>
  </si>
  <si>
    <t>Juquitiba</t>
  </si>
  <si>
    <t>Lagoinha</t>
  </si>
  <si>
    <t>Laranjal Paulista</t>
  </si>
  <si>
    <t>Lavínia</t>
  </si>
  <si>
    <t>Lavrinhas</t>
  </si>
  <si>
    <t>Leme</t>
  </si>
  <si>
    <t>Lençóis Paulista</t>
  </si>
  <si>
    <t>Limeira</t>
  </si>
  <si>
    <t>Lindóia</t>
  </si>
  <si>
    <t>Lins</t>
  </si>
  <si>
    <t>Lorena</t>
  </si>
  <si>
    <t>Lourdes</t>
  </si>
  <si>
    <t>Louveira</t>
  </si>
  <si>
    <t>Lucélia</t>
  </si>
  <si>
    <t>Lucianópolis</t>
  </si>
  <si>
    <t>Luís Antônio</t>
  </si>
  <si>
    <t>Luiziânia</t>
  </si>
  <si>
    <t>Lupércio</t>
  </si>
  <si>
    <t>Lutécia</t>
  </si>
  <si>
    <t>Macatuba</t>
  </si>
  <si>
    <t>Macaubal</t>
  </si>
  <si>
    <t>Macedônia</t>
  </si>
  <si>
    <t>Magda</t>
  </si>
  <si>
    <t>Mairinque</t>
  </si>
  <si>
    <t>Mairiporã</t>
  </si>
  <si>
    <t>Manduri</t>
  </si>
  <si>
    <t>Marabá Paulista</t>
  </si>
  <si>
    <t>Maracaí</t>
  </si>
  <si>
    <t>Marapoama</t>
  </si>
  <si>
    <t>Mariápolis</t>
  </si>
  <si>
    <t>Marília</t>
  </si>
  <si>
    <t>Marinópolis</t>
  </si>
  <si>
    <t>Martinópolis</t>
  </si>
  <si>
    <t>Matão</t>
  </si>
  <si>
    <t>Mauá</t>
  </si>
  <si>
    <t>Mendonça</t>
  </si>
  <si>
    <t>Meridiano</t>
  </si>
  <si>
    <t>Mesópolis</t>
  </si>
  <si>
    <t>Miguelópolis</t>
  </si>
  <si>
    <t>Mineiros do Tietê</t>
  </si>
  <si>
    <t>Mira Estrela</t>
  </si>
  <si>
    <t>Miracatu</t>
  </si>
  <si>
    <t>Mirandópolis</t>
  </si>
  <si>
    <t>Mirante do Paranapanema</t>
  </si>
  <si>
    <t>Mirassol</t>
  </si>
  <si>
    <t>Mirassolândia</t>
  </si>
  <si>
    <t>Mococa</t>
  </si>
  <si>
    <t>Mogi Guaçu</t>
  </si>
  <si>
    <t>Moji das Cruzes</t>
  </si>
  <si>
    <t>Moji-Mirim</t>
  </si>
  <si>
    <t>Mombuca</t>
  </si>
  <si>
    <t>Monções</t>
  </si>
  <si>
    <t>Mongaguá</t>
  </si>
  <si>
    <t>Monte Alegre do Sul</t>
  </si>
  <si>
    <t>Monte Alto</t>
  </si>
  <si>
    <t>Monte Aprazível</t>
  </si>
  <si>
    <t>Monte Azul Paulista</t>
  </si>
  <si>
    <t>Monte Castelo</t>
  </si>
  <si>
    <t>Monte Mor</t>
  </si>
  <si>
    <t>Monteiro Lobato</t>
  </si>
  <si>
    <t>Morro Agudo</t>
  </si>
  <si>
    <t>Morungaba</t>
  </si>
  <si>
    <t>Motuca</t>
  </si>
  <si>
    <t>Murutinga do Sul</t>
  </si>
  <si>
    <t>Nantes</t>
  </si>
  <si>
    <t>Narandiba</t>
  </si>
  <si>
    <t>Natividade da Serra</t>
  </si>
  <si>
    <t>Nazaré Paulista</t>
  </si>
  <si>
    <t>Neves Paulista</t>
  </si>
  <si>
    <t>Nhandeara</t>
  </si>
  <si>
    <t>Nipoã</t>
  </si>
  <si>
    <t>Nova Aliança</t>
  </si>
  <si>
    <t>Nova Campina</t>
  </si>
  <si>
    <t>Nova Canaã Paulista</t>
  </si>
  <si>
    <t>Nova Castilho</t>
  </si>
  <si>
    <t>Nova Europa</t>
  </si>
  <si>
    <t>Nova Granada</t>
  </si>
  <si>
    <t>Nova Guataporanga</t>
  </si>
  <si>
    <t>Nova Independência</t>
  </si>
  <si>
    <t>Nova Luzitânia</t>
  </si>
  <si>
    <t>Nova Odessa</t>
  </si>
  <si>
    <t>Novais</t>
  </si>
  <si>
    <t>Novo Horizonte</t>
  </si>
  <si>
    <t>Nuporanga</t>
  </si>
  <si>
    <t>Ocauçu</t>
  </si>
  <si>
    <t>Óleo</t>
  </si>
  <si>
    <t>Olímpia</t>
  </si>
  <si>
    <t>Onda Verde</t>
  </si>
  <si>
    <t>Oriente</t>
  </si>
  <si>
    <t>Orindiúva</t>
  </si>
  <si>
    <t>Orlândia</t>
  </si>
  <si>
    <t>Osasco</t>
  </si>
  <si>
    <t>Oscar Bressane</t>
  </si>
  <si>
    <t>Osvaldo Cruz</t>
  </si>
  <si>
    <t>Ourinhos</t>
  </si>
  <si>
    <t>Ouro Verde</t>
  </si>
  <si>
    <t>Ouroeste</t>
  </si>
  <si>
    <t>Pacaembu</t>
  </si>
  <si>
    <t>Palestina</t>
  </si>
  <si>
    <t>Palmares Paulista</t>
  </si>
  <si>
    <t>Palmeira d'Oeste</t>
  </si>
  <si>
    <t>Palmital</t>
  </si>
  <si>
    <t>Panorama</t>
  </si>
  <si>
    <t>Paraguaçu Paulista</t>
  </si>
  <si>
    <t>Paraibuna</t>
  </si>
  <si>
    <t>Paraíso</t>
  </si>
  <si>
    <t>Paranapanema</t>
  </si>
  <si>
    <t>Paranapuã</t>
  </si>
  <si>
    <t>Parapuã</t>
  </si>
  <si>
    <t>Pardinho</t>
  </si>
  <si>
    <t>Pariquera-Açu</t>
  </si>
  <si>
    <t>Parisi</t>
  </si>
  <si>
    <t>Patrocínio Paulista</t>
  </si>
  <si>
    <t>Paulicéia</t>
  </si>
  <si>
    <t>Paulínia</t>
  </si>
  <si>
    <t>Paulistânia</t>
  </si>
  <si>
    <t>Paulo de Faria</t>
  </si>
  <si>
    <t>Pederneiras</t>
  </si>
  <si>
    <t>Pedra Bela</t>
  </si>
  <si>
    <t>Pedranópolis</t>
  </si>
  <si>
    <t>Pedregulho</t>
  </si>
  <si>
    <t>Pedreira</t>
  </si>
  <si>
    <t>Pedrinhas Paulista</t>
  </si>
  <si>
    <t>Pedro de Toledo</t>
  </si>
  <si>
    <t>Penápolis</t>
  </si>
  <si>
    <t>Pereira Barreto</t>
  </si>
  <si>
    <t>Pereiras</t>
  </si>
  <si>
    <t>Peruíbe</t>
  </si>
  <si>
    <t>Piacatu</t>
  </si>
  <si>
    <t>Piedade</t>
  </si>
  <si>
    <t>Pilar do Sul</t>
  </si>
  <si>
    <t>Pindamonhangaba</t>
  </si>
  <si>
    <t>Pindorama</t>
  </si>
  <si>
    <t>Pinhalzinho</t>
  </si>
  <si>
    <t>Piquerobi</t>
  </si>
  <si>
    <t>Piquete</t>
  </si>
  <si>
    <t>Piracaia</t>
  </si>
  <si>
    <t>Piracicaba</t>
  </si>
  <si>
    <t>Piraju</t>
  </si>
  <si>
    <t>Pirajuí</t>
  </si>
  <si>
    <t>Pirangi</t>
  </si>
  <si>
    <t>Pirapora do Bom Jesus</t>
  </si>
  <si>
    <t>Pirapozinho</t>
  </si>
  <si>
    <t>Pirassununga</t>
  </si>
  <si>
    <t>Piratininga</t>
  </si>
  <si>
    <t>Pitangueiras</t>
  </si>
  <si>
    <t>Planalto</t>
  </si>
  <si>
    <t>Platina</t>
  </si>
  <si>
    <t>Poá</t>
  </si>
  <si>
    <t>Poloni</t>
  </si>
  <si>
    <t>Pompéia</t>
  </si>
  <si>
    <t>Pongaí</t>
  </si>
  <si>
    <t>Pontal</t>
  </si>
  <si>
    <t>Pontalinda</t>
  </si>
  <si>
    <t>Pontes Gestal</t>
  </si>
  <si>
    <t>Populina</t>
  </si>
  <si>
    <t>Porangaba</t>
  </si>
  <si>
    <t>Porto Feliz</t>
  </si>
  <si>
    <t>Porto Ferreira</t>
  </si>
  <si>
    <t>Potim</t>
  </si>
  <si>
    <t>Potirendaba</t>
  </si>
  <si>
    <t>Pracinha</t>
  </si>
  <si>
    <t>Pradópolis</t>
  </si>
  <si>
    <t>Praia Grande</t>
  </si>
  <si>
    <t>Pratânia</t>
  </si>
  <si>
    <t>Presidente Alves</t>
  </si>
  <si>
    <t>Presidente Bernardes</t>
  </si>
  <si>
    <t>Presidente Epitácio</t>
  </si>
  <si>
    <t>Presidente Prudente</t>
  </si>
  <si>
    <t>Presidente Venceslau</t>
  </si>
  <si>
    <t>Promissão</t>
  </si>
  <si>
    <t>Quadra</t>
  </si>
  <si>
    <t>Quatá</t>
  </si>
  <si>
    <t>Queiroz</t>
  </si>
  <si>
    <t>Queluz</t>
  </si>
  <si>
    <t>Quintana</t>
  </si>
  <si>
    <t>Rafard</t>
  </si>
  <si>
    <t>Rancharia</t>
  </si>
  <si>
    <t>Redenção da Serra</t>
  </si>
  <si>
    <t>Regente Feijó</t>
  </si>
  <si>
    <t>Reginópolis</t>
  </si>
  <si>
    <t>Registro</t>
  </si>
  <si>
    <t>Restinga</t>
  </si>
  <si>
    <t>Ribeira</t>
  </si>
  <si>
    <t>Ribeirão Bonito</t>
  </si>
  <si>
    <t>Ribeirão Branco</t>
  </si>
  <si>
    <t>Ribeirão Corrente</t>
  </si>
  <si>
    <t>Ribeirão do Sul</t>
  </si>
  <si>
    <t>Ribeirão dos Índios</t>
  </si>
  <si>
    <t>Ribeirão Grande</t>
  </si>
  <si>
    <t>Ribeirão Pires</t>
  </si>
  <si>
    <t>Ribeirão Preto</t>
  </si>
  <si>
    <t>Rifaina</t>
  </si>
  <si>
    <t>Rincão</t>
  </si>
  <si>
    <t>Rinópolis</t>
  </si>
  <si>
    <t>Rio Claro</t>
  </si>
  <si>
    <t>Rio das Pedras</t>
  </si>
  <si>
    <t>Rio Grande da Serra</t>
  </si>
  <si>
    <t>Riolândia</t>
  </si>
  <si>
    <t>Riversul</t>
  </si>
  <si>
    <t>Rosana</t>
  </si>
  <si>
    <t>Roseira</t>
  </si>
  <si>
    <t>Rubiácea</t>
  </si>
  <si>
    <t>Rubinéia</t>
  </si>
  <si>
    <t>Sabino</t>
  </si>
  <si>
    <t>Sagres</t>
  </si>
  <si>
    <t>Sales</t>
  </si>
  <si>
    <t>Sales Oliveira</t>
  </si>
  <si>
    <t>Salesópolis</t>
  </si>
  <si>
    <t>Salmourão</t>
  </si>
  <si>
    <t>Saltinho</t>
  </si>
  <si>
    <t>Salto</t>
  </si>
  <si>
    <t>Salto de Pirapora</t>
  </si>
  <si>
    <t>Salto Grande</t>
  </si>
  <si>
    <t>Sandovalina</t>
  </si>
  <si>
    <t>Santa Adélia</t>
  </si>
  <si>
    <t>Santa Albertina</t>
  </si>
  <si>
    <t>Santa Bárbara D'Oeste</t>
  </si>
  <si>
    <t>Santa Branca</t>
  </si>
  <si>
    <t>Santa Clara d'Oeste</t>
  </si>
  <si>
    <t>Santa Cruz da Conceição</t>
  </si>
  <si>
    <t>Santa Cruz da Esperança</t>
  </si>
  <si>
    <t>Santa Cruz das Palmeiras</t>
  </si>
  <si>
    <t>Santa Cruz do Rio Pardo</t>
  </si>
  <si>
    <t>Santa Ernestina</t>
  </si>
  <si>
    <t>Santa Fé do Sul</t>
  </si>
  <si>
    <t>Santa Gertrudes</t>
  </si>
  <si>
    <t>Santa Isabel</t>
  </si>
  <si>
    <t>Santa Lúcia</t>
  </si>
  <si>
    <t>Santa Maria da Serra</t>
  </si>
  <si>
    <t>Santa Mercedes</t>
  </si>
  <si>
    <t>Santa Rita do Passa Quatro</t>
  </si>
  <si>
    <t>Santa Rita d'Oeste</t>
  </si>
  <si>
    <t>Santa Rosa de Viterbo</t>
  </si>
  <si>
    <t>Santa Salete</t>
  </si>
  <si>
    <t>Santana da Ponte Pensa</t>
  </si>
  <si>
    <t>Santana de Parnaíba</t>
  </si>
  <si>
    <t>Santo Anastácio</t>
  </si>
  <si>
    <t>Santo André</t>
  </si>
  <si>
    <t>Santo Antônio da Alegria</t>
  </si>
  <si>
    <t>Santo Antônio de Posse</t>
  </si>
  <si>
    <t>Santo Antônio do Aracanguá</t>
  </si>
  <si>
    <t>Santo Antônio do Jardim</t>
  </si>
  <si>
    <t>Santo Antônio do Pinhal</t>
  </si>
  <si>
    <t>Santo Expedito</t>
  </si>
  <si>
    <t>Santópolis do Aguapeí</t>
  </si>
  <si>
    <t>Santos</t>
  </si>
  <si>
    <t>São Bento do Sapucaí</t>
  </si>
  <si>
    <t>São Bernardo do Campo</t>
  </si>
  <si>
    <t>São Caetano do Sul</t>
  </si>
  <si>
    <t>São Carlos</t>
  </si>
  <si>
    <t>São Francisco</t>
  </si>
  <si>
    <t>São João da Boa Vista</t>
  </si>
  <si>
    <t>São João das Duas Pontes</t>
  </si>
  <si>
    <t>São João de Iracema</t>
  </si>
  <si>
    <t>São João do Pau d'Alho</t>
  </si>
  <si>
    <t>São Joaquim da Barra</t>
  </si>
  <si>
    <t>São José da Bela Vista</t>
  </si>
  <si>
    <t>São José do Barreiro</t>
  </si>
  <si>
    <t>São José do Rio Pardo</t>
  </si>
  <si>
    <t>São José do Rio Preto</t>
  </si>
  <si>
    <t>São José dos Campos</t>
  </si>
  <si>
    <t>São Lourenço da Serra</t>
  </si>
  <si>
    <t>São Luís do Paraitinga</t>
  </si>
  <si>
    <t>São Manuel</t>
  </si>
  <si>
    <t>São Miguel Arcanjo</t>
  </si>
  <si>
    <t>São Paulo</t>
  </si>
  <si>
    <t>São Pedro</t>
  </si>
  <si>
    <t>São Pedro do Turvo</t>
  </si>
  <si>
    <t>São Roque</t>
  </si>
  <si>
    <t>São Sebastião</t>
  </si>
  <si>
    <t>São Sebastião da Grama</t>
  </si>
  <si>
    <t>São Simão</t>
  </si>
  <si>
    <t>São Vicente</t>
  </si>
  <si>
    <t>Sarapuí</t>
  </si>
  <si>
    <t>Sarutaiá</t>
  </si>
  <si>
    <t>Sebastianópolis do Sul</t>
  </si>
  <si>
    <t>Serra Azul</t>
  </si>
  <si>
    <t>Serra Negra</t>
  </si>
  <si>
    <t>Serrana</t>
  </si>
  <si>
    <t>Sertãozinho</t>
  </si>
  <si>
    <t>Sete Barras</t>
  </si>
  <si>
    <t>Severínia</t>
  </si>
  <si>
    <t>Silveiras</t>
  </si>
  <si>
    <t>Socorro</t>
  </si>
  <si>
    <t>Sorocaba</t>
  </si>
  <si>
    <t>Sud Mennucci</t>
  </si>
  <si>
    <t>Sumaré</t>
  </si>
  <si>
    <t>Suzanápolis</t>
  </si>
  <si>
    <t>Suzano</t>
  </si>
  <si>
    <t>Tabapuã</t>
  </si>
  <si>
    <t>Tabatinga</t>
  </si>
  <si>
    <t>Taboão da Serra</t>
  </si>
  <si>
    <t>Taciba</t>
  </si>
  <si>
    <t>Taguaí</t>
  </si>
  <si>
    <t>Taiaçu</t>
  </si>
  <si>
    <t>Taiúva</t>
  </si>
  <si>
    <t>Tambaú</t>
  </si>
  <si>
    <t>Tanabi</t>
  </si>
  <si>
    <t>Tapiraí</t>
  </si>
  <si>
    <t>Tapiratiba</t>
  </si>
  <si>
    <t>Taquaral</t>
  </si>
  <si>
    <t>Taquaritinga</t>
  </si>
  <si>
    <t>Taquarituba</t>
  </si>
  <si>
    <t>Taquarivaí</t>
  </si>
  <si>
    <t>Tarabai</t>
  </si>
  <si>
    <t>Tarumã</t>
  </si>
  <si>
    <t>Tatuí</t>
  </si>
  <si>
    <t>Taubaté</t>
  </si>
  <si>
    <t>Tejupá</t>
  </si>
  <si>
    <t>Teodoro Sampaio</t>
  </si>
  <si>
    <t>Terra Roxa</t>
  </si>
  <si>
    <t>Tietê</t>
  </si>
  <si>
    <t>Timburi</t>
  </si>
  <si>
    <t>Torre de Pedra</t>
  </si>
  <si>
    <t>Torrinha</t>
  </si>
  <si>
    <t>Trabiju</t>
  </si>
  <si>
    <t>Tremembé</t>
  </si>
  <si>
    <t>Três Fronteiras</t>
  </si>
  <si>
    <t>Tuiuti</t>
  </si>
  <si>
    <t>Tupã</t>
  </si>
  <si>
    <t>Tupi Paulista</t>
  </si>
  <si>
    <t>Turiúba</t>
  </si>
  <si>
    <t>Turmalina</t>
  </si>
  <si>
    <t>Ubarana</t>
  </si>
  <si>
    <t>Ubatuba</t>
  </si>
  <si>
    <t>Ubirajara</t>
  </si>
  <si>
    <t>Uchoa</t>
  </si>
  <si>
    <t>União Paulista</t>
  </si>
  <si>
    <t>Urânia</t>
  </si>
  <si>
    <t>Uru</t>
  </si>
  <si>
    <t>Urupês</t>
  </si>
  <si>
    <t>Valentim Gentil</t>
  </si>
  <si>
    <t>Valinhos</t>
  </si>
  <si>
    <t>Valparaíso</t>
  </si>
  <si>
    <t>Vargem</t>
  </si>
  <si>
    <t>Vargem Grande do Sul</t>
  </si>
  <si>
    <t>Vargem Grande Paulista</t>
  </si>
  <si>
    <t>Várzea Paulista</t>
  </si>
  <si>
    <t>Vera Cruz</t>
  </si>
  <si>
    <t>Vinhedo</t>
  </si>
  <si>
    <t>Viradouro</t>
  </si>
  <si>
    <t>Vista Alegre do Alto</t>
  </si>
  <si>
    <t>Vitória Brasil</t>
  </si>
  <si>
    <t>Votorantim</t>
  </si>
  <si>
    <t>Votuporanga</t>
  </si>
  <si>
    <t>Zacarias</t>
  </si>
  <si>
    <t>AgênciaAmbiental</t>
  </si>
  <si>
    <t>Endereço</t>
  </si>
  <si>
    <t>Bairro</t>
  </si>
  <si>
    <t>CEP</t>
  </si>
  <si>
    <t>MunSede</t>
  </si>
  <si>
    <t>Telefone</t>
  </si>
  <si>
    <t>Fax</t>
  </si>
  <si>
    <t>Email</t>
  </si>
  <si>
    <t>americana@cetesbnet.sp.gov.br</t>
  </si>
  <si>
    <t>aracatuba@cetesbnet.sp.gov.br</t>
  </si>
  <si>
    <t>araraquara@cetesbnet.sp.gov.br</t>
  </si>
  <si>
    <t>assis@cetesbnet.sp.gov.br</t>
  </si>
  <si>
    <t>atibaia@cetesbnet.sp.gov.br</t>
  </si>
  <si>
    <t>avare@cetesbnet.sp.gov.br</t>
  </si>
  <si>
    <t>barretos@cetesbnet.sp.gov.br</t>
  </si>
  <si>
    <t>bauru@cetesbnet.sp.gov.br</t>
  </si>
  <si>
    <t>botucatu@cetesbnet.sp.gov.br</t>
  </si>
  <si>
    <t>campinasI@cetesbnet.sp.gov.br</t>
  </si>
  <si>
    <t>capaobonito@cetesbnet.sp.gov.br</t>
  </si>
  <si>
    <t>cubatao@cetesbnet.sp.gov.br</t>
  </si>
  <si>
    <t>dracena@cetesbnet.sp.gov.br</t>
  </si>
  <si>
    <t>embu@cetesbnet.sp.gov.br</t>
  </si>
  <si>
    <t>franca@cetesbnet.sp.gov.br</t>
  </si>
  <si>
    <t>guarulhos@cetesbnet.sp.gov.br</t>
  </si>
  <si>
    <t>itapetininga@cetesbnet.sp.gov.br</t>
  </si>
  <si>
    <t>itu@cetesbnet.sp.gov.br</t>
  </si>
  <si>
    <t>jaboticabal@cetesbnet.sp.gov.br</t>
  </si>
  <si>
    <t>jales@cetesbnet.sp.gov.br</t>
  </si>
  <si>
    <t>jundiai@cetesbnet.sp.gov.br</t>
  </si>
  <si>
    <t>limeira@cetesbnet.sp.gov.br</t>
  </si>
  <si>
    <t>marilia@cetesbnet.sp.gov.br</t>
  </si>
  <si>
    <t>mogi@cetesbnet.sp.gov.br</t>
  </si>
  <si>
    <t>mogiguacu@cetesbnet.sp.gov.br</t>
  </si>
  <si>
    <t>osasco@cetesbnet.sp.gov.br</t>
  </si>
  <si>
    <t>paulinia@cetesbnet.sp.gov.br</t>
  </si>
  <si>
    <t>piracicaba@cetesbnet.sp.gov.br</t>
  </si>
  <si>
    <t>prudente@cetesbnet.sp.gov.br</t>
  </si>
  <si>
    <t>registro@cetesbnet.sp.gov.br</t>
  </si>
  <si>
    <t>ribeirao@cetesbnet.sp.gov.br</t>
  </si>
  <si>
    <t>santos@cetesbnet.sp.gov.br</t>
  </si>
  <si>
    <t>saocarlos@cetesbnet.sp.gov.br</t>
  </si>
  <si>
    <t>sjboavista@cetesbnet.sp.gov.br</t>
  </si>
  <si>
    <t>riopreto@cetesbnet.sp.gov.br</t>
  </si>
  <si>
    <t>sjcampos@cetesbnet.sp.gov.br</t>
  </si>
  <si>
    <t>ssebastiao@cetesbnet.sp.gov.br</t>
  </si>
  <si>
    <t>sorocaba@cetesbnet.sp.gov.br</t>
  </si>
  <si>
    <t>taubate@cetesbnet.sp.gov.br</t>
  </si>
  <si>
    <t>votuporanga@cetesbnet.sp.gov.br</t>
  </si>
  <si>
    <t>abc1@cetesbnet.sp.gov.br</t>
  </si>
  <si>
    <t>abc2@cetesbnet.sp.gov.br</t>
  </si>
  <si>
    <t>1</t>
  </si>
  <si>
    <t>Vila Medon</t>
  </si>
  <si>
    <t>13465-230</t>
  </si>
  <si>
    <t>(19) 3461-1550</t>
  </si>
  <si>
    <t>2</t>
  </si>
  <si>
    <t>Aviação</t>
  </si>
  <si>
    <t>16055-557</t>
  </si>
  <si>
    <t>(18) 3608-8053</t>
  </si>
  <si>
    <t>(18) 3608-7197</t>
  </si>
  <si>
    <t>3</t>
  </si>
  <si>
    <t>Carmo</t>
  </si>
  <si>
    <t>14800-140</t>
  </si>
  <si>
    <t>(16) 3332-2211</t>
  </si>
  <si>
    <t>4</t>
  </si>
  <si>
    <t>Quinta dos Flamboyants</t>
  </si>
  <si>
    <t>19810-005</t>
  </si>
  <si>
    <t>(18) 3324-4177</t>
  </si>
  <si>
    <t>5</t>
  </si>
  <si>
    <t>Centro</t>
  </si>
  <si>
    <t>12940-580</t>
  </si>
  <si>
    <t>(11) 4411-0662</t>
  </si>
  <si>
    <t>6</t>
  </si>
  <si>
    <t>Vila Industrial</t>
  </si>
  <si>
    <t>18705-851</t>
  </si>
  <si>
    <t>(14) 3732-4900</t>
  </si>
  <si>
    <t>7</t>
  </si>
  <si>
    <t>América</t>
  </si>
  <si>
    <t>14783-197</t>
  </si>
  <si>
    <t>(17) 3322-2655</t>
  </si>
  <si>
    <t>(17) 3322-2952</t>
  </si>
  <si>
    <t>8</t>
  </si>
  <si>
    <t>Vila Coralina</t>
  </si>
  <si>
    <t>17030-000</t>
  </si>
  <si>
    <t>(14) 3203-2058</t>
  </si>
  <si>
    <t>(14) 3203-2344</t>
  </si>
  <si>
    <t>9</t>
  </si>
  <si>
    <t>Vila Maria</t>
  </si>
  <si>
    <t>18611-358</t>
  </si>
  <si>
    <t>(14) 3882-1134</t>
  </si>
  <si>
    <t>10</t>
  </si>
  <si>
    <t>13035-420</t>
  </si>
  <si>
    <t>(19) 3772-6600</t>
  </si>
  <si>
    <t>(19) 3772-6624</t>
  </si>
  <si>
    <t>11</t>
  </si>
  <si>
    <t>Terras de Imbirucu</t>
  </si>
  <si>
    <t>18304-700</t>
  </si>
  <si>
    <t>(15) 3542-3885</t>
  </si>
  <si>
    <t>12</t>
  </si>
  <si>
    <t>Jardim Costa e Silva</t>
  </si>
  <si>
    <t>11500-270</t>
  </si>
  <si>
    <t>(13) 3361-6663</t>
  </si>
  <si>
    <t>(13) 3361-6743</t>
  </si>
  <si>
    <t>13</t>
  </si>
  <si>
    <t>17900-000</t>
  </si>
  <si>
    <t>(18) 3822-3166</t>
  </si>
  <si>
    <t>14</t>
  </si>
  <si>
    <t>Jardim São Luiz</t>
  </si>
  <si>
    <t>06816-550</t>
  </si>
  <si>
    <t>(11) 4704-8835</t>
  </si>
  <si>
    <t>15</t>
  </si>
  <si>
    <t>Parque dos Pinhais</t>
  </si>
  <si>
    <t>14405-600</t>
  </si>
  <si>
    <t>(16) 3724-5922</t>
  </si>
  <si>
    <t>16</t>
  </si>
  <si>
    <t>Gopouva</t>
  </si>
  <si>
    <t>07020-010</t>
  </si>
  <si>
    <t>(11) 2229-0031</t>
  </si>
  <si>
    <t>17</t>
  </si>
  <si>
    <t>18200-024</t>
  </si>
  <si>
    <t>(15) 3272-2888</t>
  </si>
  <si>
    <t>(15) 3272-2891</t>
  </si>
  <si>
    <t>18</t>
  </si>
  <si>
    <t>13300-065</t>
  </si>
  <si>
    <t>(11) 4013-3419</t>
  </si>
  <si>
    <t>19</t>
  </si>
  <si>
    <t>Jardim Santa Rosa</t>
  </si>
  <si>
    <t>14875-290</t>
  </si>
  <si>
    <t>(16) 3203-9400</t>
  </si>
  <si>
    <t>20</t>
  </si>
  <si>
    <t>Jardim Monte Rrey</t>
  </si>
  <si>
    <t>15703-326</t>
  </si>
  <si>
    <t>(17) 3621-1042</t>
  </si>
  <si>
    <t>21</t>
  </si>
  <si>
    <t>Jardim Pitangueiras II</t>
  </si>
  <si>
    <t>13206-714</t>
  </si>
  <si>
    <t>(11) 4817-1898</t>
  </si>
  <si>
    <t>(11) 4587-3597</t>
  </si>
  <si>
    <t>22</t>
  </si>
  <si>
    <t>Parque Abílio Pedro</t>
  </si>
  <si>
    <t>13483-132</t>
  </si>
  <si>
    <t>(19) 3451-6203</t>
  </si>
  <si>
    <t>23</t>
  </si>
  <si>
    <t>Jardim Alvorada</t>
  </si>
  <si>
    <t>17513-322</t>
  </si>
  <si>
    <t>(14) 3422-4666</t>
  </si>
  <si>
    <t>24</t>
  </si>
  <si>
    <t>08830-000</t>
  </si>
  <si>
    <t>(11) 4725-7490</t>
  </si>
  <si>
    <t>25</t>
  </si>
  <si>
    <t>Pedregulhal</t>
  </si>
  <si>
    <t>13845-190</t>
  </si>
  <si>
    <t>(19) 3818-0396</t>
  </si>
  <si>
    <t>26</t>
  </si>
  <si>
    <t>Butantã</t>
  </si>
  <si>
    <t>05591-080</t>
  </si>
  <si>
    <t>(11) 3721-9600</t>
  </si>
  <si>
    <t>27</t>
  </si>
  <si>
    <t>Jardim Santa Terezinha</t>
  </si>
  <si>
    <t>13140-802</t>
  </si>
  <si>
    <t>(19) 3844-0466</t>
  </si>
  <si>
    <t>28</t>
  </si>
  <si>
    <t>13400-183</t>
  </si>
  <si>
    <t>(19) 3402-6863</t>
  </si>
  <si>
    <t>29</t>
  </si>
  <si>
    <t>Jardim das Rosas</t>
  </si>
  <si>
    <t>19060-050</t>
  </si>
  <si>
    <t>(18) 3223-5001</t>
  </si>
  <si>
    <t>30</t>
  </si>
  <si>
    <t>Jardim São Nicolau</t>
  </si>
  <si>
    <t>11900-000</t>
  </si>
  <si>
    <t>(13) 3822-3855</t>
  </si>
  <si>
    <t>(13) 3822-4437</t>
  </si>
  <si>
    <t>31</t>
  </si>
  <si>
    <t>Ribeirânia</t>
  </si>
  <si>
    <t>14096-350</t>
  </si>
  <si>
    <t>(16) 3617-4700</t>
  </si>
  <si>
    <t>(16) 3617-4207</t>
  </si>
  <si>
    <t>32</t>
  </si>
  <si>
    <t>Embaré</t>
  </si>
  <si>
    <t>11040-100</t>
  </si>
  <si>
    <t>(13) 3227-7767</t>
  </si>
  <si>
    <t>33</t>
  </si>
  <si>
    <t>Cidade Jardim</t>
  </si>
  <si>
    <t>13566-500</t>
  </si>
  <si>
    <t>(16) 3361-2004</t>
  </si>
  <si>
    <t>34</t>
  </si>
  <si>
    <t>13870-223</t>
  </si>
  <si>
    <t>(19) 3633-1510</t>
  </si>
  <si>
    <t>35</t>
  </si>
  <si>
    <t>Jardim São Marcos</t>
  </si>
  <si>
    <t>15081-490</t>
  </si>
  <si>
    <t>(17) 3218-4300</t>
  </si>
  <si>
    <t>36</t>
  </si>
  <si>
    <t>Parque da Cidade/Santana</t>
  </si>
  <si>
    <t>12211-115</t>
  </si>
  <si>
    <t>(12) 3911-9536</t>
  </si>
  <si>
    <t>37</t>
  </si>
  <si>
    <t>Portal da Olaria</t>
  </si>
  <si>
    <t>11600-000</t>
  </si>
  <si>
    <t>(12) 3862-2300</t>
  </si>
  <si>
    <t>38</t>
  </si>
  <si>
    <t>Jardim Europa</t>
  </si>
  <si>
    <t>18045-000</t>
  </si>
  <si>
    <t>(15) 3222-2065</t>
  </si>
  <si>
    <t>39</t>
  </si>
  <si>
    <t>Sta. Luzia</t>
  </si>
  <si>
    <t>12091-200</t>
  </si>
  <si>
    <t>(12) 3634-8222</t>
  </si>
  <si>
    <t>(12) 3634-8234</t>
  </si>
  <si>
    <t>40</t>
  </si>
  <si>
    <t>Vila Paes</t>
  </si>
  <si>
    <t>15500-112</t>
  </si>
  <si>
    <t>(17) 3421-4004</t>
  </si>
  <si>
    <t>41</t>
  </si>
  <si>
    <t>Baeta Neves</t>
  </si>
  <si>
    <t>09760-040</t>
  </si>
  <si>
    <t>(11) 4123-4555</t>
  </si>
  <si>
    <t>42</t>
  </si>
  <si>
    <t>43</t>
  </si>
  <si>
    <t>Informação 11</t>
  </si>
  <si>
    <t>Município</t>
  </si>
  <si>
    <t>EndereçoCompleto</t>
  </si>
  <si>
    <t xml:space="preserve"> </t>
  </si>
  <si>
    <t>Bate o Nome 2?</t>
  </si>
  <si>
    <t>Bate o Nome 1?</t>
  </si>
  <si>
    <t>ID_Departamento</t>
  </si>
  <si>
    <t>Departamento</t>
  </si>
  <si>
    <t>Departamento Gestão Ambiental I</t>
  </si>
  <si>
    <t>Departamento Gestão Ambiental II</t>
  </si>
  <si>
    <t>Departamento Gestão Ambiental III</t>
  </si>
  <si>
    <t>Departamento Gestão Ambiental IV</t>
  </si>
  <si>
    <t>Departamento Gestão Ambiental V</t>
  </si>
  <si>
    <t>Rua Florindo Cibin, 435</t>
  </si>
  <si>
    <t>Rua Ten. Alcides Teodoro dos Santos, 260</t>
  </si>
  <si>
    <t>Avenida Castro Alves, 1271</t>
  </si>
  <si>
    <t>Via Chico Mendes, 75</t>
  </si>
  <si>
    <t>Avenida Nove de Julho, 266</t>
  </si>
  <si>
    <t>Avenida Governador Mário Covas, 525</t>
  </si>
  <si>
    <t>Rua Bolívia, 2255</t>
  </si>
  <si>
    <t>Rua João Morato da Conceição, 525</t>
  </si>
  <si>
    <t>Rua São Carlos, 277</t>
  </si>
  <si>
    <t>Rua Denise, 131</t>
  </si>
  <si>
    <t>Rua Salgado Filho, 353</t>
  </si>
  <si>
    <t>Rua Tomé de Souza, 438</t>
  </si>
  <si>
    <t>Rua João Paulo I, 495</t>
  </si>
  <si>
    <t>Avenida Dr. Flávio Rocha, 4551</t>
  </si>
  <si>
    <t>Avenida Emílio Ribas , 1120</t>
  </si>
  <si>
    <t>Rua General Carneiro, 196</t>
  </si>
  <si>
    <t>Rua Santa Rita, 1165</t>
  </si>
  <si>
    <t>Avenida Angelo Morello, 60</t>
  </si>
  <si>
    <t>Rua Nova Iorque, 1016</t>
  </si>
  <si>
    <t>Rua João Ferrara, 555</t>
  </si>
  <si>
    <t>Avenida Vitório Bortolan, 1450</t>
  </si>
  <si>
    <t>Rua Santa Helena, 436</t>
  </si>
  <si>
    <t>Avenida João XXIII, 165</t>
  </si>
  <si>
    <t>Rua Hugo Pancieira, 400</t>
  </si>
  <si>
    <t>Rua Anete Queiroz Lacerda, 80</t>
  </si>
  <si>
    <t>Rua Angelo Varandas, 550</t>
  </si>
  <si>
    <t>Rua do Rosário, 566</t>
  </si>
  <si>
    <t>Rua João Gonçalves Foz, 1738</t>
  </si>
  <si>
    <t>Rua São Bento, 249</t>
  </si>
  <si>
    <t>Avenida Presidente Kennedy, 1760</t>
  </si>
  <si>
    <t>Rua Delfim Moreira, 56</t>
  </si>
  <si>
    <t>Avenida das Azaléias, 700</t>
  </si>
  <si>
    <t>Rua Marechal Deodoro, 345</t>
  </si>
  <si>
    <t>Avenida Mário Andreazza,</t>
  </si>
  <si>
    <t>Avenida Olivo Gomes, 100</t>
  </si>
  <si>
    <t>Rua Francisco da Cruz Maldonado, 132</t>
  </si>
  <si>
    <t>Avenida Américo de Carvalho, 820</t>
  </si>
  <si>
    <t>Avenida Itambé, 38</t>
  </si>
  <si>
    <t>Avenida Deputado Aureo Ferreira, 1724</t>
  </si>
  <si>
    <t>Rua dos Vianas, 625</t>
  </si>
  <si>
    <t>ID_Agência</t>
  </si>
  <si>
    <t>Embu das Artes</t>
  </si>
  <si>
    <t>Mogi das Cruzes</t>
  </si>
  <si>
    <t>ID_Agência2</t>
  </si>
  <si>
    <t>Av. Santa Inês   nº1796  </t>
  </si>
  <si>
    <t xml:space="preserve">Bairro: Horto Florestal </t>
  </si>
  <si>
    <t>CEP: 2415002</t>
  </si>
  <si>
    <t>Fone: 11 - 22613291</t>
  </si>
  <si>
    <t>E-mail: santana@cetesbnet.sp.gov.br</t>
  </si>
  <si>
    <t>Avenida Santa Inês, 1796</t>
  </si>
  <si>
    <t>santana@cetesbnet.sp.gov.br</t>
  </si>
  <si>
    <t>Horto Florestal</t>
  </si>
  <si>
    <t>02415-002</t>
  </si>
  <si>
    <t>(11) 2261-3291</t>
  </si>
  <si>
    <t>id_agencia</t>
  </si>
  <si>
    <t>agenciaambiental</t>
  </si>
  <si>
    <t>endereco</t>
  </si>
  <si>
    <t>bairro</t>
  </si>
  <si>
    <t>cep</t>
  </si>
  <si>
    <t>munsede</t>
  </si>
  <si>
    <t>enderecocompleto</t>
  </si>
  <si>
    <t>telefone</t>
  </si>
  <si>
    <t>fax</t>
  </si>
  <si>
    <t>email</t>
  </si>
  <si>
    <t>Avenida Rodrigues Alves, 138</t>
  </si>
  <si>
    <t>Agência Ambiental de Americana</t>
  </si>
  <si>
    <t>Agência Ambiental de Araçatuba</t>
  </si>
  <si>
    <t>Agência Ambiental de Araraquara</t>
  </si>
  <si>
    <t>Agência Ambiental de Assis</t>
  </si>
  <si>
    <t>Agência Ambiental de Atibaia</t>
  </si>
  <si>
    <t>Agência Ambiental de Avaré</t>
  </si>
  <si>
    <t>Agência Ambiental de Barretos</t>
  </si>
  <si>
    <t>Agência Ambiental de Bauru</t>
  </si>
  <si>
    <t>Agência Ambiental de Botucatu</t>
  </si>
  <si>
    <t>Agência Ambiental de Campinas</t>
  </si>
  <si>
    <t>Agência Ambiental de Capão Bonito</t>
  </si>
  <si>
    <t>Agência Ambiental de Cubatão</t>
  </si>
  <si>
    <t>Agência Ambiental de Dracena</t>
  </si>
  <si>
    <t>Agência Ambiental de Embu das Artes</t>
  </si>
  <si>
    <t>Agência Ambiental de Franca</t>
  </si>
  <si>
    <t>Agência Ambiental de Guarulhos</t>
  </si>
  <si>
    <t>Agência Ambiental de Itapetininga</t>
  </si>
  <si>
    <t>Agência Ambiental de Itu</t>
  </si>
  <si>
    <t>Agência Ambiental de Jaboticabal</t>
  </si>
  <si>
    <t>Agência Ambiental de Jales</t>
  </si>
  <si>
    <t>Agência Ambiental de Jundiaí</t>
  </si>
  <si>
    <t>Agência Ambiental de Limeira</t>
  </si>
  <si>
    <t>Agência Ambiental de Marília</t>
  </si>
  <si>
    <t>Agência Ambiental de Mogi das Cruzes</t>
  </si>
  <si>
    <t>Agência Ambiental de Mogi Guaçu</t>
  </si>
  <si>
    <t>Agência Ambiental de Osasco</t>
  </si>
  <si>
    <t>Agência Ambiental de Paulínia</t>
  </si>
  <si>
    <t>Agência Ambiental de Piracicaba</t>
  </si>
  <si>
    <t>Agência Ambiental de Presidente Prudente</t>
  </si>
  <si>
    <t>Agência Ambiental de Registro</t>
  </si>
  <si>
    <t>Agência Ambiental de Ribeirão Preto</t>
  </si>
  <si>
    <t>Agência Ambiental de Santana</t>
  </si>
  <si>
    <t>Agência Ambiental de Santos</t>
  </si>
  <si>
    <t>Agência Ambiental de São Carlos</t>
  </si>
  <si>
    <t>Agência Ambiental de São João da Boa Vista</t>
  </si>
  <si>
    <t>Agência Ambiental de São José do Rio Preto</t>
  </si>
  <si>
    <t>Agência Ambiental de São José dos Campos</t>
  </si>
  <si>
    <t>Agência Ambiental de São Sebastião</t>
  </si>
  <si>
    <t>Agência Ambiental de Sorocaba</t>
  </si>
  <si>
    <t>Agência Ambiental de Taubaté</t>
  </si>
  <si>
    <t>Agência Ambiental de Votuporanga</t>
  </si>
  <si>
    <t>Agência Ambiental do ABC I</t>
  </si>
  <si>
    <t>Agência Ambiental do ABC II</t>
  </si>
  <si>
    <t/>
  </si>
  <si>
    <t>44</t>
  </si>
  <si>
    <t>Dados das Agências da CETESB atualizados em 25.08.2015, através do roteiro</t>
  </si>
  <si>
    <t>Dados de Municípios Licenciadores atualizado em 27.08.2015</t>
  </si>
  <si>
    <t>http://www.ambiente.sp.gov.br/consema/licenciamento-ambiental-municipal/</t>
  </si>
  <si>
    <t>Município Licenciador</t>
  </si>
  <si>
    <t>Publicação no DOESP</t>
  </si>
  <si>
    <t>Alto / Médio / Baixo</t>
  </si>
  <si>
    <t>124(102), de 03/06/14, Seção I, pág. 66</t>
  </si>
  <si>
    <t>124(79), de 12/06/14, Seção I, pág. 39</t>
  </si>
  <si>
    <t>Médio / Baixo</t>
  </si>
  <si>
    <t>124(111), de 17/06/14, Seção I, pág. 59</t>
  </si>
  <si>
    <t>124(116), de 25/06/14, Seção I, pág. 49</t>
  </si>
  <si>
    <t>124(118), de 27/06/14, Seção I, pág. 57</t>
  </si>
  <si>
    <t>124(123), de 04/07/14, Seção I, pág. 55</t>
  </si>
  <si>
    <t>Baixo</t>
  </si>
  <si>
    <t>124(124), de 05/07/14, Seção I, pág. 29</t>
  </si>
  <si>
    <t>124(125), de 08/07/14, Seção I, pág. 79</t>
  </si>
  <si>
    <t>124(142), de 01/08/14, Seção I, pág. 47</t>
  </si>
  <si>
    <t>124(126), de 09/07/14, Seção I, pág. 27</t>
  </si>
  <si>
    <t>124(127), de 11/07/14, Seção I, pág. 46</t>
  </si>
  <si>
    <t>124(127), de 12/07/14, Seção I, pág. 37</t>
  </si>
  <si>
    <t>124(128), de 12/07/14, Seção I, pág. 37</t>
  </si>
  <si>
    <t>124(129), de 15/07/14, Seção I, pág. 53</t>
  </si>
  <si>
    <t>124(130), de 16/07/14, Seção I, pág. 43</t>
  </si>
  <si>
    <t>124(132), de 18/07/14, Seção I, pág. 50</t>
  </si>
  <si>
    <t>124(133), de 19/07/14, Seção I, pág. 53</t>
  </si>
  <si>
    <t>124(134), de 22/07/14, Seção I, pág. 50</t>
  </si>
  <si>
    <t>124(136), de 24/07/14, Seção I, pág. 53</t>
  </si>
  <si>
    <t>124(136), de 24/07/14, Seção I, pág. 52</t>
  </si>
  <si>
    <t>124(143), de 02/08/14, Seção I, pág.160</t>
  </si>
  <si>
    <t>124(154), de 19/08/14, Seção I, pág.29</t>
  </si>
  <si>
    <t>124(170), de 10/09/14, Seção I, pág.43</t>
  </si>
  <si>
    <t>124(180), de 24/09/14, Seção I, pág.49</t>
  </si>
  <si>
    <t>124(188), de 06/10/14, Seção I, pág.45</t>
  </si>
  <si>
    <t>124(191), de 09/10/14, Seção I, pág.43</t>
  </si>
  <si>
    <t>124(230), de 05/12/14, Seção I, pág.59</t>
  </si>
  <si>
    <t>125(22), de 03/02/15, Seção I, pág.34</t>
  </si>
  <si>
    <t>125(149), de 13/08/15, Seção I, pág.31</t>
  </si>
  <si>
    <t>#N/D</t>
  </si>
  <si>
    <t>GeoCodigo2</t>
  </si>
  <si>
    <t>Sequência</t>
  </si>
  <si>
    <t>Classificação Impacto Ambiental</t>
  </si>
  <si>
    <t>Tabela dos Departamentos não atualizada e nem trabalhada no CartoBD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</si>
</sst>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5">
    <xf numFmtId="0" fontId="0" fillId="0" borderId="0" xfId="0"/>
    <xf numFmtId="0" fontId="0" fillId="0" borderId="0" xfId="0" pivotButton="1"/>
    <xf numFmtId="0" fontId="0" fillId="0" borderId="0" xfId="0"/>
    <xf numFmtId="1" fontId="0" fillId="0" borderId="0" xfId="0" applyNumberFormat="1"/>
    <xf numFmtId="0" fontId="0" fillId="0" borderId="0" xfId="0"/>
    <xf numFmtId="0" fontId="0" fillId="0" borderId="3" xfId="0" applyFill="1" applyBorder="1"/>
    <xf numFmtId="0" fontId="0" fillId="0" borderId="2" xfId="0" applyFill="1" applyBorder="1"/>
    <xf numFmtId="0" fontId="0" fillId="0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0" borderId="1" xfId="0" applyFill="1" applyBorder="1"/>
    <xf numFmtId="0" fontId="0" fillId="0" borderId="3" xfId="0" applyNumberFormat="1" applyFill="1" applyBorder="1"/>
    <xf numFmtId="0" fontId="1" fillId="0" borderId="0" xfId="0" applyFont="1" applyFill="1" applyBorder="1" applyAlignment="1"/>
    <xf numFmtId="0" fontId="3" fillId="0" borderId="0" xfId="0" applyFont="1" applyFill="1" applyBorder="1" applyAlignment="1"/>
    <xf numFmtId="0" fontId="4" fillId="0" borderId="0" xfId="0" applyFont="1" applyFill="1" applyBorder="1" applyAlignment="1"/>
    <xf numFmtId="0" fontId="4" fillId="0" borderId="0" xfId="0" applyFont="1" applyFill="1" applyBorder="1" applyAlignment="1">
      <alignment vertical="center"/>
    </xf>
    <xf numFmtId="0" fontId="0" fillId="0" borderId="0" xfId="0" applyFont="1" applyFill="1" applyBorder="1" applyAlignment="1"/>
    <xf numFmtId="0" fontId="0" fillId="0" borderId="0" xfId="0" applyAlignment="1">
      <alignment vertical="center" wrapText="1"/>
    </xf>
    <xf numFmtId="0" fontId="2" fillId="0" borderId="0" xfId="1" applyAlignment="1">
      <alignment vertical="center" wrapText="1"/>
    </xf>
    <xf numFmtId="0" fontId="4" fillId="0" borderId="0" xfId="0" applyFont="1" applyFill="1" applyAlignment="1">
      <alignment vertical="center"/>
    </xf>
    <xf numFmtId="0" fontId="2" fillId="0" borderId="0" xfId="1"/>
    <xf numFmtId="0" fontId="0" fillId="0" borderId="0" xfId="0" applyAlignment="1">
      <alignment horizontal="center" vertical="center" wrapText="1"/>
    </xf>
    <xf numFmtId="14" fontId="1" fillId="0" borderId="0" xfId="0" applyNumberFormat="1" applyFont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4" fontId="1" fillId="0" borderId="0" xfId="0" applyNumberFormat="1" applyFont="1" applyAlignment="1">
      <alignment horizontal="left" vertical="center" wrapText="1"/>
    </xf>
  </cellXfs>
  <cellStyles count="2">
    <cellStyle name="Hiperlink" xfId="1" builtinId="8"/>
    <cellStyle name="Normal" xfId="0" builtinId="0"/>
  </cellStyles>
  <dxfs count="41">
    <dxf>
      <numFmt numFmtId="19" formatCode="dd/mm/yyyy"/>
    </dxf>
    <dxf>
      <numFmt numFmtId="19" formatCode="dd/mm/yyyy"/>
    </dxf>
    <dxf>
      <numFmt numFmtId="1" formatCode="0"/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 style="medium">
          <color indexed="64"/>
        </left>
        <right/>
        <top/>
        <bottom/>
      </border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outline="0">
        <left style="medium">
          <color indexed="64"/>
        </left>
        <top style="medium">
          <color indexed="64"/>
        </top>
      </border>
    </dxf>
    <dxf>
      <fill>
        <patternFill patternType="none">
          <fgColor indexed="64"/>
          <bgColor auto="1"/>
        </patternFill>
      </fill>
    </dxf>
    <dxf>
      <border outline="0"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ichel Metran" refreshedDate="42243.592279976852" createdVersion="4" refreshedVersion="4" minRefreshableVersion="3" recordCount="645">
  <cacheSource type="worksheet">
    <worksheetSource ref="A1:S646" sheet="Municípios"/>
  </cacheSource>
  <cacheFields count="19">
    <cacheField name="ID" numFmtId="0">
      <sharedItems containsSemiMixedTypes="0" containsString="0" containsNumber="1" containsInteger="1" minValue="1" maxValue="645"/>
    </cacheField>
    <cacheField name="GeoCodigo" numFmtId="0">
      <sharedItems containsSemiMixedTypes="0" containsString="0" containsNumber="1" containsInteger="1" minValue="3500105" maxValue="3557303" count="645">
        <n v="3500105"/>
        <n v="3500204"/>
        <n v="3500303"/>
        <n v="3500402"/>
        <n v="3500501"/>
        <n v="3500550"/>
        <n v="3500600"/>
        <n v="3500709"/>
        <n v="3500758"/>
        <n v="3500808"/>
        <n v="3500907"/>
        <n v="3501004"/>
        <n v="3501103"/>
        <n v="3501152"/>
        <n v="3501202"/>
        <n v="3501301"/>
        <n v="3501400"/>
        <n v="3501509"/>
        <n v="3501608"/>
        <n v="3501707"/>
        <n v="3501806"/>
        <n v="3501905"/>
        <n v="3502002"/>
        <n v="3502101"/>
        <n v="3502200"/>
        <n v="3502309"/>
        <n v="3502408"/>
        <n v="3502507"/>
        <n v="3502606"/>
        <n v="3502705"/>
        <n v="3502754"/>
        <n v="3502804"/>
        <n v="3502903"/>
        <n v="3503000"/>
        <n v="3503109"/>
        <n v="3503158"/>
        <n v="3503208"/>
        <n v="3503307"/>
        <n v="3503356"/>
        <n v="3503406"/>
        <n v="3503505"/>
        <n v="3503604"/>
        <n v="3503703"/>
        <n v="3503802"/>
        <n v="3503901"/>
        <n v="3503950"/>
        <n v="3504008"/>
        <n v="3504107"/>
        <n v="3504206"/>
        <n v="3504305"/>
        <n v="3504404"/>
        <n v="3504503"/>
        <n v="3504602"/>
        <n v="3504701"/>
        <n v="3504800"/>
        <n v="3504909"/>
        <n v="3505005"/>
        <n v="3505104"/>
        <n v="3505203"/>
        <n v="3505302"/>
        <n v="3505351"/>
        <n v="3505401"/>
        <n v="3505500"/>
        <n v="3505609"/>
        <n v="3505708"/>
        <n v="3505807"/>
        <n v="3505906"/>
        <n v="3506003"/>
        <n v="3506102"/>
        <n v="3506201"/>
        <n v="3506300"/>
        <n v="3506359"/>
        <n v="3506409"/>
        <n v="3506508"/>
        <n v="3506607"/>
        <n v="3506706"/>
        <n v="3506805"/>
        <n v="3506904"/>
        <n v="3507001"/>
        <n v="3507100"/>
        <n v="3507159"/>
        <n v="3507209"/>
        <n v="3507308"/>
        <n v="3507407"/>
        <n v="3507456"/>
        <n v="3507506"/>
        <n v="3507605"/>
        <n v="3507704"/>
        <n v="3507753"/>
        <n v="3507803"/>
        <n v="3507902"/>
        <n v="3508009"/>
        <n v="3508108"/>
        <n v="3508207"/>
        <n v="3508306"/>
        <n v="3508405"/>
        <n v="3508504"/>
        <n v="3508603"/>
        <n v="3508702"/>
        <n v="3508801"/>
        <n v="3508900"/>
        <n v="3509007"/>
        <n v="3509106"/>
        <n v="3509205"/>
        <n v="3509254"/>
        <n v="3509304"/>
        <n v="3509403"/>
        <n v="3509452"/>
        <n v="3509502"/>
        <n v="3509601"/>
        <n v="3509700"/>
        <n v="3509809"/>
        <n v="3509908"/>
        <n v="3509957"/>
        <n v="3510005"/>
        <n v="3510104"/>
        <n v="3510153"/>
        <n v="3510203"/>
        <n v="3510302"/>
        <n v="3510401"/>
        <n v="3510500"/>
        <n v="3510609"/>
        <n v="3510708"/>
        <n v="3510807"/>
        <n v="3510906"/>
        <n v="3511003"/>
        <n v="3511102"/>
        <n v="3511201"/>
        <n v="3511300"/>
        <n v="3511409"/>
        <n v="3511508"/>
        <n v="3511607"/>
        <n v="3511706"/>
        <n v="3557204"/>
        <n v="3511904"/>
        <n v="3512001"/>
        <n v="3512100"/>
        <n v="3512209"/>
        <n v="3512308"/>
        <n v="3512407"/>
        <n v="3512506"/>
        <n v="3512605"/>
        <n v="3512704"/>
        <n v="3512803"/>
        <n v="3512902"/>
        <n v="3513009"/>
        <n v="3513108"/>
        <n v="3513207"/>
        <n v="3513306"/>
        <n v="3513405"/>
        <n v="3513504"/>
        <n v="3513603"/>
        <n v="3513702"/>
        <n v="3513801"/>
        <n v="3513850"/>
        <n v="3513900"/>
        <n v="3514007"/>
        <n v="3514106"/>
        <n v="3514205"/>
        <n v="3514304"/>
        <n v="3514403"/>
        <n v="3514502"/>
        <n v="3514601"/>
        <n v="3514700"/>
        <n v="3514809"/>
        <n v="3514908"/>
        <n v="3514924"/>
        <n v="3514957"/>
        <n v="3515004"/>
        <n v="3515103"/>
        <n v="3515129"/>
        <n v="3515152"/>
        <n v="3515186"/>
        <n v="3515194"/>
        <n v="3557303"/>
        <n v="3515301"/>
        <n v="3515202"/>
        <n v="3515350"/>
        <n v="3515400"/>
        <n v="3515608"/>
        <n v="3515509"/>
        <n v="3515657"/>
        <n v="3515707"/>
        <n v="3515806"/>
        <n v="3515905"/>
        <n v="3516002"/>
        <n v="3516101"/>
        <n v="3516200"/>
        <n v="3516309"/>
        <n v="3516408"/>
        <n v="3516507"/>
        <n v="3516606"/>
        <n v="3516705"/>
        <n v="3516804"/>
        <n v="3516853"/>
        <n v="3516903"/>
        <n v="3517000"/>
        <n v="3517109"/>
        <n v="3517208"/>
        <n v="3517307"/>
        <n v="3517406"/>
        <n v="3517505"/>
        <n v="3517604"/>
        <n v="3517703"/>
        <n v="3517802"/>
        <n v="3517901"/>
        <n v="3518008"/>
        <n v="3518107"/>
        <n v="3518206"/>
        <n v="3518305"/>
        <n v="3518404"/>
        <n v="3518503"/>
        <n v="3518602"/>
        <n v="3518701"/>
        <n v="3518800"/>
        <n v="3518859"/>
        <n v="3518909"/>
        <n v="3519006"/>
        <n v="3519055"/>
        <n v="3519071"/>
        <n v="3519105"/>
        <n v="3519204"/>
        <n v="3519253"/>
        <n v="3519303"/>
        <n v="3519402"/>
        <n v="3519501"/>
        <n v="3519600"/>
        <n v="3519709"/>
        <n v="3519808"/>
        <n v="3519907"/>
        <n v="3520004"/>
        <n v="3520103"/>
        <n v="3520202"/>
        <n v="3520301"/>
        <n v="3520426"/>
        <n v="3520442"/>
        <n v="3520400"/>
        <n v="3520509"/>
        <n v="3520608"/>
        <n v="3520707"/>
        <n v="3520806"/>
        <n v="3520905"/>
        <n v="3521002"/>
        <n v="3521101"/>
        <n v="3521150"/>
        <n v="3521200"/>
        <n v="3521309"/>
        <n v="3521408"/>
        <n v="3521507"/>
        <n v="3521606"/>
        <n v="3521705"/>
        <n v="3521804"/>
        <n v="3521903"/>
        <n v="3522000"/>
        <n v="3522109"/>
        <n v="3522158"/>
        <n v="3522208"/>
        <n v="3522307"/>
        <n v="3522406"/>
        <n v="3522505"/>
        <n v="3522604"/>
        <n v="3522653"/>
        <n v="3522703"/>
        <n v="3522802"/>
        <n v="3522901"/>
        <n v="3523008"/>
        <n v="3523107"/>
        <n v="3523206"/>
        <n v="3523305"/>
        <n v="3523404"/>
        <n v="3523503"/>
        <n v="3523602"/>
        <n v="3523701"/>
        <n v="3523800"/>
        <n v="3523909"/>
        <n v="3524006"/>
        <n v="3524105"/>
        <n v="3524204"/>
        <n v="3524303"/>
        <n v="3524402"/>
        <n v="3524501"/>
        <n v="3524600"/>
        <n v="3524709"/>
        <n v="3524808"/>
        <n v="3524907"/>
        <n v="3525003"/>
        <n v="3525102"/>
        <n v="3525201"/>
        <n v="3525300"/>
        <n v="3525409"/>
        <n v="3525508"/>
        <n v="3525607"/>
        <n v="3525706"/>
        <n v="3525805"/>
        <n v="3525854"/>
        <n v="3525904"/>
        <n v="3526001"/>
        <n v="3526100"/>
        <n v="3526209"/>
        <n v="3526308"/>
        <n v="3526407"/>
        <n v="3526506"/>
        <n v="3526605"/>
        <n v="3526704"/>
        <n v="3526803"/>
        <n v="3526902"/>
        <n v="3527009"/>
        <n v="3527108"/>
        <n v="3527207"/>
        <n v="3527256"/>
        <n v="3527306"/>
        <n v="3527405"/>
        <n v="3527504"/>
        <n v="3527603"/>
        <n v="3527702"/>
        <n v="3527801"/>
        <n v="3527900"/>
        <n v="3528007"/>
        <n v="3528106"/>
        <n v="3528205"/>
        <n v="3528304"/>
        <n v="3528403"/>
        <n v="3528502"/>
        <n v="3528601"/>
        <n v="3528700"/>
        <n v="3528809"/>
        <n v="3528858"/>
        <n v="3528908"/>
        <n v="3529005"/>
        <n v="3529104"/>
        <n v="3529203"/>
        <n v="3529302"/>
        <n v="3529401"/>
        <n v="3529500"/>
        <n v="3529609"/>
        <n v="3529658"/>
        <n v="3529708"/>
        <n v="3529807"/>
        <n v="3530003"/>
        <n v="3529906"/>
        <n v="3530102"/>
        <n v="3530201"/>
        <n v="3530300"/>
        <n v="3530409"/>
        <n v="3530508"/>
        <n v="3530706"/>
        <n v="3530607"/>
        <n v="3530805"/>
        <n v="3530904"/>
        <n v="3531001"/>
        <n v="3531100"/>
        <n v="3531209"/>
        <n v="3531308"/>
        <n v="3531407"/>
        <n v="3531506"/>
        <n v="3531605"/>
        <n v="3531803"/>
        <n v="3531704"/>
        <n v="3531902"/>
        <n v="3532009"/>
        <n v="3532058"/>
        <n v="3532108"/>
        <n v="3532157"/>
        <n v="3532207"/>
        <n v="3532306"/>
        <n v="3532405"/>
        <n v="3532504"/>
        <n v="3532603"/>
        <n v="3532702"/>
        <n v="3532801"/>
        <n v="3532827"/>
        <n v="3532843"/>
        <n v="3532868"/>
        <n v="3532900"/>
        <n v="3533007"/>
        <n v="3533106"/>
        <n v="3533205"/>
        <n v="3533304"/>
        <n v="3533403"/>
        <n v="3533254"/>
        <n v="3533502"/>
        <n v="3533601"/>
        <n v="3533700"/>
        <n v="3533809"/>
        <n v="3533908"/>
        <n v="3534005"/>
        <n v="3534104"/>
        <n v="3534203"/>
        <n v="3534302"/>
        <n v="3534401"/>
        <n v="3534500"/>
        <n v="3534609"/>
        <n v="3534708"/>
        <n v="3534807"/>
        <n v="3534757"/>
        <n v="3534906"/>
        <n v="3535002"/>
        <n v="3535101"/>
        <n v="3535200"/>
        <n v="3535309"/>
        <n v="3535408"/>
        <n v="3535507"/>
        <n v="3535606"/>
        <n v="3535705"/>
        <n v="3535804"/>
        <n v="3535903"/>
        <n v="3536000"/>
        <n v="3536109"/>
        <n v="3536208"/>
        <n v="3536257"/>
        <n v="3536307"/>
        <n v="3536406"/>
        <n v="3536505"/>
        <n v="3536570"/>
        <n v="3536604"/>
        <n v="3536703"/>
        <n v="3536802"/>
        <n v="3536901"/>
        <n v="3537008"/>
        <n v="3537107"/>
        <n v="3537156"/>
        <n v="3537206"/>
        <n v="3537305"/>
        <n v="3537404"/>
        <n v="3537503"/>
        <n v="3537602"/>
        <n v="3537701"/>
        <n v="3537800"/>
        <n v="3537909"/>
        <n v="3538006"/>
        <n v="3538105"/>
        <n v="3538204"/>
        <n v="3538303"/>
        <n v="3538501"/>
        <n v="3538600"/>
        <n v="3538709"/>
        <n v="3538808"/>
        <n v="3538907"/>
        <n v="3539004"/>
        <n v="3539103"/>
        <n v="3539202"/>
        <n v="3539301"/>
        <n v="3539400"/>
        <n v="3539509"/>
        <n v="3539608"/>
        <n v="3539707"/>
        <n v="3539806"/>
        <n v="3539905"/>
        <n v="3540002"/>
        <n v="3540101"/>
        <n v="3540200"/>
        <n v="3540259"/>
        <n v="3540309"/>
        <n v="3540408"/>
        <n v="3540507"/>
        <n v="3540606"/>
        <n v="3540705"/>
        <n v="3540754"/>
        <n v="3540804"/>
        <n v="3540853"/>
        <n v="3540903"/>
        <n v="3541000"/>
        <n v="3541059"/>
        <n v="3541109"/>
        <n v="3541208"/>
        <n v="3541307"/>
        <n v="3541406"/>
        <n v="3541505"/>
        <n v="3541604"/>
        <n v="3541653"/>
        <n v="3541703"/>
        <n v="3541802"/>
        <n v="3541901"/>
        <n v="3542008"/>
        <n v="3542107"/>
        <n v="3542206"/>
        <n v="3542305"/>
        <n v="3542404"/>
        <n v="3542503"/>
        <n v="3542602"/>
        <n v="3542701"/>
        <n v="3542800"/>
        <n v="3542909"/>
        <n v="3543006"/>
        <n v="3543105"/>
        <n v="3543204"/>
        <n v="3543238"/>
        <n v="3543253"/>
        <n v="3543303"/>
        <n v="3543402"/>
        <n v="3543600"/>
        <n v="3543709"/>
        <n v="3543808"/>
        <n v="3543907"/>
        <n v="3544004"/>
        <n v="3544103"/>
        <n v="3544202"/>
        <n v="3543501"/>
        <n v="3544251"/>
        <n v="3544301"/>
        <n v="3544400"/>
        <n v="3544509"/>
        <n v="3544608"/>
        <n v="3544707"/>
        <n v="3544806"/>
        <n v="3544905"/>
        <n v="3545001"/>
        <n v="3545100"/>
        <n v="3545159"/>
        <n v="3545209"/>
        <n v="3545308"/>
        <n v="3545407"/>
        <n v="3545506"/>
        <n v="3545605"/>
        <n v="3545704"/>
        <n v="3545803"/>
        <n v="3546009"/>
        <n v="3546108"/>
        <n v="3546207"/>
        <n v="3546256"/>
        <n v="3546306"/>
        <n v="3546405"/>
        <n v="3546504"/>
        <n v="3546603"/>
        <n v="3546702"/>
        <n v="3546801"/>
        <n v="3546900"/>
        <n v="3547007"/>
        <n v="3547106"/>
        <n v="3547502"/>
        <n v="3547403"/>
        <n v="3547601"/>
        <n v="3547650"/>
        <n v="3547205"/>
        <n v="3547304"/>
        <n v="3547700"/>
        <n v="3547809"/>
        <n v="3547908"/>
        <n v="3548005"/>
        <n v="3548054"/>
        <n v="3548104"/>
        <n v="3548203"/>
        <n v="3548302"/>
        <n v="3548401"/>
        <n v="3548500"/>
        <n v="3548609"/>
        <n v="3548708"/>
        <n v="3548807"/>
        <n v="3548906"/>
        <n v="3549003"/>
        <n v="3549102"/>
        <n v="3549201"/>
        <n v="3549250"/>
        <n v="3549300"/>
        <n v="3549409"/>
        <n v="3549508"/>
        <n v="3549607"/>
        <n v="3549706"/>
        <n v="3549805"/>
        <n v="3549904"/>
        <n v="3549953"/>
        <n v="3550001"/>
        <n v="3550100"/>
        <n v="3550209"/>
        <n v="3550308"/>
        <n v="3550407"/>
        <n v="3550506"/>
        <n v="3550605"/>
        <n v="3550704"/>
        <n v="3550803"/>
        <n v="3550902"/>
        <n v="3551009"/>
        <n v="3551108"/>
        <n v="3551207"/>
        <n v="3551306"/>
        <n v="3551405"/>
        <n v="3551603"/>
        <n v="3551504"/>
        <n v="3551702"/>
        <n v="3551801"/>
        <n v="3551900"/>
        <n v="3552007"/>
        <n v="3552106"/>
        <n v="3552205"/>
        <n v="3552304"/>
        <n v="3552403"/>
        <n v="3552551"/>
        <n v="3552502"/>
        <n v="3552601"/>
        <n v="3552700"/>
        <n v="3552809"/>
        <n v="3552908"/>
        <n v="3553005"/>
        <n v="3553104"/>
        <n v="3553203"/>
        <n v="3553302"/>
        <n v="3553401"/>
        <n v="3553500"/>
        <n v="3553609"/>
        <n v="3553658"/>
        <n v="3553708"/>
        <n v="3553807"/>
        <n v="3553856"/>
        <n v="3553906"/>
        <n v="3553955"/>
        <n v="3554003"/>
        <n v="3554102"/>
        <n v="3554201"/>
        <n v="3554300"/>
        <n v="3554409"/>
        <n v="3554508"/>
        <n v="3554607"/>
        <n v="3554656"/>
        <n v="3554706"/>
        <n v="3554755"/>
        <n v="3554805"/>
        <n v="3554904"/>
        <n v="3554953"/>
        <n v="3555000"/>
        <n v="3555109"/>
        <n v="3555208"/>
        <n v="3555307"/>
        <n v="3555356"/>
        <n v="3555406"/>
        <n v="3555505"/>
        <n v="3555604"/>
        <n v="3555703"/>
        <n v="3555802"/>
        <n v="3555901"/>
        <n v="3556008"/>
        <n v="3556107"/>
        <n v="3556206"/>
        <n v="3556305"/>
        <n v="3556354"/>
        <n v="3556404"/>
        <n v="3556453"/>
        <n v="3556503"/>
        <n v="3556602"/>
        <n v="3556701"/>
        <n v="3556800"/>
        <n v="3556909"/>
        <n v="3556958"/>
        <n v="3557006"/>
        <n v="3557105"/>
        <n v="3557154"/>
      </sharedItems>
    </cacheField>
    <cacheField name="Hifen" numFmtId="0">
      <sharedItems/>
    </cacheField>
    <cacheField name="Registrado" numFmtId="0">
      <sharedItems/>
    </cacheField>
    <cacheField name="Bate o Nome 1?" numFmtId="0">
      <sharedItems/>
    </cacheField>
    <cacheField name="Bate o Nome 2?" numFmtId="0">
      <sharedItems/>
    </cacheField>
    <cacheField name="Município" numFmtId="0">
      <sharedItems count="645">
        <s v="Adamantina"/>
        <s v="Adolfo"/>
        <s v="Aguaí"/>
        <s v="Águas da Prata"/>
        <s v="Águas de Lindóia"/>
        <s v="Águas de Santa Bárbara"/>
        <s v="Águas de São Pedro"/>
        <s v="Agudos"/>
        <s v="Alambari"/>
        <s v="Alfredo Marcondes"/>
        <s v="Altair"/>
        <s v="Altinópolis"/>
        <s v="Alto Alegre"/>
        <s v="Alumínio"/>
        <s v="Álvares Florence"/>
        <s v="Álvares Machado"/>
        <s v="Álvaro de Carvalho"/>
        <s v="Alvinlândia"/>
        <s v="Americana"/>
        <s v="Américo Brasiliense"/>
        <s v="Américo de Campos"/>
        <s v="Amparo"/>
        <s v="Analândia"/>
        <s v="Andradina"/>
        <s v="Angatuba"/>
        <s v="Anhembi"/>
        <s v="Anhumas"/>
        <s v="Aparecida"/>
        <s v="Aparecida d'Oeste"/>
        <s v="Apiaí"/>
        <s v="Araçariguama"/>
        <s v="Araçatuba"/>
        <s v="Araçoiaba da Serra"/>
        <s v="Aramina"/>
        <s v="Arandu"/>
        <s v="Arapeí"/>
        <s v="Araraquara"/>
        <s v="Araras"/>
        <s v="Arco-Íris"/>
        <s v="Arealva"/>
        <s v="Areias"/>
        <s v="Areiópolis"/>
        <s v="Ariranha"/>
        <s v="Artur Nogueira"/>
        <s v="Arujá"/>
        <s v="Aspásia"/>
        <s v="Assis"/>
        <s v="Atibaia"/>
        <s v="Auriflama"/>
        <s v="Avaí"/>
        <s v="Avanhandava"/>
        <s v="Avaré"/>
        <s v="Bady Bassitt"/>
        <s v="Balbinos"/>
        <s v="Bálsamo"/>
        <s v="Bananal"/>
        <s v="Barão de Antonina"/>
        <s v="Barbosa"/>
        <s v="Bariri"/>
        <s v="Barra Bonita"/>
        <s v="Barra do Chapéu"/>
        <s v="Barra do Turvo"/>
        <s v="Barretos"/>
        <s v="Barrinha"/>
        <s v="Barueri"/>
        <s v="Bastos"/>
        <s v="Batatais"/>
        <s v="Bauru"/>
        <s v="Bebedouro"/>
        <s v="Bento de Abreu"/>
        <s v="Bernardino de Campos"/>
        <s v="Bertioga"/>
        <s v="Bilac"/>
        <s v="Birigui"/>
        <s v="Biritiba-Mirim"/>
        <s v="Boa Esperança do Sul"/>
        <s v="Bocaina"/>
        <s v="Bofete"/>
        <s v="Boituva"/>
        <s v="Bom Jesus dos Perdões"/>
        <s v="Bom Sucesso de Itararé"/>
        <s v="Borá"/>
        <s v="Boracéia"/>
        <s v="Borborema"/>
        <s v="Borebi"/>
        <s v="Botucatu"/>
        <s v="Bragança Paulista"/>
        <s v="Braúna"/>
        <s v="Brejo Alegre"/>
        <s v="Brodowski"/>
        <s v="Brotas"/>
        <s v="Buri"/>
        <s v="Buritama"/>
        <s v="Buritizal"/>
        <s v="Cabrália Paulista"/>
        <s v="Cabreúva"/>
        <s v="Caçapava"/>
        <s v="Cachoeira Paulista"/>
        <s v="Caconde"/>
        <s v="Cafelândia"/>
        <s v="Caiabu"/>
        <s v="Caieiras"/>
        <s v="Caiuá"/>
        <s v="Cajamar"/>
        <s v="Cajati"/>
        <s v="Cajobi"/>
        <s v="Cajuru"/>
        <s v="Campina do Monte Alegre"/>
        <s v="Campinas"/>
        <s v="Campo Limpo Paulista"/>
        <s v="Campos do Jordão"/>
        <s v="Campos Novos Paulista"/>
        <s v="Cananéia"/>
        <s v="Canas"/>
        <s v="Cândido Mota"/>
        <s v="Cândido Rodrigues"/>
        <s v="Canitar"/>
        <s v="Capão Bonito"/>
        <s v="Capela do Alto"/>
        <s v="Capivari"/>
        <s v="Caraguatatuba"/>
        <s v="Carapicuíba"/>
        <s v="Cardoso"/>
        <s v="Casa Branca"/>
        <s v="Cássia dos Coqueiros"/>
        <s v="Castilho"/>
        <s v="Catanduva"/>
        <s v="Catiguá"/>
        <s v="Cedral"/>
        <s v="Cerqueira César"/>
        <s v="Cerquilho"/>
        <s v="Cesário Lange"/>
        <s v="Charqueada"/>
        <s v="Chavantes"/>
        <s v="Clementina"/>
        <s v="Colina"/>
        <s v="Colômbia"/>
        <s v="Conchal"/>
        <s v="Conchas"/>
        <s v="Cordeirópolis"/>
        <s v="Coroados"/>
        <s v="Coronel Macedo"/>
        <s v="Corumbataí"/>
        <s v="Cosmópolis"/>
        <s v="Cosmorama"/>
        <s v="Cotia"/>
        <s v="Cravinhos"/>
        <s v="Cristais Paulista"/>
        <s v="Cruzália"/>
        <s v="Cruzeiro"/>
        <s v="Cubatão"/>
        <s v="Cunha"/>
        <s v="Descalvado"/>
        <s v="Diadema"/>
        <s v="Dirce Reis"/>
        <s v="Divinolândia"/>
        <s v="Dobrada"/>
        <s v="Dois Córregos"/>
        <s v="Dolcinópolis"/>
        <s v="Dourado"/>
        <s v="Dracena"/>
        <s v="Duartina"/>
        <s v="Dumont"/>
        <s v="Echaporã"/>
        <s v="Eldorado"/>
        <s v="Elias Fausto"/>
        <s v="Elisiário"/>
        <s v="Embaúba"/>
        <s v="Embu"/>
        <s v="Embu-Guaçu"/>
        <s v="Emilianópolis"/>
        <s v="Engenheiro Coelho"/>
        <s v="Espírito Santo do Pinhal"/>
        <s v="Espírito Santo do Turvo"/>
        <s v="Estiva Gerbi"/>
        <s v="Estrela do Norte"/>
        <s v="Estrela d'Oeste"/>
        <s v="Euclides da Cunha Paulista"/>
        <s v="Fartura"/>
        <s v="Fernando Prestes"/>
        <s v="Fernandópolis"/>
        <s v="Fernão"/>
        <s v="Ferraz de Vasconcelos"/>
        <s v="Flora Rica"/>
        <s v="Floreal"/>
        <s v="Flórida Paulista"/>
        <s v="Florínia"/>
        <s v="Franca"/>
        <s v="Francisco Morato"/>
        <s v="Franco da Rocha"/>
        <s v="Gabriel Monteiro"/>
        <s v="Gália"/>
        <s v="Garça"/>
        <s v="Gastão Vidigal"/>
        <s v="Gavião Peixoto"/>
        <s v="General Salgado"/>
        <s v="Getulina"/>
        <s v="Glicério"/>
        <s v="Guaiçara"/>
        <s v="Guaimbê"/>
        <s v="Guaíra"/>
        <s v="Guapiaçu"/>
        <s v="Guapiara"/>
        <s v="Guará"/>
        <s v="Guaraçaí"/>
        <s v="Guaraci"/>
        <s v="Guarani d'Oeste"/>
        <s v="Guarantã"/>
        <s v="Guararapes"/>
        <s v="Guararema"/>
        <s v="Guaratinguetá"/>
        <s v="Guareí"/>
        <s v="Guariba"/>
        <s v="Guarujá"/>
        <s v="Guarulhos"/>
        <s v="Guatapará"/>
        <s v="Guzolândia"/>
        <s v="Herculândia"/>
        <s v="Holambra"/>
        <s v="Hortolândia"/>
        <s v="Iacanga"/>
        <s v="Iacri"/>
        <s v="Iaras"/>
        <s v="Ibaté"/>
        <s v="Ibirá"/>
        <s v="Ibirarema"/>
        <s v="Ibitinga"/>
        <s v="Ibiúna"/>
        <s v="Icém"/>
        <s v="Iepê"/>
        <s v="Igaraçu do Tietê"/>
        <s v="Igarapava"/>
        <s v="Igaratá"/>
        <s v="Iguape"/>
        <s v="Ilha Comprida"/>
        <s v="Ilha Solteira"/>
        <s v="Ilhabela"/>
        <s v="Indaiatuba"/>
        <s v="Indiana"/>
        <s v="Indiaporã"/>
        <s v="Inúbia Paulista"/>
        <s v="Ipaussu"/>
        <s v="Iperó"/>
        <s v="Ipeúna"/>
        <s v="Ipiguá"/>
        <s v="Iporanga"/>
        <s v="Ipuã"/>
        <s v="Iracemápolis"/>
        <s v="Irapuã"/>
        <s v="Irapuru"/>
        <s v="Itaberá"/>
        <s v="Itaí"/>
        <s v="Itajobi"/>
        <s v="Itaju"/>
        <s v="Itanhaém"/>
        <s v="Itaóca"/>
        <s v="Itapecerica da Serra"/>
        <s v="Itapetininga"/>
        <s v="Itapeva"/>
        <s v="Itapevi"/>
        <s v="Itapira"/>
        <s v="Itapirapuã Paulista"/>
        <s v="Itápolis"/>
        <s v="Itaporanga"/>
        <s v="Itapuí"/>
        <s v="Itapura"/>
        <s v="Itaquaquecetuba"/>
        <s v="Itararé"/>
        <s v="Itariri"/>
        <s v="Itatiba"/>
        <s v="Itatinga"/>
        <s v="Itirapina"/>
        <s v="Itirapuã"/>
        <s v="Itobi"/>
        <s v="Itu"/>
        <s v="Itupeva"/>
        <s v="Ituverava"/>
        <s v="Jaborandi"/>
        <s v="Jaboticabal"/>
        <s v="Jacareí"/>
        <s v="Jaci"/>
        <s v="Jacupiranga"/>
        <s v="Jaguariúna"/>
        <s v="Jales"/>
        <s v="Jambeiro"/>
        <s v="Jandira"/>
        <s v="Jardinópolis"/>
        <s v="Jarinu"/>
        <s v="Jaú"/>
        <s v="Jeriquara"/>
        <s v="Joanópolis"/>
        <s v="João Ramalho"/>
        <s v="José Bonifácio"/>
        <s v="Júlio Mesquita"/>
        <s v="Jumirim"/>
        <s v="Jundiaí"/>
        <s v="Junqueirópolis"/>
        <s v="Juquiá"/>
        <s v="Juquitiba"/>
        <s v="Lagoinha"/>
        <s v="Laranjal Paulista"/>
        <s v="Lavínia"/>
        <s v="Lavrinhas"/>
        <s v="Leme"/>
        <s v="Lençóis Paulista"/>
        <s v="Limeira"/>
        <s v="Lindóia"/>
        <s v="Lins"/>
        <s v="Lorena"/>
        <s v="Lourdes"/>
        <s v="Louveira"/>
        <s v="Lucélia"/>
        <s v="Lucianópolis"/>
        <s v="Luís Antônio"/>
        <s v="Luiziânia"/>
        <s v="Lupércio"/>
        <s v="Lutécia"/>
        <s v="Macatuba"/>
        <s v="Macaubal"/>
        <s v="Macedônia"/>
        <s v="Magda"/>
        <s v="Mairinque"/>
        <s v="Mairiporã"/>
        <s v="Manduri"/>
        <s v="Marabá Paulista"/>
        <s v="Maracaí"/>
        <s v="Marapoama"/>
        <s v="Mariápolis"/>
        <s v="Marília"/>
        <s v="Marinópolis"/>
        <s v="Martinópolis"/>
        <s v="Matão"/>
        <s v="Mauá"/>
        <s v="Mendonça"/>
        <s v="Meridiano"/>
        <s v="Mesópolis"/>
        <s v="Miguelópolis"/>
        <s v="Mineiros do Tietê"/>
        <s v="Mira Estrela"/>
        <s v="Miracatu"/>
        <s v="Mirandópolis"/>
        <s v="Mirante do Paranapanema"/>
        <s v="Mirassol"/>
        <s v="Mirassolândia"/>
        <s v="Mococa"/>
        <s v="Mogi Guaçu"/>
        <s v="Moji das Cruzes"/>
        <s v="Moji-Mirim"/>
        <s v="Mombuca"/>
        <s v="Monções"/>
        <s v="Mongaguá"/>
        <s v="Monte Alegre do Sul"/>
        <s v="Monte Alto"/>
        <s v="Monte Aprazível"/>
        <s v="Monte Azul Paulista"/>
        <s v="Monte Castelo"/>
        <s v="Monte Mor"/>
        <s v="Monteiro Lobato"/>
        <s v="Morro Agudo"/>
        <s v="Morungaba"/>
        <s v="Motuca"/>
        <s v="Murutinga do Sul"/>
        <s v="Nantes"/>
        <s v="Narandiba"/>
        <s v="Natividade da Serra"/>
        <s v="Nazaré Paulista"/>
        <s v="Neves Paulista"/>
        <s v="Nhandeara"/>
        <s v="Nipoã"/>
        <s v="Nova Aliança"/>
        <s v="Nova Campina"/>
        <s v="Nova Canaã Paulista"/>
        <s v="Nova Castilho"/>
        <s v="Nova Europa"/>
        <s v="Nova Granada"/>
        <s v="Nova Guataporanga"/>
        <s v="Nova Independência"/>
        <s v="Nova Luzitânia"/>
        <s v="Nova Odessa"/>
        <s v="Novais"/>
        <s v="Novo Horizonte"/>
        <s v="Nuporanga"/>
        <s v="Ocauçu"/>
        <s v="Óleo"/>
        <s v="Olímpia"/>
        <s v="Onda Verde"/>
        <s v="Oriente"/>
        <s v="Orindiúva"/>
        <s v="Orlândia"/>
        <s v="Osasco"/>
        <s v="Oscar Bressane"/>
        <s v="Osvaldo Cruz"/>
        <s v="Ourinhos"/>
        <s v="Ouro Verde"/>
        <s v="Ouroeste"/>
        <s v="Pacaembu"/>
        <s v="Palestina"/>
        <s v="Palmares Paulista"/>
        <s v="Palmeira d'Oeste"/>
        <s v="Palmital"/>
        <s v="Panorama"/>
        <s v="Paraguaçu Paulista"/>
        <s v="Paraibuna"/>
        <s v="Paraíso"/>
        <s v="Paranapanema"/>
        <s v="Paranapuã"/>
        <s v="Parapuã"/>
        <s v="Pardinho"/>
        <s v="Pariquera-Açu"/>
        <s v="Parisi"/>
        <s v="Patrocínio Paulista"/>
        <s v="Paulicéia"/>
        <s v="Paulínia"/>
        <s v="Paulistânia"/>
        <s v="Paulo de Faria"/>
        <s v="Pederneiras"/>
        <s v="Pedra Bela"/>
        <s v="Pedranópolis"/>
        <s v="Pedregulho"/>
        <s v="Pedreira"/>
        <s v="Pedrinhas Paulista"/>
        <s v="Pedro de Toledo"/>
        <s v="Penápolis"/>
        <s v="Pereira Barreto"/>
        <s v="Pereiras"/>
        <s v="Peruíbe"/>
        <s v="Piacatu"/>
        <s v="Piedade"/>
        <s v="Pilar do Sul"/>
        <s v="Pindamonhangaba"/>
        <s v="Pindorama"/>
        <s v="Pinhalzinho"/>
        <s v="Piquerobi"/>
        <s v="Piquete"/>
        <s v="Piracaia"/>
        <s v="Piracicaba"/>
        <s v="Piraju"/>
        <s v="Pirajuí"/>
        <s v="Pirangi"/>
        <s v="Pirapora do Bom Jesus"/>
        <s v="Pirapozinho"/>
        <s v="Pirassununga"/>
        <s v="Piratininga"/>
        <s v="Pitangueiras"/>
        <s v="Planalto"/>
        <s v="Platina"/>
        <s v="Poá"/>
        <s v="Poloni"/>
        <s v="Pompéia"/>
        <s v="Pongaí"/>
        <s v="Pontal"/>
        <s v="Pontalinda"/>
        <s v="Pontes Gestal"/>
        <s v="Populina"/>
        <s v="Porangaba"/>
        <s v="Porto Feliz"/>
        <s v="Porto Ferreira"/>
        <s v="Potim"/>
        <s v="Potirendaba"/>
        <s v="Pracinha"/>
        <s v="Pradópolis"/>
        <s v="Praia Grande"/>
        <s v="Pratânia"/>
        <s v="Presidente Alves"/>
        <s v="Presidente Bernardes"/>
        <s v="Presidente Epitácio"/>
        <s v="Presidente Prudente"/>
        <s v="Presidente Venceslau"/>
        <s v="Promissão"/>
        <s v="Quadra"/>
        <s v="Quatá"/>
        <s v="Queiroz"/>
        <s v="Queluz"/>
        <s v="Quintana"/>
        <s v="Rafard"/>
        <s v="Rancharia"/>
        <s v="Redenção da Serra"/>
        <s v="Regente Feijó"/>
        <s v="Reginópolis"/>
        <s v="Registro"/>
        <s v="Restinga"/>
        <s v="Ribeira"/>
        <s v="Ribeirão Bonito"/>
        <s v="Ribeirão Branco"/>
        <s v="Ribeirão Corrente"/>
        <s v="Ribeirão do Sul"/>
        <s v="Ribeirão dos Índios"/>
        <s v="Ribeirão Grande"/>
        <s v="Ribeirão Pires"/>
        <s v="Ribeirão Preto"/>
        <s v="Rifaina"/>
        <s v="Rincão"/>
        <s v="Rinópolis"/>
        <s v="Rio Claro"/>
        <s v="Rio das Pedras"/>
        <s v="Rio Grande da Serra"/>
        <s v="Riolândia"/>
        <s v="Riversul"/>
        <s v="Rosana"/>
        <s v="Roseira"/>
        <s v="Rubiácea"/>
        <s v="Rubinéia"/>
        <s v="Sabino"/>
        <s v="Sagres"/>
        <s v="Sales"/>
        <s v="Sales Oliveira"/>
        <s v="Salesópolis"/>
        <s v="Salmourão"/>
        <s v="Saltinho"/>
        <s v="Salto"/>
        <s v="Salto de Pirapora"/>
        <s v="Salto Grande"/>
        <s v="Sandovalina"/>
        <s v="Santa Adélia"/>
        <s v="Santa Albertina"/>
        <s v="Santa Bárbara D'Oeste"/>
        <s v="Santa Branca"/>
        <s v="Santa Clara d'Oeste"/>
        <s v="Santa Cruz da Conceição"/>
        <s v="Santa Cruz da Esperança"/>
        <s v="Santa Cruz das Palmeiras"/>
        <s v="Santa Cruz do Rio Pardo"/>
        <s v="Santa Ernestina"/>
        <s v="Santa Fé do Sul"/>
        <s v="Santa Gertrudes"/>
        <s v="Santa Isabel"/>
        <s v="Santa Lúcia"/>
        <s v="Santa Maria da Serra"/>
        <s v="Santa Mercedes"/>
        <s v="Santa Rita do Passa Quatro"/>
        <s v="Santa Rita d'Oeste"/>
        <s v="Santa Rosa de Viterbo"/>
        <s v="Santa Salete"/>
        <s v="Santana da Ponte Pensa"/>
        <s v="Santana de Parnaíba"/>
        <s v="Santo Anastácio"/>
        <s v="Santo André"/>
        <s v="Santo Antônio da Alegria"/>
        <s v="Santo Antônio de Posse"/>
        <s v="Santo Antônio do Aracanguá"/>
        <s v="Santo Antônio do Jardim"/>
        <s v="Santo Antônio do Pinhal"/>
        <s v="Santo Expedito"/>
        <s v="Santópolis do Aguapeí"/>
        <s v="Santos"/>
        <s v="São Bento do Sapucaí"/>
        <s v="São Bernardo do Campo"/>
        <s v="São Caetano do Sul"/>
        <s v="São Carlos"/>
        <s v="São Francisco"/>
        <s v="São João da Boa Vista"/>
        <s v="São João das Duas Pontes"/>
        <s v="São João de Iracema"/>
        <s v="São João do Pau d'Alho"/>
        <s v="São Joaquim da Barra"/>
        <s v="São José da Bela Vista"/>
        <s v="São José do Barreiro"/>
        <s v="São José do Rio Pardo"/>
        <s v="São José do Rio Preto"/>
        <s v="São José dos Campos"/>
        <s v="São Lourenço da Serra"/>
        <s v="São Luís do Paraitinga"/>
        <s v="São Manuel"/>
        <s v="São Miguel Arcanjo"/>
        <s v="São Paulo"/>
        <s v="São Pedro"/>
        <s v="São Pedro do Turvo"/>
        <s v="São Roque"/>
        <s v="São Sebastião"/>
        <s v="São Sebastião da Grama"/>
        <s v="São Simão"/>
        <s v="São Vicente"/>
        <s v="Sarapuí"/>
        <s v="Sarutaiá"/>
        <s v="Sebastianópolis do Sul"/>
        <s v="Serra Azul"/>
        <s v="Serra Negra"/>
        <s v="Serrana"/>
        <s v="Sertãozinho"/>
        <s v="Sete Barras"/>
        <s v="Severínia"/>
        <s v="Silveiras"/>
        <s v="Socorro"/>
        <s v="Sorocaba"/>
        <s v="Sud Mennucci"/>
        <s v="Sumaré"/>
        <s v="Suzanápolis"/>
        <s v="Suzano"/>
        <s v="Tabapuã"/>
        <s v="Tabatinga"/>
        <s v="Taboão da Serra"/>
        <s v="Taciba"/>
        <s v="Taguaí"/>
        <s v="Taiaçu"/>
        <s v="Taiúva"/>
        <s v="Tambaú"/>
        <s v="Tanabi"/>
        <s v="Tapiraí"/>
        <s v="Tapiratiba"/>
        <s v="Taquaral"/>
        <s v="Taquaritinga"/>
        <s v="Taquarituba"/>
        <s v="Taquarivaí"/>
        <s v="Tarabai"/>
        <s v="Tarumã"/>
        <s v="Tatuí"/>
        <s v="Taubaté"/>
        <s v="Tejupá"/>
        <s v="Teodoro Sampaio"/>
        <s v="Terra Roxa"/>
        <s v="Tietê"/>
        <s v="Timburi"/>
        <s v="Torre de Pedra"/>
        <s v="Torrinha"/>
        <s v="Trabiju"/>
        <s v="Tremembé"/>
        <s v="Três Fronteiras"/>
        <s v="Tuiuti"/>
        <s v="Tupã"/>
        <s v="Tupi Paulista"/>
        <s v="Turiúba"/>
        <s v="Turmalina"/>
        <s v="Ubarana"/>
        <s v="Ubatuba"/>
        <s v="Ubirajara"/>
        <s v="Uchoa"/>
        <s v="União Paulista"/>
        <s v="Urânia"/>
        <s v="Uru"/>
        <s v="Urupês"/>
        <s v="Valentim Gentil"/>
        <s v="Valinhos"/>
        <s v="Valparaíso"/>
        <s v="Vargem"/>
        <s v="Vargem Grande do Sul"/>
        <s v="Vargem Grande Paulista"/>
        <s v="Várzea Paulista"/>
        <s v="Vera Cruz"/>
        <s v="Vinhedo"/>
        <s v="Viradouro"/>
        <s v="Vista Alegre do Alto"/>
        <s v="Vitória Brasil"/>
        <s v="Votorantim"/>
        <s v="Votuporanga"/>
        <s v="Zacarias"/>
      </sharedItems>
    </cacheField>
    <cacheField name="ID_Agência" numFmtId="0">
      <sharedItems count="46">
        <s v="13"/>
        <s v="36"/>
        <s v="35"/>
        <s v="25"/>
        <s v="6"/>
        <s v="28"/>
        <s v="8"/>
        <s v="17"/>
        <s v="29"/>
        <s v="7"/>
        <s v="31"/>
        <s v="2"/>
        <s v="18"/>
        <s v="41"/>
        <s v="23"/>
        <s v="1"/>
        <s v="3"/>
        <s v="27"/>
        <s v="9"/>
        <s v="40"/>
        <s v="20"/>
        <s v="11"/>
        <s v="39"/>
        <s v="15"/>
        <s v="22"/>
        <s v="16"/>
        <s v="4"/>
        <s v="5"/>
        <s v="30"/>
        <s v="19"/>
        <s v="26"/>
        <s v="12"/>
        <s v="24"/>
        <s v="34"/>
        <s v="21"/>
        <s v="37"/>
        <s v="32"/>
        <s v="10"/>
        <s v="38"/>
        <s v="14"/>
        <s v="43"/>
        <s v="33"/>
        <s v="42"/>
        <e v="#N/A"/>
        <e v="#REF!" u="1"/>
        <s v="44" u="1"/>
      </sharedItems>
    </cacheField>
    <cacheField name="Municípios" numFmtId="0">
      <sharedItems containsBlank="1"/>
    </cacheField>
    <cacheField name="Informação 1" numFmtId="0">
      <sharedItems containsBlank="1"/>
    </cacheField>
    <cacheField name="Informação 2" numFmtId="0">
      <sharedItems containsNonDate="0" containsString="0" containsBlank="1"/>
    </cacheField>
    <cacheField name="Informação 3" numFmtId="0">
      <sharedItems containsBlank="1" count="88">
        <s v="Agência Ambiental de Dracena"/>
        <s v="Agência Ambiental de São José do Rio Preto"/>
        <s v="Agência Ambiental de São João da Boa Vista"/>
        <s v="Agência Ambiental de Mogi Guaçu"/>
        <s v="Agência Ambiental de Avaré"/>
        <s v="Agência Ambiental de Piracicaba"/>
        <s v="Agência Ambiental de Bauru"/>
        <s v="Agência Ambiental de Itapetininga"/>
        <s v="Agência Ambiental de Presidente Prudente"/>
        <s v="Agência Ambiental de Barretos"/>
        <s v="Agência Ambiental de Ribeirão Preto"/>
        <s v="Agência Ambiental de Araçatuba"/>
        <s v="Agência Ambiental de Itu"/>
        <s v="Agência Ambiental de Votuporanga"/>
        <s v="Agência Ambiental de Marília"/>
        <s v="Agência Ambiental de Americana"/>
        <s v="Agência Ambiental de Araraquara"/>
        <s v="Agência Ambiental de Paulínia"/>
        <s v="Agência Ambiental de Botucatu"/>
        <s v="Agência Ambiental de Taubaté"/>
        <s v="Agência Ambiental de Jales"/>
        <s v="Agência Ambiental de Capão Bonito"/>
        <s v="Agência Ambiental de Sorocaba"/>
        <s v="Agência Ambiental de Franca"/>
        <s v="Agência Ambiental de Limeira"/>
        <s v="Agência Ambiental de Guarulhos"/>
        <s v="Agência Ambiental de Assis"/>
        <s v="Agência Ambiental de Atibaia"/>
        <s v="Agência Ambiental de Registro"/>
        <s v="Agência Ambiental de Jaboticabal"/>
        <s v="Agência Ambiental de Osasco"/>
        <s v="Agência Ambiental de Cubatão"/>
        <s v="Agência Ambiental de Mogi das Cruzes"/>
        <s v="Agência Ambiental de São Carlos"/>
        <s v="Agência Ambiental de Jundiaí"/>
        <s v="Agência Ambiental de São José dos Campos"/>
        <s v="Agência Ambiental de Santana"/>
        <s v="Agência Ambiental de Campinas"/>
        <s v="Agência Ambiental de São Sebastião"/>
        <s v="Agência Ambiental de Embu das Artes"/>
        <s v="Agência Ambiental do ABC II"/>
        <s v="Agência Ambiental de Santos"/>
        <s v="Agência Ambiental do ABC I"/>
        <s v=""/>
        <m u="1"/>
        <s v="Agência Ambiental de Taubaté  " u="1"/>
        <s v="Agência Ambiental de São José do Rio Preto  " u="1"/>
        <s v="Agência Ambiental de Capão Bonito  " u="1"/>
        <s v="Agência Ambiental de Presidente Prudente  " u="1"/>
        <s v="Agência Ambiental de Assis  " u="1"/>
        <s v="Agência Ambiental de Jaboticabal  " u="1"/>
        <s v="Agência Ambiental de Atibaia  " u="1"/>
        <s v="Agência Ambiental de Barretos  " u="1"/>
        <s v="Agência Ambiental de Araçatuba  " u="1"/>
        <s v="Agência Ambiental de Piracicaba  " u="1"/>
        <s v="Agência Ambiental de Franca  " u="1"/>
        <s v="Agência Ambiental de Santos  " u="1"/>
        <s v="Agência Ambiental de Mogi das Cruzes  " u="1"/>
        <s v="Agência Ambiental de Bauru  " u="1"/>
        <s v="Agência Ambiental de Dracena  " u="1"/>
        <s v="Agência Ambiental de Avaré  " u="1"/>
        <s v="Agência Ambiental de Ribeirão Preto  " u="1"/>
        <s v="Agência Ambiental de São João da Boa Vista  " u="1"/>
        <s v="Agência Ambiental de São José dos Campos  " u="1"/>
        <s v="Agência Ambiental de Limeira  " u="1"/>
        <s v="Agência Ambiental de Embu das Artes  " u="1"/>
        <s v="Agência Ambiental do ABC I  " u="1"/>
        <s v="Agência Ambiental de Campinas  " u="1"/>
        <s v="Agência Ambiental de Votuporanga  " u="1"/>
        <s v="Agência Ambiental de Guarulhos  " u="1"/>
        <s v="Agência Ambiental de Mogi Guaçu  " u="1"/>
        <s v="Agência Ambiental do ABC II  " u="1"/>
        <s v="Agência Ambiental de Registro  " u="1"/>
        <s v="Agência Ambiental de Marília  " u="1"/>
        <s v="Agência Ambiental de Santana  " u="1"/>
        <s v="Agência Ambiental de Americana  " u="1"/>
        <s v="Agência Ambiental de São Carlos  " u="1"/>
        <s v="Agência Ambiental de Osasco  " u="1"/>
        <s v="Agência Ambiental de Paulínia  " u="1"/>
        <s v="Agência Ambiental de Jales  " u="1"/>
        <s v="Agência Ambiental de Araraquara  " u="1"/>
        <s v="Agência Ambiental de Botucatu  " u="1"/>
        <s v="Agência Ambiental de Itu  " u="1"/>
        <s v="Agência Ambiental de Jundiaí  " u="1"/>
        <s v="Agência Ambiental de Cubatão  " u="1"/>
        <s v="Agência Ambiental de São Sebastião  " u="1"/>
        <s v="Agência Ambiental de Itapetininga  " u="1"/>
        <s v="Agência Ambiental de Sorocaba  " u="1"/>
      </sharedItems>
    </cacheField>
    <cacheField name="Informação 4" numFmtId="0">
      <sharedItems containsBlank="1" count="43">
        <s v="Rua Tomé de Souza   nº438  "/>
        <s v="Av. Mário Andreazza   nº  "/>
        <s v="Rua Marechal Deodoro   nº345  "/>
        <s v="Rua Hugo Pancieira   nº400  "/>
        <s v="Av Governador Mário Covas   nº525  "/>
        <s v="Rua do Rosário   nº566  "/>
        <s v="Av. Rodrigues Alves - Quadra 38   nº138  "/>
        <s v="Rua General Carneiro   nº196  "/>
        <s v="Rua João Gonçalves Foz   nº1738  "/>
        <s v="Rua Bolívia   nº2255  "/>
        <s v="Av. Presidente Kennedy   nº1760  "/>
        <s v="Rua Ten. Alcides Teodoro dos Santos   nº260  "/>
        <s v="Rua Santa Rita   nº1165  "/>
        <s v="Av. Deputado Aureo Ferreira   nº1724  "/>
        <s v="Rua Santa Helena   nº436  "/>
        <s v="Rua Florindo Cibin   nº435  "/>
        <s v="Av. Castro Alves   nº1271  "/>
        <s v="Rua Angelo Varandas   nº550  "/>
        <s v="Rua João Morato da Conceição   nº525  "/>
        <s v="Av. Itambé   nº38  "/>
        <s v="Rua Nova Iorque   nº1016  "/>
        <s v="Rua Denise   nº131  "/>
        <s v="Av. Américo de Carvalho   nº820  "/>
        <s v="Av. Dr. Flávio Rocha   nº4551  "/>
        <s v="Av. Vitório Bortolan   nº1450  "/>
        <s v="Avenida Emílio Ribas    nº1120  "/>
        <s v="Via Chico Mendes   nº75  "/>
        <s v="Av. Nove de Julho   nº266  "/>
        <s v="Rua São Bento   nº249  "/>
        <s v="Av. Angelo Morello   nº60  "/>
        <s v="Rua Anete Queiroz Lacerda   nº80  "/>
        <s v="Rua Salgado Filho   nº353  "/>
        <s v="Av João XXIII   nº165  "/>
        <s v="Avenida das Azaléias   nº700  "/>
        <s v="Rua João Ferrara   nº555  "/>
        <s v="Av. Olivo Gomes   nº100  "/>
        <s v="Av. Santa Inês   nº1796  "/>
        <s v="Rua São Carlos   nº277  "/>
        <s v="Rua Francisco da Cruz Maldonado   nº132  "/>
        <s v="Rua João Paulo I   nº495  "/>
        <s v="Rua dos Vianas   nº625  "/>
        <s v="Rua Delfim Moreira   nº56  "/>
        <m/>
      </sharedItems>
    </cacheField>
    <cacheField name="Informação 5" numFmtId="0">
      <sharedItems containsBlank="1" count="38">
        <s v="Bairro: Centro "/>
        <s v="Bairro: Jd. São Marcos "/>
        <s v="Bairro: Pedregulhal "/>
        <s v="Bairro: Vila Industrial "/>
        <s v="Bairro: V. Coralina "/>
        <s v="Bairro: Jardim das Rosas "/>
        <s v="Bairro: América "/>
        <s v="Bairro: Ribeirânia "/>
        <s v="Bairro: Aviação "/>
        <s v="Bairro: Vila Paes "/>
        <s v="Bairro: Jd. Alvorada "/>
        <s v="Bairro: V. Medon "/>
        <s v="Bairro: Carmo "/>
        <s v="Bairro: Jd. Santa Terezinha "/>
        <s v="Bairro: Vila Maria "/>
        <s v="Bairro: Sta. Luzia "/>
        <s v="Bairro: Jardim Monte Rrey "/>
        <s v="Bairro: Terras de Imbirucu "/>
        <s v="Bairro: Jd. Europa "/>
        <s v="Bairro: Pq. dos Pinhais "/>
        <s v="Bairro: Pq. Abílio Pedro "/>
        <s v="Bairro: Gopouva "/>
        <s v="Bairro: Quinta dos Flamboyants "/>
        <s v="Bairro: Jd. São Nicolau "/>
        <s v="Bairro: Jardim Santa Rosa "/>
        <s v="Bairro: Butantã "/>
        <s v="Bairro: Jd. Costa e Silva "/>
        <s v="Bairro: Socorro "/>
        <s v="Bairro: Cidade Jardim "/>
        <s v="Bairro: Jd. Pitangueiras II "/>
        <s v="Bairro: Pq. da Cidade/Santana "/>
        <s v="Bairro: Horto Florestal "/>
        <s v="Bairro: V. Industrial "/>
        <s v="Bairro: Portal da Olaria "/>
        <s v="Bairro: Jd. São Luiz "/>
        <s v="Bairro: Baeta Neves "/>
        <s v="Bairro: Embaré "/>
        <m/>
      </sharedItems>
    </cacheField>
    <cacheField name="Informação 6" numFmtId="0">
      <sharedItems containsBlank="1" count="42">
        <s v="Cidade: DRACENA "/>
        <s v="Cidade: SÃO JOSÉ DO RIO PRETO "/>
        <s v="Cidade: SÃO JOÃO DA BOA VISTA "/>
        <s v="Cidade: MOGI GUAÇU "/>
        <s v="Cidade: AVARÉ "/>
        <s v="Cidade: PIRACICABA "/>
        <s v="Cidade: BAURU "/>
        <s v="Cidade: ITAPETININGA "/>
        <s v="Cidade: PRESIDENTE PRUDENTE "/>
        <s v="Cidade: BARRETOS "/>
        <s v="Cidade: RIBEIRÃO PRETO "/>
        <s v="Cidade: ARAÇATUBA "/>
        <s v="Cidade: ITU "/>
        <s v="Cidade: VOTUPORANGA "/>
        <s v="Cidade: MARÍLIA "/>
        <s v="Cidade: AMERICANA "/>
        <s v="Cidade: ARARAQUARA "/>
        <s v="Cidade: PAULÍNIA "/>
        <s v="Cidade: BOTUCATU "/>
        <s v="Cidade: TAUBATÉ "/>
        <s v="Cidade: JALES "/>
        <s v="Cidade: CAPÃO BONITO "/>
        <s v="Cidade: SOROCABA "/>
        <s v="Cidade: FRANCA "/>
        <s v="Cidade: LIMEIRA "/>
        <s v="Cidade: GUARULHOS "/>
        <s v="Cidade: ASSIS "/>
        <s v="Cidade: ATIBAIA "/>
        <s v="Cidade: REGISTRO "/>
        <s v="Cidade: JABOTICABAL "/>
        <s v="Cidade: SÃO PAULO "/>
        <s v="Cidade: CUBATÃO "/>
        <s v="Cidade: MOGI DAS CRUZES "/>
        <s v="Cidade: SÃO CARLOS "/>
        <s v="Cidade: JUNDIAÍ "/>
        <s v="Cidade: SÃO JOSÉ DOS CAMPOS "/>
        <s v="Cidade: CAMPINAS "/>
        <s v="Cidade: SÃO SEBASTIÃO "/>
        <s v="Cidade: EMBU DAS ARTES "/>
        <s v="Cidade: SÃO BERNARDO DO CAMPO "/>
        <s v="Cidade: SANTOS "/>
        <m/>
      </sharedItems>
    </cacheField>
    <cacheField name="Informação 7" numFmtId="0">
      <sharedItems containsBlank="1" count="43">
        <s v="CEP: 17900000"/>
        <s v="CEP: 15081490"/>
        <s v="CEP: 13870223"/>
        <s v="CEP: 13845190"/>
        <s v="CEP: 18705851"/>
        <s v="CEP: 13400183"/>
        <s v="CEP: 17030000"/>
        <s v="CEP: 18200024"/>
        <s v="CEP: 19060050"/>
        <s v="CEP: 14783197"/>
        <s v="CEP: 14096350"/>
        <s v="CEP: 16055557"/>
        <s v="CEP: 13300065"/>
        <s v="CEP: 15500112"/>
        <s v="CEP: 17513322"/>
        <s v="CEP: 13465230"/>
        <s v="CEP: 14800140"/>
        <s v="CEP: 13140802"/>
        <s v="CEP: 18611358"/>
        <s v="CEP: 12091200"/>
        <s v="CEP: 15703326"/>
        <s v="CEP: 18304700"/>
        <s v="CEP: 18045000"/>
        <s v="CEP: 14405600"/>
        <s v="CEP: 13483132"/>
        <s v="CEP: 7020010"/>
        <s v="CEP: 19810005"/>
        <s v="CEP: 12940580"/>
        <s v="CEP: 11900000"/>
        <s v="CEP: 14875290"/>
        <s v="CEP: 5591080"/>
        <s v="CEP: 11500270"/>
        <s v="CEP: 8830000"/>
        <s v="CEP: 13566500"/>
        <s v="CEP: 13206714"/>
        <s v="CEP: 12211115"/>
        <s v="CEP: 2415002"/>
        <s v="CEP: 13035420"/>
        <s v="CEP: 11600000"/>
        <s v="CEP: 6816550"/>
        <s v="CEP: 9760040"/>
        <s v="CEP: 11040100"/>
        <m/>
      </sharedItems>
    </cacheField>
    <cacheField name="Informação 8" numFmtId="0">
      <sharedItems containsBlank="1" count="43">
        <s v="Fone: 18 - 38223166"/>
        <s v="Fone: 17 - 32184300"/>
        <s v="Fone: 19 - 36331510"/>
        <s v="Fone: 19 - 38180396"/>
        <s v="Fone: 14 - 37324900"/>
        <s v="Fone: 19 - 34026863"/>
        <s v="Fone: 14 - 32032058"/>
        <s v="Fone: 15 - 32722888"/>
        <s v="Fone: 18 - 32235001"/>
        <s v="Fone: 17 - 33222655"/>
        <s v="Fone: 16 - 36174700"/>
        <s v="Fone: 18 - 36088053"/>
        <s v="Fone: 11 - 40133419"/>
        <s v="Fone: 17 - 34214004"/>
        <s v="Fone: 14 - 34224666"/>
        <s v="Fone: 19 - 34611550"/>
        <s v="Fone: 16 - 33322211"/>
        <s v="Fone: 19 - 38440466"/>
        <s v="Fone: 14 - 38821134"/>
        <s v="Fone: 12 - 36348222"/>
        <s v="Fone: 17 - 36211042"/>
        <s v="Fone: 15 - 35423885"/>
        <s v="Fone: 15 - 32222065"/>
        <s v="Fone: 16 - 37245922"/>
        <s v="Fone: 19 - 34516203"/>
        <s v="Fone: 11 - 22290031"/>
        <s v="Fone: 18 - 33244177"/>
        <s v="Fone: 11 - 44110662"/>
        <s v="Fone: 13 - 38223855"/>
        <s v="Fone: 16 - 32039400"/>
        <s v="Fone: 11 - 37219600"/>
        <s v="Fone: 13 - 33616663"/>
        <s v="Fone: 11 - 47257490"/>
        <s v="Fone: 16 - 33612004"/>
        <s v="Fone: 11 - 48171898"/>
        <s v="Fone: 12 - 39119536"/>
        <s v="Fone: 11 - 22613291"/>
        <s v="Fone: 19 - 37726600"/>
        <s v="Fone: 12 - 38622300"/>
        <s v="Fone: 11 - 47048835"/>
        <s v="Fone: 11 - 41234555"/>
        <s v="Fone: 13 - 32277767"/>
        <m/>
      </sharedItems>
    </cacheField>
    <cacheField name="Informação 9" numFmtId="0">
      <sharedItems containsBlank="1" count="40">
        <s v="Fax: 18 - 38223166"/>
        <s v="Fax: 17 - 32184300"/>
        <s v="Fax: 19 - 36331510"/>
        <s v="Fax: 19 - 38180396"/>
        <s v="Fax:  - "/>
        <s v="Fax: 19 - 34026863"/>
        <s v="Fax: 14 - 32032344"/>
        <s v="Fax: 15 - 32722891"/>
        <s v="Fax: 17 - 33222952"/>
        <s v="Fax: 16 - 36174207"/>
        <s v="Fax: 18 - 36087197"/>
        <s v="Fax: 11 - 40133419"/>
        <s v="Fax: 17 - 34214004"/>
        <s v="Fax: 14 - 34224666"/>
        <s v="Fax: 19 - 34611550"/>
        <s v="Fax: 16 - 33322211"/>
        <s v="Fax: 19 - 38440466"/>
        <s v="Fax: 14 - 38821134"/>
        <s v="Fax: 12 - 36348234"/>
        <s v="Fax: 17 - 36211042"/>
        <s v="Fax: 15 - 35423885"/>
        <s v="Fax: 15 - 32222065"/>
        <s v="Fax: 16 - 37245922"/>
        <s v="Fax: 19 - 34516203"/>
        <s v="Fax: 11 - 22290031"/>
        <s v="Fax: 18 - 33244177"/>
        <s v="Fax: 11 - 44110662"/>
        <s v="Fax: 13 - 38224437"/>
        <s v="Fax: 16 - 32039400"/>
        <s v="Fax: 11 - 37219600"/>
        <s v="Fax: 13 - 33616743"/>
        <s v="Fax: 16 - 33612004"/>
        <s v="Fax: 11 - 45873597"/>
        <s v="Fax: 12 - 39119536"/>
        <s v="Fax: 19 - 37726624"/>
        <s v="Fax: 12 - 38622300"/>
        <s v="Fax: 11 - 47048835"/>
        <s v="Fax: 11 - 41234555"/>
        <s v="Fax: 13 - 32277767"/>
        <m/>
      </sharedItems>
    </cacheField>
    <cacheField name="Informação 10" numFmtId="0">
      <sharedItems containsBlank="1" count="44">
        <s v="E-mail: dracena@cetesbnet.sp.gov.br"/>
        <s v="E-mail: riopreto@cetesbnet.sp.gov.br"/>
        <s v="E-mail: sjboavista@cetesbnet.sp.gov.br"/>
        <s v="E-mail: mogiguacu@cetesbnet.sp.gov.br"/>
        <s v="E-mail: avare@cetesbnet.sp.gov.br"/>
        <s v="E-mail: piracicaba@cetesbnet.sp.gov.br"/>
        <s v="E-mail: bauru@cetesbnet.sp.gov.br"/>
        <s v="E-mail: itapetininga@cetesbnet.sp.gov.br"/>
        <s v="E-mail: prudente@cetesbnet.sp.gov.br"/>
        <s v="E-mail: barretos@cetesbnet.sp.gov.br"/>
        <s v="E-mail: ribeirao@cetesbnet.sp.gov.br"/>
        <s v="E-mail: aracatuba@cetesbnet.sp.gov.br"/>
        <s v="E-mail: itu@cetesbnet.sp.gov.br"/>
        <s v="E-mail: votuporanga@cetesbnet.sp.gov.br"/>
        <s v="E-mail: marilia@cetesbnet.sp.gov.br"/>
        <s v="E-mail: americana@cetesbnet.sp.gov.br"/>
        <s v="E-mail: araraquara@cetesbnet.sp.gov.br"/>
        <s v="E-mail: paulinia@cetesbnet.sp.gov.br"/>
        <s v="E-mail: botucatu@cetesbnet.sp.gov.br"/>
        <s v="E-mail: taubate@cetesbnet.sp.gov.br"/>
        <s v="E-mail: jales@cetesbnet.sp.gov.br"/>
        <s v="E-mail: capaobonito@cetesbnet.sp.gov.br"/>
        <s v="E-mail: sorocaba@cetesbnet.sp.gov.br"/>
        <s v="E-mail: franca@cetesbnet.sp.gov.br"/>
        <s v="E-mail: limeira@cetesbnet.sp.gov.br"/>
        <s v="E-mail: guarulhos@cetesbnet.sp.gov.br"/>
        <s v="E-mail: assis@cetesbnet.sp.gov.br"/>
        <s v="E-mail: atibaia@cetesbnet.sp.gov.br"/>
        <s v="E-mail: registro@cetesbnet.sp.gov.br"/>
        <s v="E-mail: jaboticabal@cetesbnet.sp.gov.br"/>
        <s v="E-mail: osasco@cetesbnet.sp.gov.br"/>
        <s v="E-mail: cubatao@cetesbnet.sp.gov.br"/>
        <s v="E-mail: mogi@cetesbnet.sp.gov.br"/>
        <s v="E-mail: saocarlos@cetesbnet.sp.gov.br"/>
        <s v="E-mail: jundiai@cetesbnet.sp.gov.br"/>
        <s v="E-mail: sjcampos@cetesbnet.sp.gov.br"/>
        <s v="E-mail: santana@cetesbnet.sp.gov.br"/>
        <s v="E-mail: campinasI@cetesbnet.sp.gov.br"/>
        <s v="E-mail: ssebastiao@cetesbnet.sp.gov.br"/>
        <s v="E-mail: embu@cetesbnet.sp.gov.br"/>
        <s v="E-mail: abc2@cetesbnet.sp.gov.br"/>
        <s v="E-mail: santos@cetesbnet.sp.gov.br"/>
        <s v="E-mail: abc1@cetesbnet.sp.gov.br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45">
  <r>
    <n v="1"/>
    <x v="0"/>
    <s v=""/>
    <s v=""/>
    <s v=""/>
    <s v=""/>
    <x v="0"/>
    <x v="0"/>
    <s v="ADAMANTINA"/>
    <s v="ADAMANTINA"/>
    <m/>
    <x v="0"/>
    <x v="0"/>
    <x v="0"/>
    <x v="0"/>
    <x v="0"/>
    <x v="0"/>
    <x v="0"/>
    <x v="0"/>
  </r>
  <r>
    <n v="2"/>
    <x v="1"/>
    <s v=""/>
    <s v=""/>
    <s v=""/>
    <s v=""/>
    <x v="1"/>
    <x v="1"/>
    <s v="ADOLFO"/>
    <s v="ADOLFO"/>
    <m/>
    <x v="1"/>
    <x v="1"/>
    <x v="1"/>
    <x v="1"/>
    <x v="1"/>
    <x v="1"/>
    <x v="1"/>
    <x v="1"/>
  </r>
  <r>
    <n v="3"/>
    <x v="2"/>
    <s v=""/>
    <s v=""/>
    <s v=""/>
    <s v=""/>
    <x v="2"/>
    <x v="2"/>
    <s v="AGUAÍ"/>
    <s v="AGUAÍ"/>
    <m/>
    <x v="2"/>
    <x v="2"/>
    <x v="0"/>
    <x v="2"/>
    <x v="2"/>
    <x v="2"/>
    <x v="2"/>
    <x v="2"/>
  </r>
  <r>
    <n v="4"/>
    <x v="3"/>
    <s v=""/>
    <s v=""/>
    <s v=""/>
    <s v=""/>
    <x v="3"/>
    <x v="2"/>
    <s v="ÁGUAS DA PRATA"/>
    <s v="ÁGUAS DA PRATA"/>
    <m/>
    <x v="2"/>
    <x v="2"/>
    <x v="0"/>
    <x v="2"/>
    <x v="2"/>
    <x v="2"/>
    <x v="2"/>
    <x v="2"/>
  </r>
  <r>
    <n v="5"/>
    <x v="4"/>
    <s v=""/>
    <s v=""/>
    <s v=""/>
    <s v=""/>
    <x v="4"/>
    <x v="3"/>
    <s v="ÁGUAS DE LINDÓIA"/>
    <s v="ÁGUAS DE LINDÓIA"/>
    <m/>
    <x v="3"/>
    <x v="3"/>
    <x v="2"/>
    <x v="3"/>
    <x v="3"/>
    <x v="3"/>
    <x v="3"/>
    <x v="3"/>
  </r>
  <r>
    <n v="6"/>
    <x v="5"/>
    <s v=""/>
    <s v=""/>
    <s v=""/>
    <s v=""/>
    <x v="5"/>
    <x v="4"/>
    <s v="ÁGUAS DE SANTA BÁRBARA"/>
    <s v="ÁGUAS DE SANTA BÁRBARA"/>
    <m/>
    <x v="4"/>
    <x v="4"/>
    <x v="3"/>
    <x v="4"/>
    <x v="4"/>
    <x v="4"/>
    <x v="4"/>
    <x v="4"/>
  </r>
  <r>
    <n v="7"/>
    <x v="6"/>
    <s v=""/>
    <s v=""/>
    <s v=""/>
    <s v=""/>
    <x v="6"/>
    <x v="5"/>
    <s v="ÁGUAS DE SÃO PEDRO"/>
    <s v="ÁGUAS DE SÃO PEDRO"/>
    <m/>
    <x v="5"/>
    <x v="5"/>
    <x v="0"/>
    <x v="5"/>
    <x v="5"/>
    <x v="5"/>
    <x v="5"/>
    <x v="5"/>
  </r>
  <r>
    <n v="8"/>
    <x v="7"/>
    <s v=""/>
    <s v=""/>
    <s v=""/>
    <s v=""/>
    <x v="7"/>
    <x v="6"/>
    <s v="AGUDOS"/>
    <s v="AGUDOS"/>
    <m/>
    <x v="6"/>
    <x v="6"/>
    <x v="4"/>
    <x v="6"/>
    <x v="6"/>
    <x v="6"/>
    <x v="6"/>
    <x v="6"/>
  </r>
  <r>
    <n v="9"/>
    <x v="8"/>
    <s v=""/>
    <s v=""/>
    <s v=""/>
    <s v=""/>
    <x v="8"/>
    <x v="7"/>
    <s v="ALAMBARI"/>
    <s v="ALAMBARI"/>
    <m/>
    <x v="7"/>
    <x v="7"/>
    <x v="0"/>
    <x v="7"/>
    <x v="7"/>
    <x v="7"/>
    <x v="7"/>
    <x v="7"/>
  </r>
  <r>
    <n v="10"/>
    <x v="9"/>
    <s v=""/>
    <s v=""/>
    <s v=""/>
    <s v=""/>
    <x v="9"/>
    <x v="8"/>
    <s v="ALFREDO MARCONDES"/>
    <s v="ALFREDO MARCONDES"/>
    <m/>
    <x v="8"/>
    <x v="8"/>
    <x v="5"/>
    <x v="8"/>
    <x v="8"/>
    <x v="8"/>
    <x v="4"/>
    <x v="8"/>
  </r>
  <r>
    <n v="11"/>
    <x v="10"/>
    <s v=""/>
    <s v=""/>
    <s v=""/>
    <s v=""/>
    <x v="10"/>
    <x v="9"/>
    <s v="ALTAIR"/>
    <s v="ALTAIR"/>
    <m/>
    <x v="9"/>
    <x v="9"/>
    <x v="6"/>
    <x v="9"/>
    <x v="9"/>
    <x v="9"/>
    <x v="8"/>
    <x v="9"/>
  </r>
  <r>
    <n v="12"/>
    <x v="11"/>
    <s v=""/>
    <s v=""/>
    <s v=""/>
    <s v=""/>
    <x v="11"/>
    <x v="10"/>
    <s v="ALTINÓPOLIS"/>
    <s v="ALTINÓPOLIS"/>
    <m/>
    <x v="10"/>
    <x v="10"/>
    <x v="7"/>
    <x v="10"/>
    <x v="10"/>
    <x v="10"/>
    <x v="9"/>
    <x v="10"/>
  </r>
  <r>
    <n v="13"/>
    <x v="12"/>
    <s v=""/>
    <s v=""/>
    <s v=""/>
    <s v=""/>
    <x v="12"/>
    <x v="11"/>
    <s v="ALTO ALEGRE"/>
    <s v="ALTO ALEGRE"/>
    <m/>
    <x v="11"/>
    <x v="11"/>
    <x v="8"/>
    <x v="11"/>
    <x v="11"/>
    <x v="11"/>
    <x v="10"/>
    <x v="11"/>
  </r>
  <r>
    <n v="14"/>
    <x v="13"/>
    <s v=""/>
    <s v=""/>
    <s v=""/>
    <s v=""/>
    <x v="13"/>
    <x v="12"/>
    <s v="ALUMÍNIO"/>
    <s v="ALUMÍNIO"/>
    <m/>
    <x v="12"/>
    <x v="12"/>
    <x v="0"/>
    <x v="12"/>
    <x v="12"/>
    <x v="12"/>
    <x v="11"/>
    <x v="12"/>
  </r>
  <r>
    <n v="15"/>
    <x v="14"/>
    <s v=""/>
    <s v=""/>
    <s v=""/>
    <s v=""/>
    <x v="14"/>
    <x v="13"/>
    <s v="ÁLVARES FLORENCE"/>
    <s v="ÁLVARES FLORENCE"/>
    <m/>
    <x v="13"/>
    <x v="13"/>
    <x v="9"/>
    <x v="13"/>
    <x v="13"/>
    <x v="13"/>
    <x v="12"/>
    <x v="13"/>
  </r>
  <r>
    <n v="16"/>
    <x v="15"/>
    <s v=""/>
    <s v=""/>
    <s v=""/>
    <s v=""/>
    <x v="15"/>
    <x v="8"/>
    <s v="ÁLVARES MACHADO"/>
    <s v="ÁLVARES MACHADO"/>
    <m/>
    <x v="8"/>
    <x v="8"/>
    <x v="5"/>
    <x v="8"/>
    <x v="8"/>
    <x v="8"/>
    <x v="4"/>
    <x v="8"/>
  </r>
  <r>
    <n v="17"/>
    <x v="16"/>
    <s v=""/>
    <s v=""/>
    <s v=""/>
    <s v=""/>
    <x v="16"/>
    <x v="14"/>
    <s v="ÁLVARO DE CARVALHO"/>
    <s v="ÁLVARO DE CARVALHO"/>
    <m/>
    <x v="14"/>
    <x v="14"/>
    <x v="10"/>
    <x v="14"/>
    <x v="14"/>
    <x v="14"/>
    <x v="13"/>
    <x v="14"/>
  </r>
  <r>
    <n v="18"/>
    <x v="17"/>
    <s v=""/>
    <s v=""/>
    <s v=""/>
    <s v=""/>
    <x v="17"/>
    <x v="14"/>
    <s v="ALVINLÂNDIA"/>
    <s v="ALVINLÂNDIA"/>
    <m/>
    <x v="14"/>
    <x v="14"/>
    <x v="10"/>
    <x v="14"/>
    <x v="14"/>
    <x v="14"/>
    <x v="13"/>
    <x v="14"/>
  </r>
  <r>
    <n v="19"/>
    <x v="18"/>
    <s v=""/>
    <s v=""/>
    <s v=""/>
    <s v=""/>
    <x v="18"/>
    <x v="15"/>
    <s v="AMERICANA"/>
    <s v="AMERICANA"/>
    <m/>
    <x v="15"/>
    <x v="15"/>
    <x v="11"/>
    <x v="15"/>
    <x v="15"/>
    <x v="15"/>
    <x v="14"/>
    <x v="15"/>
  </r>
  <r>
    <n v="20"/>
    <x v="19"/>
    <s v=""/>
    <s v=""/>
    <s v=""/>
    <s v=""/>
    <x v="19"/>
    <x v="16"/>
    <s v="AMÉRICO BRASILIENSE"/>
    <s v="AMÉRICO BRASILIENSE"/>
    <m/>
    <x v="16"/>
    <x v="16"/>
    <x v="12"/>
    <x v="16"/>
    <x v="16"/>
    <x v="16"/>
    <x v="15"/>
    <x v="16"/>
  </r>
  <r>
    <n v="21"/>
    <x v="20"/>
    <s v=""/>
    <s v=""/>
    <s v=""/>
    <s v=""/>
    <x v="20"/>
    <x v="13"/>
    <s v="AMÉRICO DE CAMPOS"/>
    <s v="AMÉRICO DE CAMPOS"/>
    <m/>
    <x v="13"/>
    <x v="13"/>
    <x v="9"/>
    <x v="13"/>
    <x v="13"/>
    <x v="13"/>
    <x v="12"/>
    <x v="13"/>
  </r>
  <r>
    <n v="22"/>
    <x v="21"/>
    <s v=""/>
    <s v=""/>
    <s v=""/>
    <s v=""/>
    <x v="21"/>
    <x v="17"/>
    <s v="AMPARO"/>
    <s v="AMPARO"/>
    <m/>
    <x v="17"/>
    <x v="17"/>
    <x v="13"/>
    <x v="17"/>
    <x v="17"/>
    <x v="17"/>
    <x v="16"/>
    <x v="17"/>
  </r>
  <r>
    <n v="23"/>
    <x v="22"/>
    <s v=""/>
    <s v=""/>
    <s v=""/>
    <s v=""/>
    <x v="22"/>
    <x v="5"/>
    <s v="ANALÂNDIA"/>
    <s v="ANALÂNDIA"/>
    <m/>
    <x v="5"/>
    <x v="5"/>
    <x v="0"/>
    <x v="5"/>
    <x v="5"/>
    <x v="5"/>
    <x v="5"/>
    <x v="5"/>
  </r>
  <r>
    <n v="24"/>
    <x v="23"/>
    <s v=""/>
    <s v=""/>
    <s v=""/>
    <s v=""/>
    <x v="23"/>
    <x v="0"/>
    <s v="ANDRADINA"/>
    <s v="ANDRADINA"/>
    <m/>
    <x v="0"/>
    <x v="0"/>
    <x v="0"/>
    <x v="0"/>
    <x v="0"/>
    <x v="0"/>
    <x v="0"/>
    <x v="0"/>
  </r>
  <r>
    <n v="25"/>
    <x v="24"/>
    <s v=""/>
    <s v=""/>
    <s v=""/>
    <s v=""/>
    <x v="24"/>
    <x v="7"/>
    <s v="ANGATUBA"/>
    <s v="ANGATUBA"/>
    <m/>
    <x v="7"/>
    <x v="7"/>
    <x v="0"/>
    <x v="7"/>
    <x v="7"/>
    <x v="7"/>
    <x v="7"/>
    <x v="7"/>
  </r>
  <r>
    <n v="26"/>
    <x v="25"/>
    <s v=""/>
    <s v=""/>
    <s v=""/>
    <s v=""/>
    <x v="25"/>
    <x v="18"/>
    <s v="ANHEMBI"/>
    <s v="ANHEMBI"/>
    <m/>
    <x v="18"/>
    <x v="18"/>
    <x v="14"/>
    <x v="18"/>
    <x v="18"/>
    <x v="18"/>
    <x v="17"/>
    <x v="18"/>
  </r>
  <r>
    <n v="27"/>
    <x v="26"/>
    <s v=""/>
    <s v=""/>
    <s v=""/>
    <s v=""/>
    <x v="26"/>
    <x v="8"/>
    <s v="ANHUMAS"/>
    <s v="ANHUMAS"/>
    <m/>
    <x v="8"/>
    <x v="8"/>
    <x v="5"/>
    <x v="8"/>
    <x v="8"/>
    <x v="8"/>
    <x v="4"/>
    <x v="8"/>
  </r>
  <r>
    <n v="28"/>
    <x v="27"/>
    <s v=""/>
    <s v=""/>
    <s v=""/>
    <s v=""/>
    <x v="27"/>
    <x v="19"/>
    <s v="APARECIDA"/>
    <s v="APARECIDA"/>
    <m/>
    <x v="19"/>
    <x v="19"/>
    <x v="15"/>
    <x v="19"/>
    <x v="19"/>
    <x v="19"/>
    <x v="18"/>
    <x v="19"/>
  </r>
  <r>
    <n v="628"/>
    <x v="28"/>
    <s v=""/>
    <s v=""/>
    <s v=""/>
    <s v="Não!, Erro!"/>
    <x v="28"/>
    <x v="20"/>
    <s v="APARECIDA D`OESTE"/>
    <s v="APARECIDA D`OESTE"/>
    <m/>
    <x v="20"/>
    <x v="20"/>
    <x v="16"/>
    <x v="20"/>
    <x v="20"/>
    <x v="20"/>
    <x v="19"/>
    <x v="20"/>
  </r>
  <r>
    <n v="29"/>
    <x v="29"/>
    <s v=""/>
    <s v=""/>
    <s v=""/>
    <s v=""/>
    <x v="29"/>
    <x v="21"/>
    <s v="APIAÍ"/>
    <s v="APIAÍ"/>
    <m/>
    <x v="21"/>
    <x v="21"/>
    <x v="17"/>
    <x v="21"/>
    <x v="21"/>
    <x v="21"/>
    <x v="20"/>
    <x v="21"/>
  </r>
  <r>
    <n v="30"/>
    <x v="30"/>
    <s v=""/>
    <s v=""/>
    <s v=""/>
    <s v=""/>
    <x v="30"/>
    <x v="12"/>
    <s v="ARAÇARIGUAMA"/>
    <s v="ARAÇARIGUAMA"/>
    <m/>
    <x v="12"/>
    <x v="12"/>
    <x v="0"/>
    <x v="12"/>
    <x v="12"/>
    <x v="12"/>
    <x v="11"/>
    <x v="12"/>
  </r>
  <r>
    <n v="31"/>
    <x v="31"/>
    <s v=""/>
    <s v=""/>
    <s v=""/>
    <s v=""/>
    <x v="31"/>
    <x v="11"/>
    <s v="ARAÇATUBA"/>
    <s v="ARAÇATUBA"/>
    <m/>
    <x v="11"/>
    <x v="11"/>
    <x v="8"/>
    <x v="11"/>
    <x v="11"/>
    <x v="11"/>
    <x v="10"/>
    <x v="11"/>
  </r>
  <r>
    <n v="32"/>
    <x v="32"/>
    <s v=""/>
    <s v=""/>
    <s v=""/>
    <s v=""/>
    <x v="32"/>
    <x v="22"/>
    <s v="ARAÇOIABA DA SERRA"/>
    <s v="ARAÇOIABA DA SERRA"/>
    <m/>
    <x v="22"/>
    <x v="22"/>
    <x v="18"/>
    <x v="22"/>
    <x v="22"/>
    <x v="22"/>
    <x v="21"/>
    <x v="22"/>
  </r>
  <r>
    <n v="33"/>
    <x v="33"/>
    <s v=""/>
    <s v=""/>
    <s v=""/>
    <s v=""/>
    <x v="33"/>
    <x v="23"/>
    <s v="ARAMINA"/>
    <s v="ARAMINA"/>
    <m/>
    <x v="23"/>
    <x v="23"/>
    <x v="19"/>
    <x v="23"/>
    <x v="23"/>
    <x v="23"/>
    <x v="22"/>
    <x v="23"/>
  </r>
  <r>
    <n v="34"/>
    <x v="34"/>
    <s v=""/>
    <s v=""/>
    <s v=""/>
    <s v=""/>
    <x v="34"/>
    <x v="4"/>
    <s v="ARANDU"/>
    <s v="ARANDU"/>
    <m/>
    <x v="4"/>
    <x v="4"/>
    <x v="3"/>
    <x v="4"/>
    <x v="4"/>
    <x v="4"/>
    <x v="4"/>
    <x v="4"/>
  </r>
  <r>
    <n v="35"/>
    <x v="35"/>
    <s v=""/>
    <s v=""/>
    <s v=""/>
    <s v=""/>
    <x v="35"/>
    <x v="19"/>
    <s v="ARAPEÍ"/>
    <s v="ARAPEÍ"/>
    <m/>
    <x v="19"/>
    <x v="19"/>
    <x v="15"/>
    <x v="19"/>
    <x v="19"/>
    <x v="19"/>
    <x v="18"/>
    <x v="19"/>
  </r>
  <r>
    <n v="36"/>
    <x v="36"/>
    <s v=""/>
    <s v=""/>
    <s v=""/>
    <s v=""/>
    <x v="36"/>
    <x v="16"/>
    <s v="ARARAQUARA"/>
    <s v="ARARAQUARA"/>
    <m/>
    <x v="16"/>
    <x v="16"/>
    <x v="12"/>
    <x v="16"/>
    <x v="16"/>
    <x v="16"/>
    <x v="15"/>
    <x v="16"/>
  </r>
  <r>
    <n v="37"/>
    <x v="37"/>
    <s v=""/>
    <s v=""/>
    <s v=""/>
    <s v=""/>
    <x v="37"/>
    <x v="3"/>
    <s v="ARARAS"/>
    <s v="ARARAS"/>
    <m/>
    <x v="3"/>
    <x v="3"/>
    <x v="2"/>
    <x v="3"/>
    <x v="3"/>
    <x v="3"/>
    <x v="3"/>
    <x v="3"/>
  </r>
  <r>
    <n v="642"/>
    <x v="38"/>
    <s v="Têm Hifen"/>
    <s v=""/>
    <s v=""/>
    <s v=""/>
    <x v="38"/>
    <x v="14"/>
    <s v="ARCO-ÍRIS"/>
    <s v="ARCO-ÍRIS"/>
    <m/>
    <x v="14"/>
    <x v="14"/>
    <x v="10"/>
    <x v="14"/>
    <x v="14"/>
    <x v="14"/>
    <x v="13"/>
    <x v="14"/>
  </r>
  <r>
    <n v="38"/>
    <x v="39"/>
    <s v=""/>
    <s v=""/>
    <s v=""/>
    <s v=""/>
    <x v="39"/>
    <x v="6"/>
    <s v="AREALVA"/>
    <s v="AREALVA"/>
    <m/>
    <x v="6"/>
    <x v="6"/>
    <x v="4"/>
    <x v="6"/>
    <x v="6"/>
    <x v="6"/>
    <x v="6"/>
    <x v="6"/>
  </r>
  <r>
    <n v="39"/>
    <x v="40"/>
    <s v=""/>
    <s v=""/>
    <s v=""/>
    <s v=""/>
    <x v="40"/>
    <x v="19"/>
    <s v="AREIAS"/>
    <s v="AREIAS"/>
    <m/>
    <x v="19"/>
    <x v="19"/>
    <x v="15"/>
    <x v="19"/>
    <x v="19"/>
    <x v="19"/>
    <x v="18"/>
    <x v="19"/>
  </r>
  <r>
    <n v="40"/>
    <x v="41"/>
    <s v=""/>
    <s v=""/>
    <s v=""/>
    <s v=""/>
    <x v="41"/>
    <x v="18"/>
    <s v="AREIÓPOLIS"/>
    <s v="AREIÓPOLIS"/>
    <m/>
    <x v="18"/>
    <x v="18"/>
    <x v="14"/>
    <x v="18"/>
    <x v="18"/>
    <x v="18"/>
    <x v="17"/>
    <x v="18"/>
  </r>
  <r>
    <n v="41"/>
    <x v="42"/>
    <s v=""/>
    <s v=""/>
    <s v=""/>
    <s v=""/>
    <x v="42"/>
    <x v="1"/>
    <s v="ARIRANHA"/>
    <s v="ARIRANHA"/>
    <m/>
    <x v="1"/>
    <x v="1"/>
    <x v="1"/>
    <x v="1"/>
    <x v="1"/>
    <x v="1"/>
    <x v="1"/>
    <x v="1"/>
  </r>
  <r>
    <n v="42"/>
    <x v="43"/>
    <s v=""/>
    <s v=""/>
    <s v=""/>
    <s v=""/>
    <x v="43"/>
    <x v="24"/>
    <s v="ARTUR NOGUEIRA"/>
    <s v="ARTUR NOGUEIRA"/>
    <m/>
    <x v="24"/>
    <x v="24"/>
    <x v="20"/>
    <x v="24"/>
    <x v="24"/>
    <x v="24"/>
    <x v="23"/>
    <x v="24"/>
  </r>
  <r>
    <n v="43"/>
    <x v="44"/>
    <s v=""/>
    <s v=""/>
    <s v=""/>
    <s v=""/>
    <x v="44"/>
    <x v="25"/>
    <s v="ARUJÁ"/>
    <s v="ARUJÁ"/>
    <m/>
    <x v="25"/>
    <x v="25"/>
    <x v="21"/>
    <x v="25"/>
    <x v="25"/>
    <x v="25"/>
    <x v="24"/>
    <x v="25"/>
  </r>
  <r>
    <n v="44"/>
    <x v="45"/>
    <s v=""/>
    <s v=""/>
    <s v=""/>
    <s v=""/>
    <x v="45"/>
    <x v="20"/>
    <s v="ASPÁSIA"/>
    <s v="ASPÁSIA"/>
    <m/>
    <x v="20"/>
    <x v="20"/>
    <x v="16"/>
    <x v="20"/>
    <x v="20"/>
    <x v="20"/>
    <x v="19"/>
    <x v="20"/>
  </r>
  <r>
    <n v="45"/>
    <x v="46"/>
    <s v=""/>
    <s v=""/>
    <s v=""/>
    <s v=""/>
    <x v="46"/>
    <x v="26"/>
    <s v="ASSIS"/>
    <s v="ASSIS"/>
    <m/>
    <x v="26"/>
    <x v="26"/>
    <x v="22"/>
    <x v="26"/>
    <x v="26"/>
    <x v="26"/>
    <x v="25"/>
    <x v="26"/>
  </r>
  <r>
    <n v="46"/>
    <x v="47"/>
    <s v=""/>
    <s v=""/>
    <s v=""/>
    <s v=""/>
    <x v="47"/>
    <x v="27"/>
    <s v="ATIBAIA"/>
    <s v="ATIBAIA"/>
    <m/>
    <x v="27"/>
    <x v="27"/>
    <x v="0"/>
    <x v="27"/>
    <x v="27"/>
    <x v="27"/>
    <x v="26"/>
    <x v="27"/>
  </r>
  <r>
    <n v="47"/>
    <x v="48"/>
    <s v=""/>
    <s v=""/>
    <s v=""/>
    <s v=""/>
    <x v="48"/>
    <x v="20"/>
    <s v="AURIFLAMA"/>
    <s v="AURIFLAMA"/>
    <m/>
    <x v="20"/>
    <x v="20"/>
    <x v="16"/>
    <x v="20"/>
    <x v="20"/>
    <x v="20"/>
    <x v="19"/>
    <x v="20"/>
  </r>
  <r>
    <n v="48"/>
    <x v="49"/>
    <s v=""/>
    <s v=""/>
    <s v=""/>
    <s v=""/>
    <x v="49"/>
    <x v="6"/>
    <s v="AVAÍ"/>
    <s v="AVAÍ"/>
    <m/>
    <x v="6"/>
    <x v="6"/>
    <x v="4"/>
    <x v="6"/>
    <x v="6"/>
    <x v="6"/>
    <x v="6"/>
    <x v="6"/>
  </r>
  <r>
    <n v="49"/>
    <x v="50"/>
    <s v=""/>
    <s v=""/>
    <s v=""/>
    <s v=""/>
    <x v="50"/>
    <x v="11"/>
    <s v="AVANHANDAVA"/>
    <s v="AVANHANDAVA"/>
    <m/>
    <x v="11"/>
    <x v="11"/>
    <x v="8"/>
    <x v="11"/>
    <x v="11"/>
    <x v="11"/>
    <x v="10"/>
    <x v="11"/>
  </r>
  <r>
    <n v="50"/>
    <x v="51"/>
    <s v=""/>
    <s v=""/>
    <s v=""/>
    <s v=""/>
    <x v="51"/>
    <x v="4"/>
    <s v="AVARÉ"/>
    <s v="AVARÉ"/>
    <m/>
    <x v="4"/>
    <x v="4"/>
    <x v="3"/>
    <x v="4"/>
    <x v="4"/>
    <x v="4"/>
    <x v="4"/>
    <x v="4"/>
  </r>
  <r>
    <n v="51"/>
    <x v="52"/>
    <s v=""/>
    <s v=""/>
    <s v=""/>
    <s v=""/>
    <x v="52"/>
    <x v="1"/>
    <s v="BADY BASSITT"/>
    <s v="BADY BASSITT"/>
    <m/>
    <x v="1"/>
    <x v="1"/>
    <x v="1"/>
    <x v="1"/>
    <x v="1"/>
    <x v="1"/>
    <x v="1"/>
    <x v="1"/>
  </r>
  <r>
    <n v="52"/>
    <x v="53"/>
    <s v=""/>
    <s v=""/>
    <s v=""/>
    <s v=""/>
    <x v="53"/>
    <x v="6"/>
    <s v="BALBINOS"/>
    <s v="BALBINOS"/>
    <m/>
    <x v="6"/>
    <x v="6"/>
    <x v="4"/>
    <x v="6"/>
    <x v="6"/>
    <x v="6"/>
    <x v="6"/>
    <x v="6"/>
  </r>
  <r>
    <n v="53"/>
    <x v="54"/>
    <s v=""/>
    <s v=""/>
    <s v=""/>
    <s v=""/>
    <x v="54"/>
    <x v="1"/>
    <s v="BÁLSAMO"/>
    <s v="BÁLSAMO"/>
    <m/>
    <x v="1"/>
    <x v="1"/>
    <x v="1"/>
    <x v="1"/>
    <x v="1"/>
    <x v="1"/>
    <x v="1"/>
    <x v="1"/>
  </r>
  <r>
    <n v="54"/>
    <x v="55"/>
    <s v=""/>
    <s v=""/>
    <s v=""/>
    <s v=""/>
    <x v="55"/>
    <x v="19"/>
    <s v="BANANAL"/>
    <s v="BANANAL"/>
    <m/>
    <x v="19"/>
    <x v="19"/>
    <x v="15"/>
    <x v="19"/>
    <x v="19"/>
    <x v="19"/>
    <x v="18"/>
    <x v="19"/>
  </r>
  <r>
    <n v="55"/>
    <x v="56"/>
    <s v=""/>
    <s v=""/>
    <s v=""/>
    <s v=""/>
    <x v="56"/>
    <x v="4"/>
    <s v="BARÃO DE ANTONINA"/>
    <s v="BARÃO DE ANTONINA"/>
    <m/>
    <x v="4"/>
    <x v="4"/>
    <x v="3"/>
    <x v="4"/>
    <x v="4"/>
    <x v="4"/>
    <x v="4"/>
    <x v="4"/>
  </r>
  <r>
    <n v="56"/>
    <x v="57"/>
    <s v=""/>
    <s v=""/>
    <s v=""/>
    <s v=""/>
    <x v="57"/>
    <x v="11"/>
    <s v="BARBOSA"/>
    <s v="BARBOSA"/>
    <m/>
    <x v="11"/>
    <x v="11"/>
    <x v="8"/>
    <x v="11"/>
    <x v="11"/>
    <x v="11"/>
    <x v="10"/>
    <x v="11"/>
  </r>
  <r>
    <n v="57"/>
    <x v="58"/>
    <s v=""/>
    <s v=""/>
    <s v=""/>
    <s v=""/>
    <x v="58"/>
    <x v="6"/>
    <s v="BARIRI"/>
    <s v="BARIRI"/>
    <m/>
    <x v="6"/>
    <x v="6"/>
    <x v="4"/>
    <x v="6"/>
    <x v="6"/>
    <x v="6"/>
    <x v="6"/>
    <x v="6"/>
  </r>
  <r>
    <n v="58"/>
    <x v="59"/>
    <s v=""/>
    <s v=""/>
    <s v=""/>
    <s v=""/>
    <x v="59"/>
    <x v="6"/>
    <s v="BARRA BONITA"/>
    <s v="BARRA BONITA"/>
    <m/>
    <x v="6"/>
    <x v="6"/>
    <x v="4"/>
    <x v="6"/>
    <x v="6"/>
    <x v="6"/>
    <x v="6"/>
    <x v="6"/>
  </r>
  <r>
    <n v="59"/>
    <x v="60"/>
    <s v=""/>
    <s v=""/>
    <s v=""/>
    <s v=""/>
    <x v="60"/>
    <x v="21"/>
    <s v="BARRA DO CHAPÉU"/>
    <s v="BARRA DO CHAPÉU"/>
    <m/>
    <x v="21"/>
    <x v="21"/>
    <x v="17"/>
    <x v="21"/>
    <x v="21"/>
    <x v="21"/>
    <x v="20"/>
    <x v="21"/>
  </r>
  <r>
    <n v="60"/>
    <x v="61"/>
    <s v=""/>
    <s v=""/>
    <s v=""/>
    <s v=""/>
    <x v="61"/>
    <x v="28"/>
    <s v="BARRA DO TURVO"/>
    <s v="BARRA DO TURVO"/>
    <m/>
    <x v="28"/>
    <x v="28"/>
    <x v="23"/>
    <x v="28"/>
    <x v="28"/>
    <x v="28"/>
    <x v="27"/>
    <x v="28"/>
  </r>
  <r>
    <n v="61"/>
    <x v="62"/>
    <s v=""/>
    <s v=""/>
    <s v=""/>
    <s v=""/>
    <x v="62"/>
    <x v="9"/>
    <s v="BARRETOS"/>
    <s v="BARRETOS"/>
    <m/>
    <x v="9"/>
    <x v="9"/>
    <x v="6"/>
    <x v="9"/>
    <x v="9"/>
    <x v="9"/>
    <x v="8"/>
    <x v="9"/>
  </r>
  <r>
    <n v="62"/>
    <x v="63"/>
    <s v=""/>
    <s v=""/>
    <s v=""/>
    <s v=""/>
    <x v="63"/>
    <x v="29"/>
    <s v="BARRINHA"/>
    <s v="BARRINHA"/>
    <m/>
    <x v="29"/>
    <x v="29"/>
    <x v="24"/>
    <x v="29"/>
    <x v="29"/>
    <x v="29"/>
    <x v="28"/>
    <x v="29"/>
  </r>
  <r>
    <n v="63"/>
    <x v="64"/>
    <s v=""/>
    <s v=""/>
    <s v=""/>
    <s v=""/>
    <x v="64"/>
    <x v="30"/>
    <s v="BARUERI"/>
    <s v="BARUERI"/>
    <m/>
    <x v="30"/>
    <x v="30"/>
    <x v="25"/>
    <x v="30"/>
    <x v="30"/>
    <x v="30"/>
    <x v="29"/>
    <x v="30"/>
  </r>
  <r>
    <n v="64"/>
    <x v="65"/>
    <s v=""/>
    <s v=""/>
    <s v=""/>
    <s v=""/>
    <x v="65"/>
    <x v="14"/>
    <s v="BASTOS"/>
    <s v="BASTOS"/>
    <m/>
    <x v="14"/>
    <x v="14"/>
    <x v="10"/>
    <x v="14"/>
    <x v="14"/>
    <x v="14"/>
    <x v="13"/>
    <x v="14"/>
  </r>
  <r>
    <n v="65"/>
    <x v="66"/>
    <s v=""/>
    <s v=""/>
    <s v=""/>
    <s v=""/>
    <x v="66"/>
    <x v="23"/>
    <s v="BATATAIS"/>
    <s v="BATATAIS"/>
    <m/>
    <x v="23"/>
    <x v="23"/>
    <x v="19"/>
    <x v="23"/>
    <x v="23"/>
    <x v="23"/>
    <x v="22"/>
    <x v="23"/>
  </r>
  <r>
    <n v="66"/>
    <x v="67"/>
    <s v=""/>
    <s v=""/>
    <s v=""/>
    <s v=""/>
    <x v="67"/>
    <x v="6"/>
    <s v="BAURU"/>
    <s v="BAURU"/>
    <m/>
    <x v="6"/>
    <x v="6"/>
    <x v="4"/>
    <x v="6"/>
    <x v="6"/>
    <x v="6"/>
    <x v="6"/>
    <x v="6"/>
  </r>
  <r>
    <n v="67"/>
    <x v="68"/>
    <s v=""/>
    <s v=""/>
    <s v=""/>
    <s v=""/>
    <x v="68"/>
    <x v="9"/>
    <s v="BEBEDOURO"/>
    <s v="BEBEDOURO"/>
    <m/>
    <x v="9"/>
    <x v="9"/>
    <x v="6"/>
    <x v="9"/>
    <x v="9"/>
    <x v="9"/>
    <x v="8"/>
    <x v="9"/>
  </r>
  <r>
    <n v="68"/>
    <x v="69"/>
    <s v=""/>
    <s v=""/>
    <s v=""/>
    <s v=""/>
    <x v="69"/>
    <x v="11"/>
    <s v="BENTO DE ABREU"/>
    <s v="BENTO DE ABREU"/>
    <m/>
    <x v="11"/>
    <x v="11"/>
    <x v="8"/>
    <x v="11"/>
    <x v="11"/>
    <x v="11"/>
    <x v="10"/>
    <x v="11"/>
  </r>
  <r>
    <n v="69"/>
    <x v="70"/>
    <s v=""/>
    <s v=""/>
    <s v=""/>
    <s v=""/>
    <x v="70"/>
    <x v="26"/>
    <s v="BERNARDINO DE CAMPOS"/>
    <s v="BERNARDINO DE CAMPOS"/>
    <m/>
    <x v="26"/>
    <x v="26"/>
    <x v="22"/>
    <x v="26"/>
    <x v="26"/>
    <x v="26"/>
    <x v="25"/>
    <x v="26"/>
  </r>
  <r>
    <n v="70"/>
    <x v="71"/>
    <s v=""/>
    <s v=""/>
    <s v=""/>
    <s v=""/>
    <x v="71"/>
    <x v="31"/>
    <s v="BERTIOGA"/>
    <s v="BERTIOGA"/>
    <m/>
    <x v="31"/>
    <x v="31"/>
    <x v="26"/>
    <x v="31"/>
    <x v="31"/>
    <x v="31"/>
    <x v="30"/>
    <x v="31"/>
  </r>
  <r>
    <n v="71"/>
    <x v="72"/>
    <s v=""/>
    <s v=""/>
    <s v=""/>
    <s v=""/>
    <x v="72"/>
    <x v="11"/>
    <s v="BILAC"/>
    <s v="BILAC"/>
    <m/>
    <x v="11"/>
    <x v="11"/>
    <x v="8"/>
    <x v="11"/>
    <x v="11"/>
    <x v="11"/>
    <x v="10"/>
    <x v="11"/>
  </r>
  <r>
    <n v="72"/>
    <x v="73"/>
    <s v=""/>
    <s v=""/>
    <s v=""/>
    <s v=""/>
    <x v="73"/>
    <x v="11"/>
    <s v="BIRIGUI"/>
    <s v="BIRIGUI"/>
    <m/>
    <x v="11"/>
    <x v="11"/>
    <x v="8"/>
    <x v="11"/>
    <x v="11"/>
    <x v="11"/>
    <x v="10"/>
    <x v="11"/>
  </r>
  <r>
    <n v="629"/>
    <x v="74"/>
    <s v=""/>
    <s v=""/>
    <s v=""/>
    <s v="Não!, Erro!"/>
    <x v="74"/>
    <x v="32"/>
    <s v="BIRITIBA MIRIM"/>
    <s v="BIRITIBA MIRIM"/>
    <m/>
    <x v="32"/>
    <x v="32"/>
    <x v="27"/>
    <x v="32"/>
    <x v="32"/>
    <x v="32"/>
    <x v="4"/>
    <x v="32"/>
  </r>
  <r>
    <n v="73"/>
    <x v="75"/>
    <s v=""/>
    <s v=""/>
    <s v=""/>
    <s v=""/>
    <x v="75"/>
    <x v="16"/>
    <s v="BOA ESPERANÇA DO SUL"/>
    <s v="BOA ESPERANÇA DO SUL"/>
    <m/>
    <x v="16"/>
    <x v="16"/>
    <x v="12"/>
    <x v="16"/>
    <x v="16"/>
    <x v="16"/>
    <x v="15"/>
    <x v="16"/>
  </r>
  <r>
    <n v="74"/>
    <x v="76"/>
    <s v=""/>
    <s v=""/>
    <s v=""/>
    <s v=""/>
    <x v="76"/>
    <x v="6"/>
    <s v="BOCAINA"/>
    <s v="BOCAINA"/>
    <m/>
    <x v="6"/>
    <x v="6"/>
    <x v="4"/>
    <x v="6"/>
    <x v="6"/>
    <x v="6"/>
    <x v="6"/>
    <x v="6"/>
  </r>
  <r>
    <n v="75"/>
    <x v="77"/>
    <s v=""/>
    <s v=""/>
    <s v=""/>
    <s v=""/>
    <x v="77"/>
    <x v="18"/>
    <s v="BOFETE"/>
    <s v="BOFETE"/>
    <m/>
    <x v="18"/>
    <x v="18"/>
    <x v="14"/>
    <x v="18"/>
    <x v="18"/>
    <x v="18"/>
    <x v="17"/>
    <x v="18"/>
  </r>
  <r>
    <n v="76"/>
    <x v="78"/>
    <s v=""/>
    <s v=""/>
    <s v=""/>
    <s v=""/>
    <x v="78"/>
    <x v="12"/>
    <s v="BOITUVA"/>
    <s v="BOITUVA"/>
    <m/>
    <x v="12"/>
    <x v="12"/>
    <x v="0"/>
    <x v="12"/>
    <x v="12"/>
    <x v="12"/>
    <x v="11"/>
    <x v="12"/>
  </r>
  <r>
    <n v="77"/>
    <x v="79"/>
    <s v=""/>
    <s v=""/>
    <s v=""/>
    <s v=""/>
    <x v="79"/>
    <x v="27"/>
    <s v="BOM JESUS DOS PERDÕES"/>
    <s v="BOM JESUS DOS PERDÕES"/>
    <m/>
    <x v="27"/>
    <x v="27"/>
    <x v="0"/>
    <x v="27"/>
    <x v="27"/>
    <x v="27"/>
    <x v="26"/>
    <x v="27"/>
  </r>
  <r>
    <n v="78"/>
    <x v="80"/>
    <s v=""/>
    <s v=""/>
    <s v=""/>
    <s v=""/>
    <x v="80"/>
    <x v="21"/>
    <s v="BOM SUCESSO DE ITARARÉ"/>
    <s v="BOM SUCESSO DE ITARARÉ"/>
    <m/>
    <x v="21"/>
    <x v="21"/>
    <x v="17"/>
    <x v="21"/>
    <x v="21"/>
    <x v="21"/>
    <x v="20"/>
    <x v="21"/>
  </r>
  <r>
    <n v="79"/>
    <x v="81"/>
    <s v=""/>
    <s v=""/>
    <s v=""/>
    <s v=""/>
    <x v="81"/>
    <x v="26"/>
    <s v="BORÁ"/>
    <s v="BORÁ"/>
    <m/>
    <x v="26"/>
    <x v="26"/>
    <x v="22"/>
    <x v="26"/>
    <x v="26"/>
    <x v="26"/>
    <x v="25"/>
    <x v="26"/>
  </r>
  <r>
    <n v="80"/>
    <x v="82"/>
    <s v=""/>
    <s v=""/>
    <s v=""/>
    <s v=""/>
    <x v="82"/>
    <x v="6"/>
    <s v="BORACÉIA"/>
    <s v="BORACÉIA"/>
    <m/>
    <x v="6"/>
    <x v="6"/>
    <x v="4"/>
    <x v="6"/>
    <x v="6"/>
    <x v="6"/>
    <x v="6"/>
    <x v="6"/>
  </r>
  <r>
    <n v="81"/>
    <x v="83"/>
    <s v=""/>
    <s v=""/>
    <s v=""/>
    <s v=""/>
    <x v="83"/>
    <x v="16"/>
    <s v="BORBOREMA"/>
    <s v="BORBOREMA"/>
    <m/>
    <x v="16"/>
    <x v="16"/>
    <x v="12"/>
    <x v="16"/>
    <x v="16"/>
    <x v="16"/>
    <x v="15"/>
    <x v="16"/>
  </r>
  <r>
    <n v="82"/>
    <x v="84"/>
    <s v=""/>
    <s v=""/>
    <s v=""/>
    <s v=""/>
    <x v="84"/>
    <x v="6"/>
    <s v="BOREBI"/>
    <s v="BOREBI"/>
    <m/>
    <x v="6"/>
    <x v="6"/>
    <x v="4"/>
    <x v="6"/>
    <x v="6"/>
    <x v="6"/>
    <x v="6"/>
    <x v="6"/>
  </r>
  <r>
    <n v="83"/>
    <x v="85"/>
    <s v=""/>
    <s v=""/>
    <s v=""/>
    <s v=""/>
    <x v="85"/>
    <x v="18"/>
    <s v="BOTUCATU"/>
    <s v="BOTUCATU"/>
    <m/>
    <x v="18"/>
    <x v="18"/>
    <x v="14"/>
    <x v="18"/>
    <x v="18"/>
    <x v="18"/>
    <x v="17"/>
    <x v="18"/>
  </r>
  <r>
    <n v="84"/>
    <x v="86"/>
    <s v=""/>
    <s v=""/>
    <s v=""/>
    <s v=""/>
    <x v="86"/>
    <x v="27"/>
    <s v="BRAGANÇA PAULISTA"/>
    <s v="BRAGANÇA PAULISTA"/>
    <m/>
    <x v="27"/>
    <x v="27"/>
    <x v="0"/>
    <x v="27"/>
    <x v="27"/>
    <x v="27"/>
    <x v="26"/>
    <x v="27"/>
  </r>
  <r>
    <n v="85"/>
    <x v="87"/>
    <s v=""/>
    <s v=""/>
    <s v=""/>
    <s v=""/>
    <x v="87"/>
    <x v="11"/>
    <s v="BRAÚNA"/>
    <s v="BRAÚNA"/>
    <m/>
    <x v="11"/>
    <x v="11"/>
    <x v="8"/>
    <x v="11"/>
    <x v="11"/>
    <x v="11"/>
    <x v="10"/>
    <x v="11"/>
  </r>
  <r>
    <n v="86"/>
    <x v="88"/>
    <s v=""/>
    <s v=""/>
    <s v=""/>
    <s v=""/>
    <x v="88"/>
    <x v="11"/>
    <s v="BREJO ALEGRE"/>
    <s v="BREJO ALEGRE"/>
    <m/>
    <x v="11"/>
    <x v="11"/>
    <x v="8"/>
    <x v="11"/>
    <x v="11"/>
    <x v="11"/>
    <x v="10"/>
    <x v="11"/>
  </r>
  <r>
    <n v="87"/>
    <x v="89"/>
    <s v=""/>
    <s v=""/>
    <s v=""/>
    <s v=""/>
    <x v="89"/>
    <x v="10"/>
    <s v="BRODOWSKI"/>
    <s v="BRODOWSKI"/>
    <m/>
    <x v="10"/>
    <x v="10"/>
    <x v="7"/>
    <x v="10"/>
    <x v="10"/>
    <x v="10"/>
    <x v="9"/>
    <x v="10"/>
  </r>
  <r>
    <n v="88"/>
    <x v="90"/>
    <s v=""/>
    <s v=""/>
    <s v=""/>
    <s v=""/>
    <x v="90"/>
    <x v="33"/>
    <s v="BROTAS"/>
    <s v="BROTAS"/>
    <m/>
    <x v="33"/>
    <x v="33"/>
    <x v="28"/>
    <x v="33"/>
    <x v="33"/>
    <x v="33"/>
    <x v="31"/>
    <x v="33"/>
  </r>
  <r>
    <n v="89"/>
    <x v="91"/>
    <s v=""/>
    <s v=""/>
    <s v=""/>
    <s v=""/>
    <x v="91"/>
    <x v="21"/>
    <s v="BURI"/>
    <s v="BURI"/>
    <m/>
    <x v="21"/>
    <x v="21"/>
    <x v="17"/>
    <x v="21"/>
    <x v="21"/>
    <x v="21"/>
    <x v="20"/>
    <x v="21"/>
  </r>
  <r>
    <n v="90"/>
    <x v="92"/>
    <s v=""/>
    <s v=""/>
    <s v=""/>
    <s v=""/>
    <x v="92"/>
    <x v="11"/>
    <s v="BURITAMA"/>
    <s v="BURITAMA"/>
    <m/>
    <x v="11"/>
    <x v="11"/>
    <x v="8"/>
    <x v="11"/>
    <x v="11"/>
    <x v="11"/>
    <x v="10"/>
    <x v="11"/>
  </r>
  <r>
    <n v="91"/>
    <x v="93"/>
    <s v=""/>
    <s v=""/>
    <s v=""/>
    <s v=""/>
    <x v="93"/>
    <x v="23"/>
    <s v="BURITIZAL"/>
    <s v="BURITIZAL"/>
    <m/>
    <x v="23"/>
    <x v="23"/>
    <x v="19"/>
    <x v="23"/>
    <x v="23"/>
    <x v="23"/>
    <x v="22"/>
    <x v="23"/>
  </r>
  <r>
    <n v="92"/>
    <x v="94"/>
    <s v=""/>
    <s v=""/>
    <s v=""/>
    <s v=""/>
    <x v="94"/>
    <x v="6"/>
    <s v="CABRÁLIA PAULISTA"/>
    <s v="CABRÁLIA PAULISTA"/>
    <m/>
    <x v="6"/>
    <x v="6"/>
    <x v="4"/>
    <x v="6"/>
    <x v="6"/>
    <x v="6"/>
    <x v="6"/>
    <x v="6"/>
  </r>
  <r>
    <n v="93"/>
    <x v="95"/>
    <s v=""/>
    <s v=""/>
    <s v=""/>
    <s v=""/>
    <x v="95"/>
    <x v="34"/>
    <s v="CABREÚVA"/>
    <s v="CABREÚVA"/>
    <m/>
    <x v="34"/>
    <x v="34"/>
    <x v="29"/>
    <x v="34"/>
    <x v="34"/>
    <x v="34"/>
    <x v="32"/>
    <x v="34"/>
  </r>
  <r>
    <n v="94"/>
    <x v="96"/>
    <s v=""/>
    <s v=""/>
    <s v=""/>
    <s v=""/>
    <x v="96"/>
    <x v="35"/>
    <s v="CAÇAPAVA"/>
    <s v="CAÇAPAVA"/>
    <m/>
    <x v="35"/>
    <x v="35"/>
    <x v="30"/>
    <x v="35"/>
    <x v="35"/>
    <x v="35"/>
    <x v="33"/>
    <x v="35"/>
  </r>
  <r>
    <n v="95"/>
    <x v="97"/>
    <s v=""/>
    <s v=""/>
    <s v=""/>
    <s v=""/>
    <x v="97"/>
    <x v="19"/>
    <s v="CACHOEIRA PAULISTA"/>
    <s v="CACHOEIRA PAULISTA"/>
    <m/>
    <x v="19"/>
    <x v="19"/>
    <x v="15"/>
    <x v="19"/>
    <x v="19"/>
    <x v="19"/>
    <x v="18"/>
    <x v="19"/>
  </r>
  <r>
    <n v="96"/>
    <x v="98"/>
    <s v=""/>
    <s v=""/>
    <s v=""/>
    <s v=""/>
    <x v="98"/>
    <x v="2"/>
    <s v="CACONDE"/>
    <s v="CACONDE"/>
    <m/>
    <x v="2"/>
    <x v="2"/>
    <x v="0"/>
    <x v="2"/>
    <x v="2"/>
    <x v="2"/>
    <x v="2"/>
    <x v="2"/>
  </r>
  <r>
    <n v="97"/>
    <x v="99"/>
    <s v=""/>
    <s v=""/>
    <s v=""/>
    <s v=""/>
    <x v="99"/>
    <x v="14"/>
    <s v="CAFELÂNDIA"/>
    <s v="CAFELÂNDIA"/>
    <m/>
    <x v="14"/>
    <x v="14"/>
    <x v="10"/>
    <x v="14"/>
    <x v="14"/>
    <x v="14"/>
    <x v="13"/>
    <x v="14"/>
  </r>
  <r>
    <n v="98"/>
    <x v="100"/>
    <s v=""/>
    <s v=""/>
    <s v=""/>
    <s v=""/>
    <x v="100"/>
    <x v="8"/>
    <s v="CAIABU"/>
    <s v="CAIABU"/>
    <m/>
    <x v="8"/>
    <x v="8"/>
    <x v="5"/>
    <x v="8"/>
    <x v="8"/>
    <x v="8"/>
    <x v="4"/>
    <x v="8"/>
  </r>
  <r>
    <n v="99"/>
    <x v="101"/>
    <s v=""/>
    <s v=""/>
    <s v=""/>
    <s v=""/>
    <x v="101"/>
    <x v="36"/>
    <s v="CAIEIRAS"/>
    <s v="CAIEIRAS"/>
    <m/>
    <x v="36"/>
    <x v="36"/>
    <x v="31"/>
    <x v="30"/>
    <x v="36"/>
    <x v="36"/>
    <x v="4"/>
    <x v="36"/>
  </r>
  <r>
    <n v="100"/>
    <x v="102"/>
    <s v=""/>
    <s v=""/>
    <s v=""/>
    <s v=""/>
    <x v="102"/>
    <x v="8"/>
    <s v="CAIUÁ"/>
    <s v="CAIUÁ"/>
    <m/>
    <x v="8"/>
    <x v="8"/>
    <x v="5"/>
    <x v="8"/>
    <x v="8"/>
    <x v="8"/>
    <x v="4"/>
    <x v="8"/>
  </r>
  <r>
    <n v="101"/>
    <x v="103"/>
    <s v=""/>
    <s v=""/>
    <s v=""/>
    <s v=""/>
    <x v="103"/>
    <x v="30"/>
    <s v="CAJAMAR"/>
    <s v="CAJAMAR"/>
    <m/>
    <x v="30"/>
    <x v="30"/>
    <x v="25"/>
    <x v="30"/>
    <x v="30"/>
    <x v="30"/>
    <x v="29"/>
    <x v="30"/>
  </r>
  <r>
    <n v="102"/>
    <x v="104"/>
    <s v=""/>
    <s v=""/>
    <s v=""/>
    <s v=""/>
    <x v="104"/>
    <x v="28"/>
    <s v="CAJATI"/>
    <s v="CAJATI"/>
    <m/>
    <x v="28"/>
    <x v="28"/>
    <x v="23"/>
    <x v="28"/>
    <x v="28"/>
    <x v="28"/>
    <x v="27"/>
    <x v="28"/>
  </r>
  <r>
    <n v="103"/>
    <x v="105"/>
    <s v=""/>
    <s v=""/>
    <s v=""/>
    <s v=""/>
    <x v="105"/>
    <x v="9"/>
    <s v="CAJOBI"/>
    <s v="CAJOBI"/>
    <m/>
    <x v="9"/>
    <x v="9"/>
    <x v="6"/>
    <x v="9"/>
    <x v="9"/>
    <x v="9"/>
    <x v="8"/>
    <x v="9"/>
  </r>
  <r>
    <n v="104"/>
    <x v="106"/>
    <s v=""/>
    <s v=""/>
    <s v=""/>
    <s v=""/>
    <x v="106"/>
    <x v="10"/>
    <s v="CAJURU"/>
    <s v="CAJURU"/>
    <m/>
    <x v="10"/>
    <x v="10"/>
    <x v="7"/>
    <x v="10"/>
    <x v="10"/>
    <x v="10"/>
    <x v="9"/>
    <x v="10"/>
  </r>
  <r>
    <n v="105"/>
    <x v="107"/>
    <s v=""/>
    <s v=""/>
    <s v=""/>
    <s v=""/>
    <x v="107"/>
    <x v="7"/>
    <s v="CAMPINA DO MONTE ALEGRE"/>
    <s v="CAMPINA DO MONTE ALEGRE"/>
    <m/>
    <x v="7"/>
    <x v="7"/>
    <x v="0"/>
    <x v="7"/>
    <x v="7"/>
    <x v="7"/>
    <x v="7"/>
    <x v="7"/>
  </r>
  <r>
    <n v="106"/>
    <x v="108"/>
    <s v=""/>
    <s v=""/>
    <s v=""/>
    <s v=""/>
    <x v="108"/>
    <x v="37"/>
    <s v="CAMPINAS"/>
    <s v="CAMPINAS"/>
    <m/>
    <x v="37"/>
    <x v="37"/>
    <x v="32"/>
    <x v="36"/>
    <x v="37"/>
    <x v="37"/>
    <x v="34"/>
    <x v="37"/>
  </r>
  <r>
    <n v="107"/>
    <x v="109"/>
    <s v=""/>
    <s v=""/>
    <s v=""/>
    <s v=""/>
    <x v="109"/>
    <x v="34"/>
    <s v="CAMPO LIMPO PAULISTA"/>
    <s v="CAMPO LIMPO PAULISTA"/>
    <m/>
    <x v="34"/>
    <x v="34"/>
    <x v="29"/>
    <x v="34"/>
    <x v="34"/>
    <x v="34"/>
    <x v="32"/>
    <x v="34"/>
  </r>
  <r>
    <n v="108"/>
    <x v="110"/>
    <s v=""/>
    <s v=""/>
    <s v=""/>
    <s v=""/>
    <x v="110"/>
    <x v="19"/>
    <s v="CAMPOS DO JORDÃO"/>
    <s v="CAMPOS DO JORDÃO"/>
    <m/>
    <x v="19"/>
    <x v="19"/>
    <x v="15"/>
    <x v="19"/>
    <x v="19"/>
    <x v="19"/>
    <x v="18"/>
    <x v="19"/>
  </r>
  <r>
    <n v="109"/>
    <x v="111"/>
    <s v=""/>
    <s v=""/>
    <s v=""/>
    <s v=""/>
    <x v="111"/>
    <x v="26"/>
    <s v="CAMPOS NOVOS PAULISTA"/>
    <s v="CAMPOS NOVOS PAULISTA"/>
    <m/>
    <x v="26"/>
    <x v="26"/>
    <x v="22"/>
    <x v="26"/>
    <x v="26"/>
    <x v="26"/>
    <x v="25"/>
    <x v="26"/>
  </r>
  <r>
    <n v="110"/>
    <x v="112"/>
    <s v=""/>
    <s v=""/>
    <s v=""/>
    <s v=""/>
    <x v="112"/>
    <x v="28"/>
    <s v="CANANÉIA"/>
    <s v="CANANÉIA"/>
    <m/>
    <x v="28"/>
    <x v="28"/>
    <x v="23"/>
    <x v="28"/>
    <x v="28"/>
    <x v="28"/>
    <x v="27"/>
    <x v="28"/>
  </r>
  <r>
    <n v="111"/>
    <x v="113"/>
    <s v=""/>
    <s v=""/>
    <s v=""/>
    <s v=""/>
    <x v="113"/>
    <x v="19"/>
    <s v="CANAS"/>
    <s v="CANAS"/>
    <m/>
    <x v="19"/>
    <x v="19"/>
    <x v="15"/>
    <x v="19"/>
    <x v="19"/>
    <x v="19"/>
    <x v="18"/>
    <x v="19"/>
  </r>
  <r>
    <n v="112"/>
    <x v="114"/>
    <s v=""/>
    <s v=""/>
    <s v=""/>
    <s v=""/>
    <x v="114"/>
    <x v="26"/>
    <s v="CÂNDIDO MOTA"/>
    <s v="CÂNDIDO MOTA"/>
    <m/>
    <x v="26"/>
    <x v="26"/>
    <x v="22"/>
    <x v="26"/>
    <x v="26"/>
    <x v="26"/>
    <x v="25"/>
    <x v="26"/>
  </r>
  <r>
    <n v="113"/>
    <x v="115"/>
    <s v=""/>
    <s v=""/>
    <s v=""/>
    <s v=""/>
    <x v="115"/>
    <x v="29"/>
    <s v="CÂNDIDO RODRIGUES"/>
    <s v="CÂNDIDO RODRIGUES"/>
    <m/>
    <x v="29"/>
    <x v="29"/>
    <x v="24"/>
    <x v="29"/>
    <x v="29"/>
    <x v="29"/>
    <x v="28"/>
    <x v="29"/>
  </r>
  <r>
    <n v="114"/>
    <x v="116"/>
    <s v=""/>
    <s v=""/>
    <s v=""/>
    <s v=""/>
    <x v="116"/>
    <x v="26"/>
    <s v="CANITAR"/>
    <s v="CANITAR"/>
    <m/>
    <x v="26"/>
    <x v="26"/>
    <x v="22"/>
    <x v="26"/>
    <x v="26"/>
    <x v="26"/>
    <x v="25"/>
    <x v="26"/>
  </r>
  <r>
    <n v="115"/>
    <x v="117"/>
    <s v=""/>
    <s v=""/>
    <s v=""/>
    <s v=""/>
    <x v="117"/>
    <x v="21"/>
    <s v="CAPÃO BONITO"/>
    <s v="CAPÃO BONITO"/>
    <m/>
    <x v="21"/>
    <x v="21"/>
    <x v="17"/>
    <x v="21"/>
    <x v="21"/>
    <x v="21"/>
    <x v="20"/>
    <x v="21"/>
  </r>
  <r>
    <n v="116"/>
    <x v="118"/>
    <s v=""/>
    <s v=""/>
    <s v=""/>
    <s v=""/>
    <x v="118"/>
    <x v="22"/>
    <s v="CAPELA DO ALTO"/>
    <s v="CAPELA DO ALTO"/>
    <m/>
    <x v="22"/>
    <x v="22"/>
    <x v="18"/>
    <x v="22"/>
    <x v="22"/>
    <x v="22"/>
    <x v="21"/>
    <x v="22"/>
  </r>
  <r>
    <n v="117"/>
    <x v="119"/>
    <s v=""/>
    <s v=""/>
    <s v=""/>
    <s v=""/>
    <x v="119"/>
    <x v="37"/>
    <s v="CAPIVARI"/>
    <s v="CAPIVARI"/>
    <m/>
    <x v="37"/>
    <x v="37"/>
    <x v="32"/>
    <x v="36"/>
    <x v="37"/>
    <x v="37"/>
    <x v="34"/>
    <x v="37"/>
  </r>
  <r>
    <n v="118"/>
    <x v="120"/>
    <s v=""/>
    <s v=""/>
    <s v=""/>
    <s v=""/>
    <x v="120"/>
    <x v="38"/>
    <s v="CARAGUATATUBA"/>
    <s v="CARAGUATATUBA"/>
    <m/>
    <x v="38"/>
    <x v="38"/>
    <x v="33"/>
    <x v="37"/>
    <x v="38"/>
    <x v="38"/>
    <x v="35"/>
    <x v="38"/>
  </r>
  <r>
    <n v="119"/>
    <x v="121"/>
    <s v=""/>
    <s v=""/>
    <s v=""/>
    <s v=""/>
    <x v="121"/>
    <x v="30"/>
    <s v="CARAPICUÍBA"/>
    <s v="CARAPICUÍBA"/>
    <m/>
    <x v="30"/>
    <x v="30"/>
    <x v="25"/>
    <x v="30"/>
    <x v="30"/>
    <x v="30"/>
    <x v="29"/>
    <x v="30"/>
  </r>
  <r>
    <n v="120"/>
    <x v="122"/>
    <s v=""/>
    <s v=""/>
    <s v=""/>
    <s v=""/>
    <x v="122"/>
    <x v="13"/>
    <s v="CARDOSO"/>
    <s v="CARDOSO"/>
    <m/>
    <x v="13"/>
    <x v="13"/>
    <x v="9"/>
    <x v="13"/>
    <x v="13"/>
    <x v="13"/>
    <x v="12"/>
    <x v="13"/>
  </r>
  <r>
    <n v="121"/>
    <x v="123"/>
    <s v=""/>
    <s v=""/>
    <s v=""/>
    <s v=""/>
    <x v="123"/>
    <x v="2"/>
    <s v="CASA BRANCA"/>
    <s v="CASA BRANCA"/>
    <m/>
    <x v="2"/>
    <x v="2"/>
    <x v="0"/>
    <x v="2"/>
    <x v="2"/>
    <x v="2"/>
    <x v="2"/>
    <x v="2"/>
  </r>
  <r>
    <n v="122"/>
    <x v="124"/>
    <s v=""/>
    <s v=""/>
    <s v=""/>
    <s v=""/>
    <x v="124"/>
    <x v="10"/>
    <s v="CÁSSIA DOS COQUEIROS"/>
    <s v="CÁSSIA DOS COQUEIROS"/>
    <m/>
    <x v="10"/>
    <x v="10"/>
    <x v="7"/>
    <x v="10"/>
    <x v="10"/>
    <x v="10"/>
    <x v="9"/>
    <x v="10"/>
  </r>
  <r>
    <n v="123"/>
    <x v="125"/>
    <s v=""/>
    <s v=""/>
    <s v=""/>
    <s v=""/>
    <x v="125"/>
    <x v="0"/>
    <s v="CASTILHO"/>
    <s v="CASTILHO"/>
    <m/>
    <x v="0"/>
    <x v="0"/>
    <x v="0"/>
    <x v="0"/>
    <x v="0"/>
    <x v="0"/>
    <x v="0"/>
    <x v="0"/>
  </r>
  <r>
    <n v="124"/>
    <x v="126"/>
    <s v=""/>
    <s v=""/>
    <s v=""/>
    <s v=""/>
    <x v="126"/>
    <x v="1"/>
    <s v="CATANDUVA"/>
    <s v="CATANDUVA"/>
    <m/>
    <x v="1"/>
    <x v="1"/>
    <x v="1"/>
    <x v="1"/>
    <x v="1"/>
    <x v="1"/>
    <x v="1"/>
    <x v="1"/>
  </r>
  <r>
    <n v="125"/>
    <x v="127"/>
    <s v=""/>
    <s v=""/>
    <s v=""/>
    <s v=""/>
    <x v="127"/>
    <x v="1"/>
    <s v="CATIGUÁ"/>
    <s v="CATIGUÁ"/>
    <m/>
    <x v="1"/>
    <x v="1"/>
    <x v="1"/>
    <x v="1"/>
    <x v="1"/>
    <x v="1"/>
    <x v="1"/>
    <x v="1"/>
  </r>
  <r>
    <n v="126"/>
    <x v="128"/>
    <s v=""/>
    <s v=""/>
    <s v=""/>
    <s v=""/>
    <x v="128"/>
    <x v="1"/>
    <s v="CEDRAL"/>
    <s v="CEDRAL"/>
    <m/>
    <x v="1"/>
    <x v="1"/>
    <x v="1"/>
    <x v="1"/>
    <x v="1"/>
    <x v="1"/>
    <x v="1"/>
    <x v="1"/>
  </r>
  <r>
    <n v="127"/>
    <x v="129"/>
    <s v=""/>
    <s v=""/>
    <s v=""/>
    <s v=""/>
    <x v="129"/>
    <x v="4"/>
    <s v="CERQUEIRA CÉSAR"/>
    <s v="CERQUEIRA CÉSAR"/>
    <m/>
    <x v="4"/>
    <x v="4"/>
    <x v="3"/>
    <x v="4"/>
    <x v="4"/>
    <x v="4"/>
    <x v="4"/>
    <x v="4"/>
  </r>
  <r>
    <n v="128"/>
    <x v="130"/>
    <s v=""/>
    <s v=""/>
    <s v=""/>
    <s v=""/>
    <x v="130"/>
    <x v="12"/>
    <s v="CERQUILHO"/>
    <s v="CERQUILHO"/>
    <m/>
    <x v="12"/>
    <x v="12"/>
    <x v="0"/>
    <x v="12"/>
    <x v="12"/>
    <x v="12"/>
    <x v="11"/>
    <x v="12"/>
  </r>
  <r>
    <n v="129"/>
    <x v="131"/>
    <s v=""/>
    <s v=""/>
    <s v=""/>
    <s v=""/>
    <x v="131"/>
    <x v="18"/>
    <s v="CESÁRIO LANGE"/>
    <s v="CESÁRIO LANGE"/>
    <m/>
    <x v="18"/>
    <x v="18"/>
    <x v="14"/>
    <x v="18"/>
    <x v="18"/>
    <x v="18"/>
    <x v="17"/>
    <x v="18"/>
  </r>
  <r>
    <n v="130"/>
    <x v="132"/>
    <s v=""/>
    <s v=""/>
    <s v=""/>
    <s v=""/>
    <x v="132"/>
    <x v="5"/>
    <s v="CHARQUEADA"/>
    <s v="CHARQUEADA"/>
    <m/>
    <x v="5"/>
    <x v="5"/>
    <x v="0"/>
    <x v="5"/>
    <x v="5"/>
    <x v="5"/>
    <x v="5"/>
    <x v="5"/>
  </r>
  <r>
    <n v="131"/>
    <x v="133"/>
    <s v=""/>
    <s v=""/>
    <s v=""/>
    <s v=""/>
    <x v="133"/>
    <x v="26"/>
    <s v="CHAVANTES"/>
    <s v="CHAVANTES"/>
    <m/>
    <x v="26"/>
    <x v="26"/>
    <x v="22"/>
    <x v="26"/>
    <x v="26"/>
    <x v="26"/>
    <x v="25"/>
    <x v="26"/>
  </r>
  <r>
    <n v="132"/>
    <x v="134"/>
    <s v=""/>
    <s v=""/>
    <s v=""/>
    <s v=""/>
    <x v="134"/>
    <x v="11"/>
    <s v="CLEMENTINA"/>
    <s v="CLEMENTINA"/>
    <m/>
    <x v="11"/>
    <x v="11"/>
    <x v="8"/>
    <x v="11"/>
    <x v="11"/>
    <x v="11"/>
    <x v="10"/>
    <x v="11"/>
  </r>
  <r>
    <n v="133"/>
    <x v="135"/>
    <s v=""/>
    <s v=""/>
    <s v=""/>
    <s v=""/>
    <x v="135"/>
    <x v="9"/>
    <s v="COLINA"/>
    <s v="COLINA"/>
    <m/>
    <x v="9"/>
    <x v="9"/>
    <x v="6"/>
    <x v="9"/>
    <x v="9"/>
    <x v="9"/>
    <x v="8"/>
    <x v="9"/>
  </r>
  <r>
    <n v="134"/>
    <x v="136"/>
    <s v=""/>
    <s v=""/>
    <s v=""/>
    <s v=""/>
    <x v="136"/>
    <x v="9"/>
    <s v="COLÔMBIA"/>
    <s v="COLÔMBIA"/>
    <m/>
    <x v="9"/>
    <x v="9"/>
    <x v="6"/>
    <x v="9"/>
    <x v="9"/>
    <x v="9"/>
    <x v="8"/>
    <x v="9"/>
  </r>
  <r>
    <n v="135"/>
    <x v="137"/>
    <s v=""/>
    <s v=""/>
    <s v=""/>
    <s v=""/>
    <x v="137"/>
    <x v="3"/>
    <s v="CONCHAL"/>
    <s v="CONCHAL"/>
    <m/>
    <x v="3"/>
    <x v="3"/>
    <x v="2"/>
    <x v="3"/>
    <x v="3"/>
    <x v="3"/>
    <x v="3"/>
    <x v="3"/>
  </r>
  <r>
    <n v="136"/>
    <x v="138"/>
    <s v=""/>
    <s v=""/>
    <s v=""/>
    <s v=""/>
    <x v="138"/>
    <x v="18"/>
    <s v="CONCHAS"/>
    <s v="CONCHAS"/>
    <m/>
    <x v="18"/>
    <x v="18"/>
    <x v="14"/>
    <x v="18"/>
    <x v="18"/>
    <x v="18"/>
    <x v="17"/>
    <x v="18"/>
  </r>
  <r>
    <n v="137"/>
    <x v="139"/>
    <s v=""/>
    <s v=""/>
    <s v=""/>
    <s v=""/>
    <x v="139"/>
    <x v="24"/>
    <s v="CORDEIRÓPOLIS"/>
    <s v="CORDEIRÓPOLIS"/>
    <m/>
    <x v="24"/>
    <x v="24"/>
    <x v="20"/>
    <x v="24"/>
    <x v="24"/>
    <x v="24"/>
    <x v="23"/>
    <x v="24"/>
  </r>
  <r>
    <n v="138"/>
    <x v="140"/>
    <s v=""/>
    <s v=""/>
    <s v=""/>
    <s v=""/>
    <x v="140"/>
    <x v="11"/>
    <s v="COROADOS"/>
    <s v="COROADOS"/>
    <m/>
    <x v="11"/>
    <x v="11"/>
    <x v="8"/>
    <x v="11"/>
    <x v="11"/>
    <x v="11"/>
    <x v="10"/>
    <x v="11"/>
  </r>
  <r>
    <n v="139"/>
    <x v="141"/>
    <s v=""/>
    <s v=""/>
    <s v=""/>
    <s v=""/>
    <x v="141"/>
    <x v="4"/>
    <s v="CORONEL MACEDO"/>
    <s v="CORONEL MACEDO"/>
    <m/>
    <x v="4"/>
    <x v="4"/>
    <x v="3"/>
    <x v="4"/>
    <x v="4"/>
    <x v="4"/>
    <x v="4"/>
    <x v="4"/>
  </r>
  <r>
    <n v="140"/>
    <x v="142"/>
    <s v=""/>
    <s v=""/>
    <s v=""/>
    <s v=""/>
    <x v="142"/>
    <x v="5"/>
    <s v="CORUMBATAÍ"/>
    <s v="CORUMBATAÍ"/>
    <m/>
    <x v="5"/>
    <x v="5"/>
    <x v="0"/>
    <x v="5"/>
    <x v="5"/>
    <x v="5"/>
    <x v="5"/>
    <x v="5"/>
  </r>
  <r>
    <n v="141"/>
    <x v="143"/>
    <s v=""/>
    <s v=""/>
    <s v=""/>
    <s v=""/>
    <x v="143"/>
    <x v="24"/>
    <s v="COSMÓPOLIS"/>
    <s v="COSMÓPOLIS"/>
    <m/>
    <x v="24"/>
    <x v="24"/>
    <x v="20"/>
    <x v="24"/>
    <x v="24"/>
    <x v="24"/>
    <x v="23"/>
    <x v="24"/>
  </r>
  <r>
    <n v="142"/>
    <x v="144"/>
    <s v=""/>
    <s v=""/>
    <s v=""/>
    <s v=""/>
    <x v="144"/>
    <x v="13"/>
    <s v="COSMORAMA"/>
    <s v="COSMORAMA"/>
    <m/>
    <x v="13"/>
    <x v="13"/>
    <x v="9"/>
    <x v="13"/>
    <x v="13"/>
    <x v="13"/>
    <x v="12"/>
    <x v="13"/>
  </r>
  <r>
    <n v="143"/>
    <x v="145"/>
    <s v=""/>
    <s v=""/>
    <s v=""/>
    <s v=""/>
    <x v="145"/>
    <x v="39"/>
    <s v="COTIA"/>
    <s v="COTIA"/>
    <m/>
    <x v="39"/>
    <x v="39"/>
    <x v="34"/>
    <x v="38"/>
    <x v="39"/>
    <x v="39"/>
    <x v="36"/>
    <x v="39"/>
  </r>
  <r>
    <n v="144"/>
    <x v="146"/>
    <s v=""/>
    <s v=""/>
    <s v=""/>
    <s v=""/>
    <x v="146"/>
    <x v="10"/>
    <s v="CRAVINHOS"/>
    <s v="CRAVINHOS"/>
    <m/>
    <x v="10"/>
    <x v="10"/>
    <x v="7"/>
    <x v="10"/>
    <x v="10"/>
    <x v="10"/>
    <x v="9"/>
    <x v="10"/>
  </r>
  <r>
    <n v="145"/>
    <x v="147"/>
    <s v=""/>
    <s v=""/>
    <s v=""/>
    <s v=""/>
    <x v="147"/>
    <x v="23"/>
    <s v="CRISTAIS PAULISTA"/>
    <s v="CRISTAIS PAULISTA"/>
    <m/>
    <x v="23"/>
    <x v="23"/>
    <x v="19"/>
    <x v="23"/>
    <x v="23"/>
    <x v="23"/>
    <x v="22"/>
    <x v="23"/>
  </r>
  <r>
    <n v="146"/>
    <x v="148"/>
    <s v=""/>
    <s v=""/>
    <s v=""/>
    <s v=""/>
    <x v="148"/>
    <x v="26"/>
    <s v="CRUZÁLIA"/>
    <s v="CRUZÁLIA"/>
    <m/>
    <x v="26"/>
    <x v="26"/>
    <x v="22"/>
    <x v="26"/>
    <x v="26"/>
    <x v="26"/>
    <x v="25"/>
    <x v="26"/>
  </r>
  <r>
    <n v="147"/>
    <x v="149"/>
    <s v=""/>
    <s v=""/>
    <s v=""/>
    <s v=""/>
    <x v="149"/>
    <x v="19"/>
    <s v="CRUZEIRO"/>
    <s v="CRUZEIRO"/>
    <m/>
    <x v="19"/>
    <x v="19"/>
    <x v="15"/>
    <x v="19"/>
    <x v="19"/>
    <x v="19"/>
    <x v="18"/>
    <x v="19"/>
  </r>
  <r>
    <n v="148"/>
    <x v="150"/>
    <s v=""/>
    <s v=""/>
    <s v=""/>
    <s v=""/>
    <x v="150"/>
    <x v="31"/>
    <s v="CUBATÃO"/>
    <s v="CUBATÃO"/>
    <m/>
    <x v="31"/>
    <x v="31"/>
    <x v="26"/>
    <x v="31"/>
    <x v="31"/>
    <x v="31"/>
    <x v="30"/>
    <x v="31"/>
  </r>
  <r>
    <n v="149"/>
    <x v="151"/>
    <s v=""/>
    <s v=""/>
    <s v=""/>
    <s v=""/>
    <x v="151"/>
    <x v="19"/>
    <s v="CUNHA"/>
    <s v="CUNHA"/>
    <m/>
    <x v="19"/>
    <x v="19"/>
    <x v="15"/>
    <x v="19"/>
    <x v="19"/>
    <x v="19"/>
    <x v="18"/>
    <x v="19"/>
  </r>
  <r>
    <n v="150"/>
    <x v="152"/>
    <s v=""/>
    <s v=""/>
    <s v=""/>
    <s v=""/>
    <x v="152"/>
    <x v="33"/>
    <s v="DESCALVADO"/>
    <s v="DESCALVADO"/>
    <m/>
    <x v="33"/>
    <x v="33"/>
    <x v="28"/>
    <x v="33"/>
    <x v="33"/>
    <x v="33"/>
    <x v="31"/>
    <x v="33"/>
  </r>
  <r>
    <n v="151"/>
    <x v="153"/>
    <s v=""/>
    <s v=""/>
    <s v=""/>
    <s v=""/>
    <x v="153"/>
    <x v="40"/>
    <s v="DIADEMA"/>
    <s v="DIADEMA"/>
    <m/>
    <x v="40"/>
    <x v="40"/>
    <x v="35"/>
    <x v="39"/>
    <x v="40"/>
    <x v="40"/>
    <x v="37"/>
    <x v="40"/>
  </r>
  <r>
    <n v="152"/>
    <x v="154"/>
    <s v=""/>
    <s v=""/>
    <s v=""/>
    <s v=""/>
    <x v="154"/>
    <x v="20"/>
    <s v="DIRCE REIS"/>
    <s v="DIRCE REIS"/>
    <m/>
    <x v="20"/>
    <x v="20"/>
    <x v="16"/>
    <x v="20"/>
    <x v="20"/>
    <x v="20"/>
    <x v="19"/>
    <x v="20"/>
  </r>
  <r>
    <n v="153"/>
    <x v="155"/>
    <s v=""/>
    <s v=""/>
    <s v=""/>
    <s v=""/>
    <x v="155"/>
    <x v="2"/>
    <s v="DIVINOLÂNDIA"/>
    <s v="DIVINOLÂNDIA"/>
    <m/>
    <x v="2"/>
    <x v="2"/>
    <x v="0"/>
    <x v="2"/>
    <x v="2"/>
    <x v="2"/>
    <x v="2"/>
    <x v="2"/>
  </r>
  <r>
    <n v="154"/>
    <x v="156"/>
    <s v=""/>
    <s v=""/>
    <s v=""/>
    <s v=""/>
    <x v="156"/>
    <x v="16"/>
    <s v="DOBRADA"/>
    <s v="DOBRADA"/>
    <m/>
    <x v="16"/>
    <x v="16"/>
    <x v="12"/>
    <x v="16"/>
    <x v="16"/>
    <x v="16"/>
    <x v="15"/>
    <x v="16"/>
  </r>
  <r>
    <n v="155"/>
    <x v="157"/>
    <s v=""/>
    <s v=""/>
    <s v=""/>
    <s v=""/>
    <x v="157"/>
    <x v="6"/>
    <s v="DOIS CÓRREGOS"/>
    <s v="DOIS CÓRREGOS"/>
    <m/>
    <x v="6"/>
    <x v="6"/>
    <x v="4"/>
    <x v="6"/>
    <x v="6"/>
    <x v="6"/>
    <x v="6"/>
    <x v="6"/>
  </r>
  <r>
    <n v="156"/>
    <x v="158"/>
    <s v=""/>
    <s v=""/>
    <s v=""/>
    <s v=""/>
    <x v="158"/>
    <x v="20"/>
    <s v="DOLCINÓPOLIS"/>
    <s v="DOLCINÓPOLIS"/>
    <m/>
    <x v="20"/>
    <x v="20"/>
    <x v="16"/>
    <x v="20"/>
    <x v="20"/>
    <x v="20"/>
    <x v="19"/>
    <x v="20"/>
  </r>
  <r>
    <n v="157"/>
    <x v="159"/>
    <s v=""/>
    <s v=""/>
    <s v=""/>
    <s v=""/>
    <x v="159"/>
    <x v="33"/>
    <s v="DOURADO"/>
    <s v="DOURADO"/>
    <m/>
    <x v="33"/>
    <x v="33"/>
    <x v="28"/>
    <x v="33"/>
    <x v="33"/>
    <x v="33"/>
    <x v="31"/>
    <x v="33"/>
  </r>
  <r>
    <n v="158"/>
    <x v="160"/>
    <s v=""/>
    <s v=""/>
    <s v=""/>
    <s v=""/>
    <x v="160"/>
    <x v="0"/>
    <s v="DRACENA"/>
    <s v="DRACENA"/>
    <m/>
    <x v="0"/>
    <x v="0"/>
    <x v="0"/>
    <x v="0"/>
    <x v="0"/>
    <x v="0"/>
    <x v="0"/>
    <x v="0"/>
  </r>
  <r>
    <n v="159"/>
    <x v="161"/>
    <s v=""/>
    <s v=""/>
    <s v=""/>
    <s v=""/>
    <x v="161"/>
    <x v="6"/>
    <s v="DUARTINA"/>
    <s v="DUARTINA"/>
    <m/>
    <x v="6"/>
    <x v="6"/>
    <x v="4"/>
    <x v="6"/>
    <x v="6"/>
    <x v="6"/>
    <x v="6"/>
    <x v="6"/>
  </r>
  <r>
    <n v="160"/>
    <x v="162"/>
    <s v=""/>
    <s v=""/>
    <s v=""/>
    <s v=""/>
    <x v="162"/>
    <x v="29"/>
    <s v="DUMONT"/>
    <s v="DUMONT"/>
    <m/>
    <x v="29"/>
    <x v="29"/>
    <x v="24"/>
    <x v="29"/>
    <x v="29"/>
    <x v="29"/>
    <x v="28"/>
    <x v="29"/>
  </r>
  <r>
    <n v="161"/>
    <x v="163"/>
    <s v=""/>
    <s v=""/>
    <s v=""/>
    <s v=""/>
    <x v="163"/>
    <x v="26"/>
    <s v="ECHAPORÃ"/>
    <s v="ECHAPORÃ"/>
    <m/>
    <x v="26"/>
    <x v="26"/>
    <x v="22"/>
    <x v="26"/>
    <x v="26"/>
    <x v="26"/>
    <x v="25"/>
    <x v="26"/>
  </r>
  <r>
    <n v="162"/>
    <x v="164"/>
    <s v=""/>
    <s v=""/>
    <s v=""/>
    <s v=""/>
    <x v="164"/>
    <x v="28"/>
    <s v="ELDORADO"/>
    <s v="ELDORADO"/>
    <m/>
    <x v="28"/>
    <x v="28"/>
    <x v="23"/>
    <x v="28"/>
    <x v="28"/>
    <x v="28"/>
    <x v="27"/>
    <x v="28"/>
  </r>
  <r>
    <n v="163"/>
    <x v="165"/>
    <s v=""/>
    <s v=""/>
    <s v=""/>
    <s v=""/>
    <x v="165"/>
    <x v="37"/>
    <s v="ELIAS FAUSTO"/>
    <s v="ELIAS FAUSTO"/>
    <m/>
    <x v="37"/>
    <x v="37"/>
    <x v="32"/>
    <x v="36"/>
    <x v="37"/>
    <x v="37"/>
    <x v="34"/>
    <x v="37"/>
  </r>
  <r>
    <n v="164"/>
    <x v="166"/>
    <s v=""/>
    <s v=""/>
    <s v=""/>
    <s v=""/>
    <x v="166"/>
    <x v="1"/>
    <s v="ELISIÁRIO"/>
    <s v="ELISIÁRIO"/>
    <m/>
    <x v="1"/>
    <x v="1"/>
    <x v="1"/>
    <x v="1"/>
    <x v="1"/>
    <x v="1"/>
    <x v="1"/>
    <x v="1"/>
  </r>
  <r>
    <n v="165"/>
    <x v="167"/>
    <s v=""/>
    <s v=""/>
    <s v=""/>
    <s v=""/>
    <x v="167"/>
    <x v="9"/>
    <s v="EMBAÚBA"/>
    <s v="EMBAÚBA"/>
    <m/>
    <x v="9"/>
    <x v="9"/>
    <x v="6"/>
    <x v="9"/>
    <x v="9"/>
    <x v="9"/>
    <x v="8"/>
    <x v="9"/>
  </r>
  <r>
    <n v="630"/>
    <x v="168"/>
    <s v=""/>
    <s v=""/>
    <s v=""/>
    <s v="Não!, Erro!"/>
    <x v="168"/>
    <x v="39"/>
    <s v="EMBU DAS ARTES"/>
    <s v="EMBU DAS ARTES"/>
    <m/>
    <x v="39"/>
    <x v="39"/>
    <x v="34"/>
    <x v="38"/>
    <x v="39"/>
    <x v="39"/>
    <x v="36"/>
    <x v="39"/>
  </r>
  <r>
    <n v="643"/>
    <x v="169"/>
    <s v="Têm Hifen"/>
    <s v=""/>
    <s v=""/>
    <s v=""/>
    <x v="169"/>
    <x v="39"/>
    <s v="EMBU-GUAÇU"/>
    <s v="EMBU-GUAÇU"/>
    <m/>
    <x v="39"/>
    <x v="39"/>
    <x v="34"/>
    <x v="38"/>
    <x v="39"/>
    <x v="39"/>
    <x v="36"/>
    <x v="39"/>
  </r>
  <r>
    <n v="166"/>
    <x v="170"/>
    <s v=""/>
    <s v=""/>
    <s v=""/>
    <s v=""/>
    <x v="170"/>
    <x v="8"/>
    <s v="EMILIANÓPOLIS"/>
    <s v="EMILIANÓPOLIS"/>
    <m/>
    <x v="8"/>
    <x v="8"/>
    <x v="5"/>
    <x v="8"/>
    <x v="8"/>
    <x v="8"/>
    <x v="4"/>
    <x v="8"/>
  </r>
  <r>
    <n v="167"/>
    <x v="171"/>
    <s v=""/>
    <s v=""/>
    <s v=""/>
    <s v=""/>
    <x v="171"/>
    <x v="3"/>
    <s v="ENGENHEIRO COELHO"/>
    <s v="ENGENHEIRO COELHO"/>
    <m/>
    <x v="3"/>
    <x v="3"/>
    <x v="2"/>
    <x v="3"/>
    <x v="3"/>
    <x v="3"/>
    <x v="3"/>
    <x v="3"/>
  </r>
  <r>
    <n v="168"/>
    <x v="172"/>
    <s v=""/>
    <s v=""/>
    <s v=""/>
    <s v=""/>
    <x v="172"/>
    <x v="2"/>
    <s v="ESPÍRITO SANTO DO PINHAL"/>
    <s v="ESPÍRITO SANTO DO PINHAL"/>
    <m/>
    <x v="2"/>
    <x v="2"/>
    <x v="0"/>
    <x v="2"/>
    <x v="2"/>
    <x v="2"/>
    <x v="2"/>
    <x v="2"/>
  </r>
  <r>
    <n v="169"/>
    <x v="173"/>
    <s v=""/>
    <s v=""/>
    <s v=""/>
    <s v=""/>
    <x v="173"/>
    <x v="26"/>
    <s v="ESPÍRITO SANTO DO TURVO"/>
    <s v="ESPÍRITO SANTO DO TURVO"/>
    <m/>
    <x v="26"/>
    <x v="26"/>
    <x v="22"/>
    <x v="26"/>
    <x v="26"/>
    <x v="26"/>
    <x v="25"/>
    <x v="26"/>
  </r>
  <r>
    <n v="170"/>
    <x v="174"/>
    <s v=""/>
    <s v=""/>
    <s v=""/>
    <s v=""/>
    <x v="174"/>
    <x v="3"/>
    <s v="ESTIVA GERBI"/>
    <s v="ESTIVA GERBI"/>
    <m/>
    <x v="3"/>
    <x v="3"/>
    <x v="2"/>
    <x v="3"/>
    <x v="3"/>
    <x v="3"/>
    <x v="3"/>
    <x v="3"/>
  </r>
  <r>
    <n v="171"/>
    <x v="175"/>
    <s v=""/>
    <s v=""/>
    <s v=""/>
    <s v=""/>
    <x v="175"/>
    <x v="8"/>
    <s v="ESTRELA DO NORTE"/>
    <s v="ESTRELA DO NORTE"/>
    <m/>
    <x v="8"/>
    <x v="8"/>
    <x v="5"/>
    <x v="8"/>
    <x v="8"/>
    <x v="8"/>
    <x v="4"/>
    <x v="8"/>
  </r>
  <r>
    <n v="631"/>
    <x v="176"/>
    <s v=""/>
    <s v=""/>
    <s v=""/>
    <s v="Não!, Erro!"/>
    <x v="176"/>
    <x v="20"/>
    <s v="ESTRELA D`OESTE"/>
    <s v="ESTRELA D`OESTE"/>
    <m/>
    <x v="20"/>
    <x v="20"/>
    <x v="16"/>
    <x v="20"/>
    <x v="20"/>
    <x v="20"/>
    <x v="19"/>
    <x v="20"/>
  </r>
  <r>
    <n v="172"/>
    <x v="177"/>
    <s v=""/>
    <s v=""/>
    <s v=""/>
    <s v=""/>
    <x v="177"/>
    <x v="8"/>
    <s v="EUCLIDES DA CUNHA PAULISTA"/>
    <s v="EUCLIDES DA CUNHA PAULISTA"/>
    <m/>
    <x v="8"/>
    <x v="8"/>
    <x v="5"/>
    <x v="8"/>
    <x v="8"/>
    <x v="8"/>
    <x v="4"/>
    <x v="8"/>
  </r>
  <r>
    <n v="173"/>
    <x v="178"/>
    <s v=""/>
    <s v=""/>
    <s v=""/>
    <s v=""/>
    <x v="178"/>
    <x v="4"/>
    <s v="FARTURA"/>
    <s v="FARTURA"/>
    <m/>
    <x v="4"/>
    <x v="4"/>
    <x v="3"/>
    <x v="4"/>
    <x v="4"/>
    <x v="4"/>
    <x v="4"/>
    <x v="4"/>
  </r>
  <r>
    <n v="174"/>
    <x v="179"/>
    <s v=""/>
    <s v=""/>
    <s v=""/>
    <s v=""/>
    <x v="179"/>
    <x v="29"/>
    <s v="FERNANDO PRESTES"/>
    <s v="FERNANDO PRESTES"/>
    <m/>
    <x v="29"/>
    <x v="29"/>
    <x v="24"/>
    <x v="29"/>
    <x v="29"/>
    <x v="29"/>
    <x v="28"/>
    <x v="29"/>
  </r>
  <r>
    <n v="175"/>
    <x v="180"/>
    <s v=""/>
    <s v=""/>
    <s v=""/>
    <s v=""/>
    <x v="180"/>
    <x v="20"/>
    <s v="FERNANDÓPOLIS"/>
    <s v="FERNANDÓPOLIS"/>
    <m/>
    <x v="20"/>
    <x v="20"/>
    <x v="16"/>
    <x v="20"/>
    <x v="20"/>
    <x v="20"/>
    <x v="19"/>
    <x v="20"/>
  </r>
  <r>
    <n v="176"/>
    <x v="181"/>
    <s v=""/>
    <s v=""/>
    <s v=""/>
    <s v=""/>
    <x v="181"/>
    <x v="14"/>
    <s v="FERNÃO"/>
    <s v="FERNÃO"/>
    <m/>
    <x v="14"/>
    <x v="14"/>
    <x v="10"/>
    <x v="14"/>
    <x v="14"/>
    <x v="14"/>
    <x v="13"/>
    <x v="14"/>
  </r>
  <r>
    <n v="177"/>
    <x v="182"/>
    <s v=""/>
    <s v=""/>
    <s v=""/>
    <s v=""/>
    <x v="182"/>
    <x v="32"/>
    <s v="FERRAZ DE VASCONCELOS"/>
    <s v="FERRAZ DE VASCONCELOS"/>
    <m/>
    <x v="32"/>
    <x v="32"/>
    <x v="27"/>
    <x v="32"/>
    <x v="32"/>
    <x v="32"/>
    <x v="4"/>
    <x v="32"/>
  </r>
  <r>
    <n v="178"/>
    <x v="183"/>
    <s v=""/>
    <s v=""/>
    <s v=""/>
    <s v=""/>
    <x v="183"/>
    <x v="0"/>
    <s v="FLORA RICA"/>
    <s v="FLORA RICA"/>
    <m/>
    <x v="0"/>
    <x v="0"/>
    <x v="0"/>
    <x v="0"/>
    <x v="0"/>
    <x v="0"/>
    <x v="0"/>
    <x v="0"/>
  </r>
  <r>
    <n v="179"/>
    <x v="184"/>
    <s v=""/>
    <s v=""/>
    <s v=""/>
    <s v=""/>
    <x v="184"/>
    <x v="13"/>
    <s v="FLOREAL"/>
    <s v="FLOREAL"/>
    <m/>
    <x v="13"/>
    <x v="13"/>
    <x v="9"/>
    <x v="13"/>
    <x v="13"/>
    <x v="13"/>
    <x v="12"/>
    <x v="13"/>
  </r>
  <r>
    <n v="180"/>
    <x v="185"/>
    <s v=""/>
    <s v=""/>
    <s v=""/>
    <s v=""/>
    <x v="185"/>
    <x v="0"/>
    <s v="FLÓRIDA PAULISTA"/>
    <s v="FLÓRIDA PAULISTA"/>
    <m/>
    <x v="0"/>
    <x v="0"/>
    <x v="0"/>
    <x v="0"/>
    <x v="0"/>
    <x v="0"/>
    <x v="0"/>
    <x v="0"/>
  </r>
  <r>
    <n v="632"/>
    <x v="186"/>
    <s v=""/>
    <s v=""/>
    <s v=""/>
    <s v="Não!, Erro!"/>
    <x v="186"/>
    <x v="26"/>
    <s v="FLORÍNEA"/>
    <s v="FLORÍNEA"/>
    <m/>
    <x v="26"/>
    <x v="26"/>
    <x v="22"/>
    <x v="26"/>
    <x v="26"/>
    <x v="26"/>
    <x v="25"/>
    <x v="26"/>
  </r>
  <r>
    <n v="181"/>
    <x v="187"/>
    <s v=""/>
    <s v=""/>
    <s v=""/>
    <s v=""/>
    <x v="187"/>
    <x v="23"/>
    <s v="FRANCA"/>
    <s v="FRANCA"/>
    <m/>
    <x v="23"/>
    <x v="23"/>
    <x v="19"/>
    <x v="23"/>
    <x v="23"/>
    <x v="23"/>
    <x v="22"/>
    <x v="23"/>
  </r>
  <r>
    <n v="182"/>
    <x v="188"/>
    <s v=""/>
    <s v=""/>
    <s v=""/>
    <s v=""/>
    <x v="188"/>
    <x v="36"/>
    <s v="FRANCISCO MORATO"/>
    <s v="FRANCISCO MORATO"/>
    <m/>
    <x v="36"/>
    <x v="36"/>
    <x v="31"/>
    <x v="30"/>
    <x v="36"/>
    <x v="36"/>
    <x v="4"/>
    <x v="36"/>
  </r>
  <r>
    <n v="183"/>
    <x v="189"/>
    <s v=""/>
    <s v=""/>
    <s v=""/>
    <s v=""/>
    <x v="189"/>
    <x v="36"/>
    <s v="FRANCO DA ROCHA"/>
    <s v="FRANCO DA ROCHA"/>
    <m/>
    <x v="36"/>
    <x v="36"/>
    <x v="31"/>
    <x v="30"/>
    <x v="36"/>
    <x v="36"/>
    <x v="4"/>
    <x v="36"/>
  </r>
  <r>
    <n v="184"/>
    <x v="190"/>
    <s v=""/>
    <s v=""/>
    <s v=""/>
    <s v=""/>
    <x v="190"/>
    <x v="11"/>
    <s v="GABRIEL MONTEIRO"/>
    <s v="GABRIEL MONTEIRO"/>
    <m/>
    <x v="11"/>
    <x v="11"/>
    <x v="8"/>
    <x v="11"/>
    <x v="11"/>
    <x v="11"/>
    <x v="10"/>
    <x v="11"/>
  </r>
  <r>
    <n v="185"/>
    <x v="191"/>
    <s v=""/>
    <s v=""/>
    <s v=""/>
    <s v=""/>
    <x v="191"/>
    <x v="14"/>
    <s v="GÁLIA"/>
    <s v="GÁLIA"/>
    <m/>
    <x v="14"/>
    <x v="14"/>
    <x v="10"/>
    <x v="14"/>
    <x v="14"/>
    <x v="14"/>
    <x v="13"/>
    <x v="14"/>
  </r>
  <r>
    <n v="186"/>
    <x v="192"/>
    <s v=""/>
    <s v=""/>
    <s v=""/>
    <s v=""/>
    <x v="192"/>
    <x v="14"/>
    <s v="GARÇA"/>
    <s v="GARÇA"/>
    <m/>
    <x v="14"/>
    <x v="14"/>
    <x v="10"/>
    <x v="14"/>
    <x v="14"/>
    <x v="14"/>
    <x v="13"/>
    <x v="14"/>
  </r>
  <r>
    <n v="187"/>
    <x v="193"/>
    <s v=""/>
    <s v=""/>
    <s v=""/>
    <s v=""/>
    <x v="193"/>
    <x v="13"/>
    <s v="GASTÃO VIDIGAL"/>
    <s v="GASTÃO VIDIGAL"/>
    <m/>
    <x v="13"/>
    <x v="13"/>
    <x v="9"/>
    <x v="13"/>
    <x v="13"/>
    <x v="13"/>
    <x v="12"/>
    <x v="13"/>
  </r>
  <r>
    <n v="188"/>
    <x v="194"/>
    <s v=""/>
    <s v=""/>
    <s v=""/>
    <s v=""/>
    <x v="194"/>
    <x v="16"/>
    <s v="GAVIÃO PEIXOTO"/>
    <s v="GAVIÃO PEIXOTO"/>
    <m/>
    <x v="16"/>
    <x v="16"/>
    <x v="12"/>
    <x v="16"/>
    <x v="16"/>
    <x v="16"/>
    <x v="15"/>
    <x v="16"/>
  </r>
  <r>
    <n v="189"/>
    <x v="195"/>
    <s v=""/>
    <s v=""/>
    <s v=""/>
    <s v=""/>
    <x v="195"/>
    <x v="13"/>
    <s v="GENERAL SALGADO"/>
    <s v="GENERAL SALGADO"/>
    <m/>
    <x v="13"/>
    <x v="13"/>
    <x v="9"/>
    <x v="13"/>
    <x v="13"/>
    <x v="13"/>
    <x v="12"/>
    <x v="13"/>
  </r>
  <r>
    <n v="190"/>
    <x v="196"/>
    <s v=""/>
    <s v=""/>
    <s v=""/>
    <s v=""/>
    <x v="196"/>
    <x v="14"/>
    <s v="GETULINA"/>
    <s v="GETULINA"/>
    <m/>
    <x v="14"/>
    <x v="14"/>
    <x v="10"/>
    <x v="14"/>
    <x v="14"/>
    <x v="14"/>
    <x v="13"/>
    <x v="14"/>
  </r>
  <r>
    <n v="191"/>
    <x v="197"/>
    <s v=""/>
    <s v=""/>
    <s v=""/>
    <s v=""/>
    <x v="197"/>
    <x v="11"/>
    <s v="GLICÉRIO"/>
    <s v="GLICÉRIO"/>
    <m/>
    <x v="11"/>
    <x v="11"/>
    <x v="8"/>
    <x v="11"/>
    <x v="11"/>
    <x v="11"/>
    <x v="10"/>
    <x v="11"/>
  </r>
  <r>
    <n v="192"/>
    <x v="198"/>
    <s v=""/>
    <s v=""/>
    <s v=""/>
    <s v=""/>
    <x v="198"/>
    <x v="14"/>
    <s v="GUAIÇARA"/>
    <s v="GUAIÇARA"/>
    <m/>
    <x v="14"/>
    <x v="14"/>
    <x v="10"/>
    <x v="14"/>
    <x v="14"/>
    <x v="14"/>
    <x v="13"/>
    <x v="14"/>
  </r>
  <r>
    <n v="193"/>
    <x v="199"/>
    <s v=""/>
    <s v=""/>
    <s v=""/>
    <s v=""/>
    <x v="199"/>
    <x v="14"/>
    <s v="GUAIMBÊ"/>
    <s v="GUAIMBÊ"/>
    <m/>
    <x v="14"/>
    <x v="14"/>
    <x v="10"/>
    <x v="14"/>
    <x v="14"/>
    <x v="14"/>
    <x v="13"/>
    <x v="14"/>
  </r>
  <r>
    <n v="194"/>
    <x v="200"/>
    <s v=""/>
    <s v=""/>
    <s v=""/>
    <s v=""/>
    <x v="200"/>
    <x v="9"/>
    <s v="GUAÍRA"/>
    <s v="GUAÍRA"/>
    <m/>
    <x v="9"/>
    <x v="9"/>
    <x v="6"/>
    <x v="9"/>
    <x v="9"/>
    <x v="9"/>
    <x v="8"/>
    <x v="9"/>
  </r>
  <r>
    <n v="195"/>
    <x v="201"/>
    <s v=""/>
    <s v=""/>
    <s v=""/>
    <s v=""/>
    <x v="201"/>
    <x v="1"/>
    <s v="GUAPIAÇU"/>
    <s v="GUAPIAÇU"/>
    <m/>
    <x v="1"/>
    <x v="1"/>
    <x v="1"/>
    <x v="1"/>
    <x v="1"/>
    <x v="1"/>
    <x v="1"/>
    <x v="1"/>
  </r>
  <r>
    <n v="196"/>
    <x v="202"/>
    <s v=""/>
    <s v=""/>
    <s v=""/>
    <s v=""/>
    <x v="202"/>
    <x v="21"/>
    <s v="GUAPIARA"/>
    <s v="GUAPIARA"/>
    <m/>
    <x v="21"/>
    <x v="21"/>
    <x v="17"/>
    <x v="21"/>
    <x v="21"/>
    <x v="21"/>
    <x v="20"/>
    <x v="21"/>
  </r>
  <r>
    <n v="197"/>
    <x v="203"/>
    <s v=""/>
    <s v=""/>
    <s v=""/>
    <s v=""/>
    <x v="203"/>
    <x v="23"/>
    <s v="GUARÁ"/>
    <s v="GUARÁ"/>
    <m/>
    <x v="23"/>
    <x v="23"/>
    <x v="19"/>
    <x v="23"/>
    <x v="23"/>
    <x v="23"/>
    <x v="22"/>
    <x v="23"/>
  </r>
  <r>
    <n v="198"/>
    <x v="204"/>
    <s v=""/>
    <s v=""/>
    <s v=""/>
    <s v=""/>
    <x v="204"/>
    <x v="0"/>
    <s v="GUARAÇAÍ"/>
    <s v="GUARAÇAÍ"/>
    <m/>
    <x v="0"/>
    <x v="0"/>
    <x v="0"/>
    <x v="0"/>
    <x v="0"/>
    <x v="0"/>
    <x v="0"/>
    <x v="0"/>
  </r>
  <r>
    <n v="199"/>
    <x v="205"/>
    <s v=""/>
    <s v=""/>
    <s v=""/>
    <s v=""/>
    <x v="205"/>
    <x v="9"/>
    <s v="GUARACI"/>
    <s v="GUARACI"/>
    <m/>
    <x v="9"/>
    <x v="9"/>
    <x v="6"/>
    <x v="9"/>
    <x v="9"/>
    <x v="9"/>
    <x v="8"/>
    <x v="9"/>
  </r>
  <r>
    <n v="633"/>
    <x v="206"/>
    <s v=""/>
    <s v=""/>
    <s v=""/>
    <s v="Não!, Erro!"/>
    <x v="206"/>
    <x v="20"/>
    <s v="GUARANI D`OESTE"/>
    <s v="GUARANI D`OESTE"/>
    <m/>
    <x v="20"/>
    <x v="20"/>
    <x v="16"/>
    <x v="20"/>
    <x v="20"/>
    <x v="20"/>
    <x v="19"/>
    <x v="20"/>
  </r>
  <r>
    <n v="200"/>
    <x v="207"/>
    <s v=""/>
    <s v=""/>
    <s v=""/>
    <s v=""/>
    <x v="207"/>
    <x v="14"/>
    <s v="GUARANTÃ"/>
    <s v="GUARANTÃ"/>
    <m/>
    <x v="14"/>
    <x v="14"/>
    <x v="10"/>
    <x v="14"/>
    <x v="14"/>
    <x v="14"/>
    <x v="13"/>
    <x v="14"/>
  </r>
  <r>
    <n v="201"/>
    <x v="208"/>
    <s v=""/>
    <s v=""/>
    <s v=""/>
    <s v=""/>
    <x v="208"/>
    <x v="11"/>
    <s v="GUARARAPES"/>
    <s v="GUARARAPES"/>
    <m/>
    <x v="11"/>
    <x v="11"/>
    <x v="8"/>
    <x v="11"/>
    <x v="11"/>
    <x v="11"/>
    <x v="10"/>
    <x v="11"/>
  </r>
  <r>
    <n v="202"/>
    <x v="209"/>
    <s v=""/>
    <s v=""/>
    <s v=""/>
    <s v=""/>
    <x v="209"/>
    <x v="32"/>
    <s v="GUARAREMA"/>
    <s v="GUARAREMA"/>
    <m/>
    <x v="32"/>
    <x v="32"/>
    <x v="27"/>
    <x v="32"/>
    <x v="32"/>
    <x v="32"/>
    <x v="4"/>
    <x v="32"/>
  </r>
  <r>
    <n v="203"/>
    <x v="210"/>
    <s v=""/>
    <s v=""/>
    <s v=""/>
    <s v=""/>
    <x v="210"/>
    <x v="19"/>
    <s v="GUARATINGUETÁ"/>
    <s v="GUARATINGUETÁ"/>
    <m/>
    <x v="19"/>
    <x v="19"/>
    <x v="15"/>
    <x v="19"/>
    <x v="19"/>
    <x v="19"/>
    <x v="18"/>
    <x v="19"/>
  </r>
  <r>
    <n v="204"/>
    <x v="211"/>
    <s v=""/>
    <s v=""/>
    <s v=""/>
    <s v=""/>
    <x v="211"/>
    <x v="7"/>
    <s v="GUAREÍ"/>
    <s v="GUAREÍ"/>
    <m/>
    <x v="7"/>
    <x v="7"/>
    <x v="0"/>
    <x v="7"/>
    <x v="7"/>
    <x v="7"/>
    <x v="7"/>
    <x v="7"/>
  </r>
  <r>
    <n v="205"/>
    <x v="212"/>
    <s v=""/>
    <s v=""/>
    <s v=""/>
    <s v=""/>
    <x v="212"/>
    <x v="29"/>
    <s v="GUARIBA"/>
    <s v="GUARIBA"/>
    <m/>
    <x v="29"/>
    <x v="29"/>
    <x v="24"/>
    <x v="29"/>
    <x v="29"/>
    <x v="29"/>
    <x v="28"/>
    <x v="29"/>
  </r>
  <r>
    <n v="206"/>
    <x v="213"/>
    <s v=""/>
    <s v=""/>
    <s v=""/>
    <s v=""/>
    <x v="213"/>
    <x v="41"/>
    <s v="GUARUJÁ"/>
    <s v="GUARUJÁ"/>
    <m/>
    <x v="41"/>
    <x v="41"/>
    <x v="36"/>
    <x v="40"/>
    <x v="41"/>
    <x v="41"/>
    <x v="38"/>
    <x v="41"/>
  </r>
  <r>
    <n v="207"/>
    <x v="214"/>
    <s v=""/>
    <s v=""/>
    <s v=""/>
    <s v=""/>
    <x v="214"/>
    <x v="25"/>
    <s v="GUARULHOS"/>
    <s v="GUARULHOS"/>
    <m/>
    <x v="25"/>
    <x v="25"/>
    <x v="21"/>
    <x v="25"/>
    <x v="25"/>
    <x v="25"/>
    <x v="24"/>
    <x v="25"/>
  </r>
  <r>
    <n v="208"/>
    <x v="215"/>
    <s v=""/>
    <s v=""/>
    <s v=""/>
    <s v=""/>
    <x v="215"/>
    <x v="29"/>
    <s v="GUATAPARÁ"/>
    <s v="GUATAPARÁ"/>
    <m/>
    <x v="29"/>
    <x v="29"/>
    <x v="24"/>
    <x v="29"/>
    <x v="29"/>
    <x v="29"/>
    <x v="28"/>
    <x v="29"/>
  </r>
  <r>
    <n v="209"/>
    <x v="216"/>
    <s v=""/>
    <s v=""/>
    <s v=""/>
    <s v=""/>
    <x v="216"/>
    <x v="20"/>
    <s v="GUZOLÂNDIA"/>
    <s v="GUZOLÂNDIA"/>
    <m/>
    <x v="20"/>
    <x v="20"/>
    <x v="16"/>
    <x v="20"/>
    <x v="20"/>
    <x v="20"/>
    <x v="19"/>
    <x v="20"/>
  </r>
  <r>
    <n v="210"/>
    <x v="217"/>
    <s v=""/>
    <s v=""/>
    <s v=""/>
    <s v=""/>
    <x v="217"/>
    <x v="14"/>
    <s v="HERCULÂNDIA"/>
    <s v="HERCULÂNDIA"/>
    <m/>
    <x v="14"/>
    <x v="14"/>
    <x v="10"/>
    <x v="14"/>
    <x v="14"/>
    <x v="14"/>
    <x v="13"/>
    <x v="14"/>
  </r>
  <r>
    <n v="211"/>
    <x v="218"/>
    <s v=""/>
    <s v=""/>
    <s v=""/>
    <s v=""/>
    <x v="218"/>
    <x v="17"/>
    <s v="HOLAMBRA"/>
    <s v="HOLAMBRA"/>
    <m/>
    <x v="17"/>
    <x v="17"/>
    <x v="13"/>
    <x v="17"/>
    <x v="17"/>
    <x v="17"/>
    <x v="16"/>
    <x v="17"/>
  </r>
  <r>
    <n v="212"/>
    <x v="219"/>
    <s v=""/>
    <s v=""/>
    <s v=""/>
    <s v=""/>
    <x v="219"/>
    <x v="15"/>
    <s v="HORTOLÂNDIA"/>
    <s v="HORTOLÂNDIA"/>
    <m/>
    <x v="15"/>
    <x v="15"/>
    <x v="11"/>
    <x v="15"/>
    <x v="15"/>
    <x v="15"/>
    <x v="14"/>
    <x v="15"/>
  </r>
  <r>
    <n v="213"/>
    <x v="220"/>
    <s v=""/>
    <s v=""/>
    <s v=""/>
    <s v=""/>
    <x v="220"/>
    <x v="6"/>
    <s v="IACANGA"/>
    <s v="IACANGA"/>
    <m/>
    <x v="6"/>
    <x v="6"/>
    <x v="4"/>
    <x v="6"/>
    <x v="6"/>
    <x v="6"/>
    <x v="6"/>
    <x v="6"/>
  </r>
  <r>
    <n v="214"/>
    <x v="221"/>
    <s v=""/>
    <s v=""/>
    <s v=""/>
    <s v=""/>
    <x v="221"/>
    <x v="14"/>
    <s v="IACRI"/>
    <s v="IACRI"/>
    <m/>
    <x v="14"/>
    <x v="14"/>
    <x v="10"/>
    <x v="14"/>
    <x v="14"/>
    <x v="14"/>
    <x v="13"/>
    <x v="14"/>
  </r>
  <r>
    <n v="215"/>
    <x v="222"/>
    <s v=""/>
    <s v=""/>
    <s v=""/>
    <s v=""/>
    <x v="222"/>
    <x v="4"/>
    <s v="IARAS"/>
    <s v="IARAS"/>
    <m/>
    <x v="4"/>
    <x v="4"/>
    <x v="3"/>
    <x v="4"/>
    <x v="4"/>
    <x v="4"/>
    <x v="4"/>
    <x v="4"/>
  </r>
  <r>
    <n v="216"/>
    <x v="223"/>
    <s v=""/>
    <s v=""/>
    <s v=""/>
    <s v=""/>
    <x v="223"/>
    <x v="33"/>
    <s v="IBATÉ"/>
    <s v="IBATÉ"/>
    <m/>
    <x v="33"/>
    <x v="33"/>
    <x v="28"/>
    <x v="33"/>
    <x v="33"/>
    <x v="33"/>
    <x v="31"/>
    <x v="33"/>
  </r>
  <r>
    <n v="217"/>
    <x v="224"/>
    <s v=""/>
    <s v=""/>
    <s v=""/>
    <s v=""/>
    <x v="224"/>
    <x v="1"/>
    <s v="IBIRÁ"/>
    <s v="IBIRÁ"/>
    <m/>
    <x v="1"/>
    <x v="1"/>
    <x v="1"/>
    <x v="1"/>
    <x v="1"/>
    <x v="1"/>
    <x v="1"/>
    <x v="1"/>
  </r>
  <r>
    <n v="218"/>
    <x v="225"/>
    <s v=""/>
    <s v=""/>
    <s v=""/>
    <s v=""/>
    <x v="225"/>
    <x v="26"/>
    <s v="IBIRAREMA"/>
    <s v="IBIRAREMA"/>
    <m/>
    <x v="26"/>
    <x v="26"/>
    <x v="22"/>
    <x v="26"/>
    <x v="26"/>
    <x v="26"/>
    <x v="25"/>
    <x v="26"/>
  </r>
  <r>
    <n v="219"/>
    <x v="226"/>
    <s v=""/>
    <s v=""/>
    <s v=""/>
    <s v=""/>
    <x v="226"/>
    <x v="16"/>
    <s v="IBITINGA"/>
    <s v="IBITINGA"/>
    <m/>
    <x v="16"/>
    <x v="16"/>
    <x v="12"/>
    <x v="16"/>
    <x v="16"/>
    <x v="16"/>
    <x v="15"/>
    <x v="16"/>
  </r>
  <r>
    <n v="220"/>
    <x v="227"/>
    <s v=""/>
    <s v=""/>
    <s v=""/>
    <s v=""/>
    <x v="227"/>
    <x v="22"/>
    <s v="IBIÚNA"/>
    <s v="IBIÚNA"/>
    <m/>
    <x v="22"/>
    <x v="22"/>
    <x v="18"/>
    <x v="22"/>
    <x v="22"/>
    <x v="22"/>
    <x v="21"/>
    <x v="22"/>
  </r>
  <r>
    <n v="221"/>
    <x v="228"/>
    <s v=""/>
    <s v=""/>
    <s v=""/>
    <s v=""/>
    <x v="228"/>
    <x v="1"/>
    <s v="ICÉM"/>
    <s v="ICÉM"/>
    <m/>
    <x v="1"/>
    <x v="1"/>
    <x v="1"/>
    <x v="1"/>
    <x v="1"/>
    <x v="1"/>
    <x v="1"/>
    <x v="1"/>
  </r>
  <r>
    <n v="222"/>
    <x v="229"/>
    <s v=""/>
    <s v=""/>
    <s v=""/>
    <s v=""/>
    <x v="229"/>
    <x v="8"/>
    <s v="IEPÊ"/>
    <s v="IEPÊ"/>
    <m/>
    <x v="8"/>
    <x v="8"/>
    <x v="5"/>
    <x v="8"/>
    <x v="8"/>
    <x v="8"/>
    <x v="4"/>
    <x v="8"/>
  </r>
  <r>
    <n v="223"/>
    <x v="230"/>
    <s v=""/>
    <s v=""/>
    <s v=""/>
    <s v=""/>
    <x v="230"/>
    <x v="6"/>
    <s v="IGARAÇU DO TIETÊ"/>
    <s v="IGARAÇU DO TIETÊ"/>
    <m/>
    <x v="6"/>
    <x v="6"/>
    <x v="4"/>
    <x v="6"/>
    <x v="6"/>
    <x v="6"/>
    <x v="6"/>
    <x v="6"/>
  </r>
  <r>
    <n v="224"/>
    <x v="231"/>
    <s v=""/>
    <s v=""/>
    <s v=""/>
    <s v=""/>
    <x v="231"/>
    <x v="23"/>
    <s v="IGARAPAVA"/>
    <s v="IGARAPAVA"/>
    <m/>
    <x v="23"/>
    <x v="23"/>
    <x v="19"/>
    <x v="23"/>
    <x v="23"/>
    <x v="23"/>
    <x v="22"/>
    <x v="23"/>
  </r>
  <r>
    <n v="225"/>
    <x v="232"/>
    <s v=""/>
    <s v=""/>
    <s v=""/>
    <s v=""/>
    <x v="232"/>
    <x v="35"/>
    <s v="IGARATÁ"/>
    <s v="IGARATÁ"/>
    <m/>
    <x v="35"/>
    <x v="35"/>
    <x v="30"/>
    <x v="35"/>
    <x v="35"/>
    <x v="35"/>
    <x v="33"/>
    <x v="35"/>
  </r>
  <r>
    <n v="226"/>
    <x v="233"/>
    <s v=""/>
    <s v=""/>
    <s v=""/>
    <s v=""/>
    <x v="233"/>
    <x v="28"/>
    <s v="IGUAPE"/>
    <s v="IGUAPE"/>
    <m/>
    <x v="28"/>
    <x v="28"/>
    <x v="23"/>
    <x v="28"/>
    <x v="28"/>
    <x v="28"/>
    <x v="27"/>
    <x v="28"/>
  </r>
  <r>
    <n v="227"/>
    <x v="234"/>
    <s v=""/>
    <s v=""/>
    <s v=""/>
    <s v=""/>
    <x v="234"/>
    <x v="28"/>
    <s v="ILHA COMPRIDA"/>
    <s v="ILHA COMPRIDA"/>
    <m/>
    <x v="28"/>
    <x v="28"/>
    <x v="23"/>
    <x v="28"/>
    <x v="28"/>
    <x v="28"/>
    <x v="27"/>
    <x v="28"/>
  </r>
  <r>
    <n v="228"/>
    <x v="235"/>
    <s v=""/>
    <s v=""/>
    <s v=""/>
    <s v=""/>
    <x v="235"/>
    <x v="20"/>
    <s v="ILHA SOLTEIRA"/>
    <s v="ILHA SOLTEIRA"/>
    <m/>
    <x v="20"/>
    <x v="20"/>
    <x v="16"/>
    <x v="20"/>
    <x v="20"/>
    <x v="20"/>
    <x v="19"/>
    <x v="20"/>
  </r>
  <r>
    <n v="229"/>
    <x v="236"/>
    <s v=""/>
    <s v=""/>
    <s v=""/>
    <s v=""/>
    <x v="236"/>
    <x v="38"/>
    <s v="ILHABELA"/>
    <s v="ILHABELA"/>
    <m/>
    <x v="38"/>
    <x v="38"/>
    <x v="33"/>
    <x v="37"/>
    <x v="38"/>
    <x v="38"/>
    <x v="35"/>
    <x v="38"/>
  </r>
  <r>
    <n v="230"/>
    <x v="237"/>
    <s v=""/>
    <s v=""/>
    <s v=""/>
    <s v=""/>
    <x v="237"/>
    <x v="34"/>
    <s v="INDAIATUBA"/>
    <s v="INDAIATUBA"/>
    <m/>
    <x v="34"/>
    <x v="34"/>
    <x v="29"/>
    <x v="34"/>
    <x v="34"/>
    <x v="34"/>
    <x v="32"/>
    <x v="34"/>
  </r>
  <r>
    <n v="231"/>
    <x v="238"/>
    <s v=""/>
    <s v=""/>
    <s v=""/>
    <s v=""/>
    <x v="238"/>
    <x v="8"/>
    <s v="INDIANA"/>
    <s v="INDIANA"/>
    <m/>
    <x v="8"/>
    <x v="8"/>
    <x v="5"/>
    <x v="8"/>
    <x v="8"/>
    <x v="8"/>
    <x v="4"/>
    <x v="8"/>
  </r>
  <r>
    <n v="232"/>
    <x v="239"/>
    <s v=""/>
    <s v=""/>
    <s v=""/>
    <s v=""/>
    <x v="239"/>
    <x v="20"/>
    <s v="INDIAPORÃ"/>
    <s v="INDIAPORÃ"/>
    <m/>
    <x v="20"/>
    <x v="20"/>
    <x v="16"/>
    <x v="20"/>
    <x v="20"/>
    <x v="20"/>
    <x v="19"/>
    <x v="20"/>
  </r>
  <r>
    <n v="233"/>
    <x v="240"/>
    <s v=""/>
    <s v=""/>
    <s v=""/>
    <s v=""/>
    <x v="240"/>
    <x v="0"/>
    <s v="INÚBIA PAULISTA"/>
    <s v="INÚBIA PAULISTA"/>
    <m/>
    <x v="0"/>
    <x v="0"/>
    <x v="0"/>
    <x v="0"/>
    <x v="0"/>
    <x v="0"/>
    <x v="0"/>
    <x v="0"/>
  </r>
  <r>
    <n v="234"/>
    <x v="241"/>
    <s v=""/>
    <s v=""/>
    <s v=""/>
    <s v=""/>
    <x v="241"/>
    <x v="26"/>
    <s v="IPAUSSU"/>
    <s v="IPAUSSU"/>
    <m/>
    <x v="26"/>
    <x v="26"/>
    <x v="22"/>
    <x v="26"/>
    <x v="26"/>
    <x v="26"/>
    <x v="25"/>
    <x v="26"/>
  </r>
  <r>
    <n v="235"/>
    <x v="242"/>
    <s v=""/>
    <s v=""/>
    <s v=""/>
    <s v=""/>
    <x v="242"/>
    <x v="22"/>
    <s v="IPERÓ"/>
    <s v="IPERÓ"/>
    <m/>
    <x v="22"/>
    <x v="22"/>
    <x v="18"/>
    <x v="22"/>
    <x v="22"/>
    <x v="22"/>
    <x v="21"/>
    <x v="22"/>
  </r>
  <r>
    <n v="236"/>
    <x v="243"/>
    <s v=""/>
    <s v=""/>
    <s v=""/>
    <s v=""/>
    <x v="243"/>
    <x v="5"/>
    <s v="IPEÚNA"/>
    <s v="IPEÚNA"/>
    <m/>
    <x v="5"/>
    <x v="5"/>
    <x v="0"/>
    <x v="5"/>
    <x v="5"/>
    <x v="5"/>
    <x v="5"/>
    <x v="5"/>
  </r>
  <r>
    <n v="237"/>
    <x v="244"/>
    <s v=""/>
    <s v=""/>
    <s v=""/>
    <s v=""/>
    <x v="244"/>
    <x v="1"/>
    <s v="IPIGUÁ"/>
    <s v="IPIGUÁ"/>
    <m/>
    <x v="1"/>
    <x v="1"/>
    <x v="1"/>
    <x v="1"/>
    <x v="1"/>
    <x v="1"/>
    <x v="1"/>
    <x v="1"/>
  </r>
  <r>
    <n v="238"/>
    <x v="245"/>
    <s v=""/>
    <s v=""/>
    <s v=""/>
    <s v=""/>
    <x v="245"/>
    <x v="28"/>
    <s v="IPORANGA"/>
    <s v="IPORANGA"/>
    <m/>
    <x v="28"/>
    <x v="28"/>
    <x v="23"/>
    <x v="28"/>
    <x v="28"/>
    <x v="28"/>
    <x v="27"/>
    <x v="28"/>
  </r>
  <r>
    <n v="239"/>
    <x v="246"/>
    <s v=""/>
    <s v=""/>
    <s v=""/>
    <s v=""/>
    <x v="246"/>
    <x v="10"/>
    <s v="IPUÃ"/>
    <s v="IPUÃ"/>
    <m/>
    <x v="10"/>
    <x v="10"/>
    <x v="7"/>
    <x v="10"/>
    <x v="10"/>
    <x v="10"/>
    <x v="9"/>
    <x v="10"/>
  </r>
  <r>
    <n v="240"/>
    <x v="247"/>
    <s v=""/>
    <s v=""/>
    <s v=""/>
    <s v=""/>
    <x v="247"/>
    <x v="24"/>
    <s v="IRACEMÁPOLIS"/>
    <s v="IRACEMÁPOLIS"/>
    <m/>
    <x v="24"/>
    <x v="24"/>
    <x v="20"/>
    <x v="24"/>
    <x v="24"/>
    <x v="24"/>
    <x v="23"/>
    <x v="24"/>
  </r>
  <r>
    <n v="241"/>
    <x v="248"/>
    <s v=""/>
    <s v=""/>
    <s v=""/>
    <s v=""/>
    <x v="248"/>
    <x v="1"/>
    <s v="IRAPUÃ"/>
    <s v="IRAPUÃ"/>
    <m/>
    <x v="1"/>
    <x v="1"/>
    <x v="1"/>
    <x v="1"/>
    <x v="1"/>
    <x v="1"/>
    <x v="1"/>
    <x v="1"/>
  </r>
  <r>
    <n v="242"/>
    <x v="249"/>
    <s v=""/>
    <s v=""/>
    <s v=""/>
    <s v=""/>
    <x v="249"/>
    <x v="0"/>
    <s v="IRAPURU"/>
    <s v="IRAPURU"/>
    <m/>
    <x v="0"/>
    <x v="0"/>
    <x v="0"/>
    <x v="0"/>
    <x v="0"/>
    <x v="0"/>
    <x v="0"/>
    <x v="0"/>
  </r>
  <r>
    <n v="243"/>
    <x v="250"/>
    <s v=""/>
    <s v=""/>
    <s v=""/>
    <s v=""/>
    <x v="250"/>
    <x v="21"/>
    <s v="ITABERÁ"/>
    <s v="ITABERÁ"/>
    <m/>
    <x v="21"/>
    <x v="21"/>
    <x v="17"/>
    <x v="21"/>
    <x v="21"/>
    <x v="21"/>
    <x v="20"/>
    <x v="21"/>
  </r>
  <r>
    <n v="244"/>
    <x v="251"/>
    <s v=""/>
    <s v=""/>
    <s v=""/>
    <s v=""/>
    <x v="251"/>
    <x v="4"/>
    <s v="ITAÍ"/>
    <s v="ITAÍ"/>
    <m/>
    <x v="4"/>
    <x v="4"/>
    <x v="3"/>
    <x v="4"/>
    <x v="4"/>
    <x v="4"/>
    <x v="4"/>
    <x v="4"/>
  </r>
  <r>
    <n v="245"/>
    <x v="252"/>
    <s v=""/>
    <s v=""/>
    <s v=""/>
    <s v=""/>
    <x v="252"/>
    <x v="1"/>
    <s v="ITAJOBI"/>
    <s v="ITAJOBI"/>
    <m/>
    <x v="1"/>
    <x v="1"/>
    <x v="1"/>
    <x v="1"/>
    <x v="1"/>
    <x v="1"/>
    <x v="1"/>
    <x v="1"/>
  </r>
  <r>
    <n v="246"/>
    <x v="253"/>
    <s v=""/>
    <s v=""/>
    <s v=""/>
    <s v=""/>
    <x v="253"/>
    <x v="6"/>
    <s v="ITAJU"/>
    <s v="ITAJU"/>
    <m/>
    <x v="6"/>
    <x v="6"/>
    <x v="4"/>
    <x v="6"/>
    <x v="6"/>
    <x v="6"/>
    <x v="6"/>
    <x v="6"/>
  </r>
  <r>
    <n v="247"/>
    <x v="254"/>
    <s v=""/>
    <s v=""/>
    <s v=""/>
    <s v=""/>
    <x v="254"/>
    <x v="41"/>
    <s v="ITANHAÉM"/>
    <s v="ITANHAÉM"/>
    <m/>
    <x v="41"/>
    <x v="41"/>
    <x v="36"/>
    <x v="40"/>
    <x v="41"/>
    <x v="41"/>
    <x v="38"/>
    <x v="41"/>
  </r>
  <r>
    <n v="248"/>
    <x v="255"/>
    <s v=""/>
    <s v=""/>
    <s v=""/>
    <s v=""/>
    <x v="255"/>
    <x v="21"/>
    <s v="ITAÓCA"/>
    <s v="ITAÓCA"/>
    <m/>
    <x v="21"/>
    <x v="21"/>
    <x v="17"/>
    <x v="21"/>
    <x v="21"/>
    <x v="21"/>
    <x v="20"/>
    <x v="21"/>
  </r>
  <r>
    <n v="249"/>
    <x v="256"/>
    <s v=""/>
    <s v=""/>
    <s v=""/>
    <s v=""/>
    <x v="256"/>
    <x v="39"/>
    <s v="ITAPECERICA DA SERRA"/>
    <s v="ITAPECERICA DA SERRA"/>
    <m/>
    <x v="39"/>
    <x v="39"/>
    <x v="34"/>
    <x v="38"/>
    <x v="39"/>
    <x v="39"/>
    <x v="36"/>
    <x v="39"/>
  </r>
  <r>
    <n v="250"/>
    <x v="257"/>
    <s v=""/>
    <s v=""/>
    <s v=""/>
    <s v=""/>
    <x v="257"/>
    <x v="7"/>
    <s v="ITAPETININGA"/>
    <s v="ITAPETININGA"/>
    <m/>
    <x v="7"/>
    <x v="7"/>
    <x v="0"/>
    <x v="7"/>
    <x v="7"/>
    <x v="7"/>
    <x v="7"/>
    <x v="7"/>
  </r>
  <r>
    <n v="251"/>
    <x v="258"/>
    <s v=""/>
    <s v=""/>
    <s v=""/>
    <s v=""/>
    <x v="258"/>
    <x v="21"/>
    <s v="ITAPEVA"/>
    <s v="ITAPEVA"/>
    <m/>
    <x v="21"/>
    <x v="21"/>
    <x v="17"/>
    <x v="21"/>
    <x v="21"/>
    <x v="21"/>
    <x v="20"/>
    <x v="21"/>
  </r>
  <r>
    <n v="252"/>
    <x v="259"/>
    <s v=""/>
    <s v=""/>
    <s v=""/>
    <s v=""/>
    <x v="259"/>
    <x v="30"/>
    <s v="ITAPEVI"/>
    <s v="ITAPEVI"/>
    <m/>
    <x v="30"/>
    <x v="30"/>
    <x v="25"/>
    <x v="30"/>
    <x v="30"/>
    <x v="30"/>
    <x v="29"/>
    <x v="30"/>
  </r>
  <r>
    <n v="253"/>
    <x v="260"/>
    <s v=""/>
    <s v=""/>
    <s v=""/>
    <s v=""/>
    <x v="260"/>
    <x v="3"/>
    <s v="ITAPIRA"/>
    <s v="ITAPIRA"/>
    <m/>
    <x v="3"/>
    <x v="3"/>
    <x v="2"/>
    <x v="3"/>
    <x v="3"/>
    <x v="3"/>
    <x v="3"/>
    <x v="3"/>
  </r>
  <r>
    <n v="254"/>
    <x v="261"/>
    <s v=""/>
    <s v=""/>
    <s v=""/>
    <s v=""/>
    <x v="261"/>
    <x v="21"/>
    <s v="ITAPIRAPUÃ PAULISTA"/>
    <s v="ITAPIRAPUÃ PAULISTA"/>
    <m/>
    <x v="21"/>
    <x v="21"/>
    <x v="17"/>
    <x v="21"/>
    <x v="21"/>
    <x v="21"/>
    <x v="20"/>
    <x v="21"/>
  </r>
  <r>
    <n v="255"/>
    <x v="262"/>
    <s v=""/>
    <s v=""/>
    <s v=""/>
    <s v=""/>
    <x v="262"/>
    <x v="16"/>
    <s v="ITÁPOLIS"/>
    <s v="ITÁPOLIS"/>
    <m/>
    <x v="16"/>
    <x v="16"/>
    <x v="12"/>
    <x v="16"/>
    <x v="16"/>
    <x v="16"/>
    <x v="15"/>
    <x v="16"/>
  </r>
  <r>
    <n v="256"/>
    <x v="263"/>
    <s v=""/>
    <s v=""/>
    <s v=""/>
    <s v=""/>
    <x v="263"/>
    <x v="4"/>
    <s v="ITAPORANGA"/>
    <s v="ITAPORANGA"/>
    <m/>
    <x v="4"/>
    <x v="4"/>
    <x v="3"/>
    <x v="4"/>
    <x v="4"/>
    <x v="4"/>
    <x v="4"/>
    <x v="4"/>
  </r>
  <r>
    <n v="257"/>
    <x v="264"/>
    <s v=""/>
    <s v=""/>
    <s v=""/>
    <s v=""/>
    <x v="264"/>
    <x v="6"/>
    <s v="ITAPUÍ"/>
    <s v="ITAPUÍ"/>
    <m/>
    <x v="6"/>
    <x v="6"/>
    <x v="4"/>
    <x v="6"/>
    <x v="6"/>
    <x v="6"/>
    <x v="6"/>
    <x v="6"/>
  </r>
  <r>
    <n v="258"/>
    <x v="265"/>
    <s v=""/>
    <s v=""/>
    <s v=""/>
    <s v=""/>
    <x v="265"/>
    <x v="20"/>
    <s v="ITAPURA"/>
    <s v="ITAPURA"/>
    <m/>
    <x v="20"/>
    <x v="20"/>
    <x v="16"/>
    <x v="20"/>
    <x v="20"/>
    <x v="20"/>
    <x v="19"/>
    <x v="20"/>
  </r>
  <r>
    <n v="259"/>
    <x v="266"/>
    <s v=""/>
    <s v=""/>
    <s v=""/>
    <s v=""/>
    <x v="266"/>
    <x v="32"/>
    <s v="ITAQUAQUECETUBA"/>
    <s v="ITAQUAQUECETUBA"/>
    <m/>
    <x v="32"/>
    <x v="32"/>
    <x v="27"/>
    <x v="32"/>
    <x v="32"/>
    <x v="32"/>
    <x v="4"/>
    <x v="32"/>
  </r>
  <r>
    <n v="260"/>
    <x v="267"/>
    <s v=""/>
    <s v=""/>
    <s v=""/>
    <s v=""/>
    <x v="267"/>
    <x v="21"/>
    <s v="ITARARÉ"/>
    <s v="ITARARÉ"/>
    <m/>
    <x v="21"/>
    <x v="21"/>
    <x v="17"/>
    <x v="21"/>
    <x v="21"/>
    <x v="21"/>
    <x v="20"/>
    <x v="21"/>
  </r>
  <r>
    <n v="261"/>
    <x v="268"/>
    <s v=""/>
    <s v=""/>
    <s v=""/>
    <s v=""/>
    <x v="268"/>
    <x v="28"/>
    <s v="ITARIRI"/>
    <s v="ITARIRI"/>
    <m/>
    <x v="28"/>
    <x v="28"/>
    <x v="23"/>
    <x v="28"/>
    <x v="28"/>
    <x v="28"/>
    <x v="27"/>
    <x v="28"/>
  </r>
  <r>
    <n v="262"/>
    <x v="269"/>
    <s v=""/>
    <s v=""/>
    <s v=""/>
    <s v=""/>
    <x v="269"/>
    <x v="27"/>
    <s v="ITATIBA"/>
    <s v="ITATIBA"/>
    <m/>
    <x v="27"/>
    <x v="27"/>
    <x v="0"/>
    <x v="27"/>
    <x v="27"/>
    <x v="27"/>
    <x v="26"/>
    <x v="27"/>
  </r>
  <r>
    <n v="263"/>
    <x v="270"/>
    <s v=""/>
    <s v=""/>
    <s v=""/>
    <s v=""/>
    <x v="270"/>
    <x v="4"/>
    <s v="ITATINGA"/>
    <s v="ITATINGA"/>
    <m/>
    <x v="4"/>
    <x v="4"/>
    <x v="3"/>
    <x v="4"/>
    <x v="4"/>
    <x v="4"/>
    <x v="4"/>
    <x v="4"/>
  </r>
  <r>
    <n v="264"/>
    <x v="271"/>
    <s v=""/>
    <s v=""/>
    <s v=""/>
    <s v=""/>
    <x v="271"/>
    <x v="33"/>
    <s v="ITIRAPINA"/>
    <s v="ITIRAPINA"/>
    <m/>
    <x v="33"/>
    <x v="33"/>
    <x v="28"/>
    <x v="33"/>
    <x v="33"/>
    <x v="33"/>
    <x v="31"/>
    <x v="33"/>
  </r>
  <r>
    <n v="265"/>
    <x v="272"/>
    <s v=""/>
    <s v=""/>
    <s v=""/>
    <s v=""/>
    <x v="272"/>
    <x v="23"/>
    <s v="ITIRAPUÃ"/>
    <s v="ITIRAPUÃ"/>
    <m/>
    <x v="23"/>
    <x v="23"/>
    <x v="19"/>
    <x v="23"/>
    <x v="23"/>
    <x v="23"/>
    <x v="22"/>
    <x v="23"/>
  </r>
  <r>
    <n v="266"/>
    <x v="273"/>
    <s v=""/>
    <s v=""/>
    <s v=""/>
    <s v=""/>
    <x v="273"/>
    <x v="2"/>
    <s v="ITOBI"/>
    <s v="ITOBI"/>
    <m/>
    <x v="2"/>
    <x v="2"/>
    <x v="0"/>
    <x v="2"/>
    <x v="2"/>
    <x v="2"/>
    <x v="2"/>
    <x v="2"/>
  </r>
  <r>
    <n v="267"/>
    <x v="274"/>
    <s v=""/>
    <s v=""/>
    <s v=""/>
    <s v=""/>
    <x v="274"/>
    <x v="12"/>
    <s v="ITU"/>
    <s v="ITU"/>
    <m/>
    <x v="12"/>
    <x v="12"/>
    <x v="0"/>
    <x v="12"/>
    <x v="12"/>
    <x v="12"/>
    <x v="11"/>
    <x v="12"/>
  </r>
  <r>
    <n v="268"/>
    <x v="275"/>
    <s v=""/>
    <s v=""/>
    <s v=""/>
    <s v=""/>
    <x v="275"/>
    <x v="34"/>
    <s v="ITUPEVA"/>
    <s v="ITUPEVA"/>
    <m/>
    <x v="34"/>
    <x v="34"/>
    <x v="29"/>
    <x v="34"/>
    <x v="34"/>
    <x v="34"/>
    <x v="32"/>
    <x v="34"/>
  </r>
  <r>
    <n v="269"/>
    <x v="276"/>
    <s v=""/>
    <s v=""/>
    <s v=""/>
    <s v=""/>
    <x v="276"/>
    <x v="23"/>
    <s v="ITUVERAVA"/>
    <s v="ITUVERAVA"/>
    <m/>
    <x v="23"/>
    <x v="23"/>
    <x v="19"/>
    <x v="23"/>
    <x v="23"/>
    <x v="23"/>
    <x v="22"/>
    <x v="23"/>
  </r>
  <r>
    <n v="270"/>
    <x v="277"/>
    <s v=""/>
    <s v=""/>
    <s v=""/>
    <s v=""/>
    <x v="277"/>
    <x v="9"/>
    <s v="JABORANDI"/>
    <s v="JABORANDI"/>
    <m/>
    <x v="9"/>
    <x v="9"/>
    <x v="6"/>
    <x v="9"/>
    <x v="9"/>
    <x v="9"/>
    <x v="8"/>
    <x v="9"/>
  </r>
  <r>
    <n v="271"/>
    <x v="278"/>
    <s v=""/>
    <s v=""/>
    <s v=""/>
    <s v=""/>
    <x v="278"/>
    <x v="29"/>
    <s v="JABOTICABAL"/>
    <s v="JABOTICABAL"/>
    <m/>
    <x v="29"/>
    <x v="29"/>
    <x v="24"/>
    <x v="29"/>
    <x v="29"/>
    <x v="29"/>
    <x v="28"/>
    <x v="29"/>
  </r>
  <r>
    <n v="272"/>
    <x v="279"/>
    <s v=""/>
    <s v=""/>
    <s v=""/>
    <s v=""/>
    <x v="279"/>
    <x v="35"/>
    <s v="JACAREÍ"/>
    <s v="JACAREÍ"/>
    <m/>
    <x v="35"/>
    <x v="35"/>
    <x v="30"/>
    <x v="35"/>
    <x v="35"/>
    <x v="35"/>
    <x v="33"/>
    <x v="35"/>
  </r>
  <r>
    <n v="273"/>
    <x v="280"/>
    <s v=""/>
    <s v=""/>
    <s v=""/>
    <s v=""/>
    <x v="280"/>
    <x v="1"/>
    <s v="JACI"/>
    <s v="JACI"/>
    <m/>
    <x v="1"/>
    <x v="1"/>
    <x v="1"/>
    <x v="1"/>
    <x v="1"/>
    <x v="1"/>
    <x v="1"/>
    <x v="1"/>
  </r>
  <r>
    <n v="274"/>
    <x v="281"/>
    <s v=""/>
    <s v=""/>
    <s v=""/>
    <s v=""/>
    <x v="281"/>
    <x v="28"/>
    <s v="JACUPIRANGA"/>
    <s v="JACUPIRANGA"/>
    <m/>
    <x v="28"/>
    <x v="28"/>
    <x v="23"/>
    <x v="28"/>
    <x v="28"/>
    <x v="28"/>
    <x v="27"/>
    <x v="28"/>
  </r>
  <r>
    <n v="275"/>
    <x v="282"/>
    <s v=""/>
    <s v=""/>
    <s v=""/>
    <s v=""/>
    <x v="282"/>
    <x v="17"/>
    <s v="JAGUARIÚNA"/>
    <s v="JAGUARIÚNA"/>
    <m/>
    <x v="17"/>
    <x v="17"/>
    <x v="13"/>
    <x v="17"/>
    <x v="17"/>
    <x v="17"/>
    <x v="16"/>
    <x v="17"/>
  </r>
  <r>
    <n v="276"/>
    <x v="283"/>
    <s v=""/>
    <s v=""/>
    <s v=""/>
    <s v=""/>
    <x v="283"/>
    <x v="20"/>
    <s v="JALES"/>
    <s v="JALES"/>
    <m/>
    <x v="20"/>
    <x v="20"/>
    <x v="16"/>
    <x v="20"/>
    <x v="20"/>
    <x v="20"/>
    <x v="19"/>
    <x v="20"/>
  </r>
  <r>
    <n v="277"/>
    <x v="284"/>
    <s v=""/>
    <s v=""/>
    <s v=""/>
    <s v=""/>
    <x v="284"/>
    <x v="35"/>
    <s v="JAMBEIRO"/>
    <s v="JAMBEIRO"/>
    <m/>
    <x v="35"/>
    <x v="35"/>
    <x v="30"/>
    <x v="35"/>
    <x v="35"/>
    <x v="35"/>
    <x v="33"/>
    <x v="35"/>
  </r>
  <r>
    <n v="278"/>
    <x v="285"/>
    <s v=""/>
    <s v=""/>
    <s v=""/>
    <s v=""/>
    <x v="285"/>
    <x v="30"/>
    <s v="JANDIRA"/>
    <s v="JANDIRA"/>
    <m/>
    <x v="30"/>
    <x v="30"/>
    <x v="25"/>
    <x v="30"/>
    <x v="30"/>
    <x v="30"/>
    <x v="29"/>
    <x v="30"/>
  </r>
  <r>
    <n v="279"/>
    <x v="286"/>
    <s v=""/>
    <s v=""/>
    <s v=""/>
    <s v=""/>
    <x v="286"/>
    <x v="10"/>
    <s v="JARDINÓPOLIS"/>
    <s v="JARDINÓPOLIS"/>
    <m/>
    <x v="10"/>
    <x v="10"/>
    <x v="7"/>
    <x v="10"/>
    <x v="10"/>
    <x v="10"/>
    <x v="9"/>
    <x v="10"/>
  </r>
  <r>
    <n v="280"/>
    <x v="287"/>
    <s v=""/>
    <s v=""/>
    <s v=""/>
    <s v=""/>
    <x v="287"/>
    <x v="34"/>
    <s v="JARINU"/>
    <s v="JARINU"/>
    <m/>
    <x v="34"/>
    <x v="34"/>
    <x v="29"/>
    <x v="34"/>
    <x v="34"/>
    <x v="34"/>
    <x v="32"/>
    <x v="34"/>
  </r>
  <r>
    <n v="281"/>
    <x v="288"/>
    <s v=""/>
    <s v=""/>
    <s v=""/>
    <s v=""/>
    <x v="288"/>
    <x v="6"/>
    <s v="JAÚ"/>
    <s v="JAÚ"/>
    <m/>
    <x v="6"/>
    <x v="6"/>
    <x v="4"/>
    <x v="6"/>
    <x v="6"/>
    <x v="6"/>
    <x v="6"/>
    <x v="6"/>
  </r>
  <r>
    <n v="282"/>
    <x v="289"/>
    <s v=""/>
    <s v=""/>
    <s v=""/>
    <s v=""/>
    <x v="289"/>
    <x v="23"/>
    <s v="JERIQUARA"/>
    <s v="JERIQUARA"/>
    <m/>
    <x v="23"/>
    <x v="23"/>
    <x v="19"/>
    <x v="23"/>
    <x v="23"/>
    <x v="23"/>
    <x v="22"/>
    <x v="23"/>
  </r>
  <r>
    <n v="283"/>
    <x v="290"/>
    <s v=""/>
    <s v=""/>
    <s v=""/>
    <s v=""/>
    <x v="290"/>
    <x v="27"/>
    <s v="JOANÓPOLIS"/>
    <s v="JOANÓPOLIS"/>
    <m/>
    <x v="27"/>
    <x v="27"/>
    <x v="0"/>
    <x v="27"/>
    <x v="27"/>
    <x v="27"/>
    <x v="26"/>
    <x v="27"/>
  </r>
  <r>
    <n v="284"/>
    <x v="291"/>
    <s v=""/>
    <s v=""/>
    <s v=""/>
    <s v=""/>
    <x v="291"/>
    <x v="26"/>
    <s v="JOÃO RAMALHO"/>
    <s v="JOÃO RAMALHO"/>
    <m/>
    <x v="26"/>
    <x v="26"/>
    <x v="22"/>
    <x v="26"/>
    <x v="26"/>
    <x v="26"/>
    <x v="25"/>
    <x v="26"/>
  </r>
  <r>
    <n v="285"/>
    <x v="292"/>
    <s v=""/>
    <s v=""/>
    <s v=""/>
    <s v=""/>
    <x v="292"/>
    <x v="1"/>
    <s v="JOSÉ BONIFÁCIO"/>
    <s v="JOSÉ BONIFÁCIO"/>
    <m/>
    <x v="1"/>
    <x v="1"/>
    <x v="1"/>
    <x v="1"/>
    <x v="1"/>
    <x v="1"/>
    <x v="1"/>
    <x v="1"/>
  </r>
  <r>
    <n v="286"/>
    <x v="293"/>
    <s v=""/>
    <s v=""/>
    <s v=""/>
    <s v=""/>
    <x v="293"/>
    <x v="14"/>
    <s v="JÚLIO MESQUITA"/>
    <s v="JÚLIO MESQUITA"/>
    <m/>
    <x v="14"/>
    <x v="14"/>
    <x v="10"/>
    <x v="14"/>
    <x v="14"/>
    <x v="14"/>
    <x v="13"/>
    <x v="14"/>
  </r>
  <r>
    <n v="287"/>
    <x v="294"/>
    <s v=""/>
    <s v=""/>
    <s v=""/>
    <s v=""/>
    <x v="294"/>
    <x v="12"/>
    <s v="JUMIRIM"/>
    <s v="JUMIRIM"/>
    <m/>
    <x v="12"/>
    <x v="12"/>
    <x v="0"/>
    <x v="12"/>
    <x v="12"/>
    <x v="12"/>
    <x v="11"/>
    <x v="12"/>
  </r>
  <r>
    <n v="288"/>
    <x v="295"/>
    <s v=""/>
    <s v=""/>
    <s v=""/>
    <s v=""/>
    <x v="295"/>
    <x v="34"/>
    <s v="JUNDIAÍ"/>
    <s v="JUNDIAÍ"/>
    <m/>
    <x v="34"/>
    <x v="34"/>
    <x v="29"/>
    <x v="34"/>
    <x v="34"/>
    <x v="34"/>
    <x v="32"/>
    <x v="34"/>
  </r>
  <r>
    <n v="289"/>
    <x v="296"/>
    <s v=""/>
    <s v=""/>
    <s v=""/>
    <s v=""/>
    <x v="296"/>
    <x v="0"/>
    <s v="JUNQUEIRÓPOLIS"/>
    <s v="JUNQUEIRÓPOLIS"/>
    <m/>
    <x v="0"/>
    <x v="0"/>
    <x v="0"/>
    <x v="0"/>
    <x v="0"/>
    <x v="0"/>
    <x v="0"/>
    <x v="0"/>
  </r>
  <r>
    <n v="290"/>
    <x v="297"/>
    <s v=""/>
    <s v=""/>
    <s v=""/>
    <s v=""/>
    <x v="297"/>
    <x v="28"/>
    <s v="JUQUIÁ"/>
    <s v="JUQUIÁ"/>
    <m/>
    <x v="28"/>
    <x v="28"/>
    <x v="23"/>
    <x v="28"/>
    <x v="28"/>
    <x v="28"/>
    <x v="27"/>
    <x v="28"/>
  </r>
  <r>
    <n v="291"/>
    <x v="298"/>
    <s v=""/>
    <s v=""/>
    <s v=""/>
    <s v=""/>
    <x v="298"/>
    <x v="39"/>
    <s v="JUQUITIBA"/>
    <s v="JUQUITIBA"/>
    <m/>
    <x v="39"/>
    <x v="39"/>
    <x v="34"/>
    <x v="38"/>
    <x v="39"/>
    <x v="39"/>
    <x v="36"/>
    <x v="39"/>
  </r>
  <r>
    <n v="292"/>
    <x v="299"/>
    <s v=""/>
    <s v=""/>
    <s v=""/>
    <s v=""/>
    <x v="299"/>
    <x v="19"/>
    <s v="LAGOINHA"/>
    <s v="LAGOINHA"/>
    <m/>
    <x v="19"/>
    <x v="19"/>
    <x v="15"/>
    <x v="19"/>
    <x v="19"/>
    <x v="19"/>
    <x v="18"/>
    <x v="19"/>
  </r>
  <r>
    <n v="293"/>
    <x v="300"/>
    <s v=""/>
    <s v=""/>
    <s v=""/>
    <s v=""/>
    <x v="300"/>
    <x v="18"/>
    <s v="LARANJAL PAULISTA"/>
    <s v="LARANJAL PAULISTA"/>
    <m/>
    <x v="18"/>
    <x v="18"/>
    <x v="14"/>
    <x v="18"/>
    <x v="18"/>
    <x v="18"/>
    <x v="17"/>
    <x v="18"/>
  </r>
  <r>
    <n v="294"/>
    <x v="301"/>
    <s v=""/>
    <s v=""/>
    <s v=""/>
    <s v=""/>
    <x v="301"/>
    <x v="11"/>
    <s v="LAVÍNIA"/>
    <s v="LAVÍNIA"/>
    <m/>
    <x v="11"/>
    <x v="11"/>
    <x v="8"/>
    <x v="11"/>
    <x v="11"/>
    <x v="11"/>
    <x v="10"/>
    <x v="11"/>
  </r>
  <r>
    <n v="295"/>
    <x v="302"/>
    <s v=""/>
    <s v=""/>
    <s v=""/>
    <s v=""/>
    <x v="302"/>
    <x v="19"/>
    <s v="LAVRINHAS"/>
    <s v="LAVRINHAS"/>
    <m/>
    <x v="19"/>
    <x v="19"/>
    <x v="15"/>
    <x v="19"/>
    <x v="19"/>
    <x v="19"/>
    <x v="18"/>
    <x v="19"/>
  </r>
  <r>
    <n v="296"/>
    <x v="303"/>
    <s v=""/>
    <s v=""/>
    <s v=""/>
    <s v=""/>
    <x v="303"/>
    <x v="3"/>
    <s v="LEME"/>
    <s v="LEME"/>
    <m/>
    <x v="3"/>
    <x v="3"/>
    <x v="2"/>
    <x v="3"/>
    <x v="3"/>
    <x v="3"/>
    <x v="3"/>
    <x v="3"/>
  </r>
  <r>
    <n v="297"/>
    <x v="304"/>
    <s v=""/>
    <s v=""/>
    <s v=""/>
    <s v=""/>
    <x v="304"/>
    <x v="6"/>
    <s v="LENÇÓIS PAULISTA"/>
    <s v="LENÇÓIS PAULISTA"/>
    <m/>
    <x v="6"/>
    <x v="6"/>
    <x v="4"/>
    <x v="6"/>
    <x v="6"/>
    <x v="6"/>
    <x v="6"/>
    <x v="6"/>
  </r>
  <r>
    <n v="298"/>
    <x v="305"/>
    <s v=""/>
    <s v=""/>
    <s v=""/>
    <s v=""/>
    <x v="305"/>
    <x v="24"/>
    <s v="LIMEIRA"/>
    <s v="LIMEIRA"/>
    <m/>
    <x v="24"/>
    <x v="24"/>
    <x v="20"/>
    <x v="24"/>
    <x v="24"/>
    <x v="24"/>
    <x v="23"/>
    <x v="24"/>
  </r>
  <r>
    <n v="299"/>
    <x v="306"/>
    <s v=""/>
    <s v=""/>
    <s v=""/>
    <s v=""/>
    <x v="306"/>
    <x v="3"/>
    <s v="LINDÓIA"/>
    <s v="LINDÓIA"/>
    <m/>
    <x v="3"/>
    <x v="3"/>
    <x v="2"/>
    <x v="3"/>
    <x v="3"/>
    <x v="3"/>
    <x v="3"/>
    <x v="3"/>
  </r>
  <r>
    <n v="300"/>
    <x v="307"/>
    <s v=""/>
    <s v=""/>
    <s v=""/>
    <s v=""/>
    <x v="307"/>
    <x v="14"/>
    <s v="LINS"/>
    <s v="LINS"/>
    <m/>
    <x v="14"/>
    <x v="14"/>
    <x v="10"/>
    <x v="14"/>
    <x v="14"/>
    <x v="14"/>
    <x v="13"/>
    <x v="14"/>
  </r>
  <r>
    <n v="301"/>
    <x v="308"/>
    <s v=""/>
    <s v=""/>
    <s v=""/>
    <s v=""/>
    <x v="308"/>
    <x v="19"/>
    <s v="LORENA"/>
    <s v="LORENA"/>
    <m/>
    <x v="19"/>
    <x v="19"/>
    <x v="15"/>
    <x v="19"/>
    <x v="19"/>
    <x v="19"/>
    <x v="18"/>
    <x v="19"/>
  </r>
  <r>
    <n v="302"/>
    <x v="309"/>
    <s v=""/>
    <s v=""/>
    <s v=""/>
    <s v=""/>
    <x v="309"/>
    <x v="11"/>
    <s v="LOURDES"/>
    <s v="LOURDES"/>
    <m/>
    <x v="11"/>
    <x v="11"/>
    <x v="8"/>
    <x v="11"/>
    <x v="11"/>
    <x v="11"/>
    <x v="10"/>
    <x v="11"/>
  </r>
  <r>
    <n v="303"/>
    <x v="310"/>
    <s v=""/>
    <s v=""/>
    <s v=""/>
    <s v=""/>
    <x v="310"/>
    <x v="37"/>
    <s v="LOUVEIRA"/>
    <s v="LOUVEIRA"/>
    <m/>
    <x v="37"/>
    <x v="37"/>
    <x v="32"/>
    <x v="36"/>
    <x v="37"/>
    <x v="37"/>
    <x v="34"/>
    <x v="37"/>
  </r>
  <r>
    <n v="304"/>
    <x v="311"/>
    <s v=""/>
    <s v=""/>
    <s v=""/>
    <s v=""/>
    <x v="311"/>
    <x v="0"/>
    <s v="LUCÉLIA"/>
    <s v="LUCÉLIA"/>
    <m/>
    <x v="0"/>
    <x v="0"/>
    <x v="0"/>
    <x v="0"/>
    <x v="0"/>
    <x v="0"/>
    <x v="0"/>
    <x v="0"/>
  </r>
  <r>
    <n v="305"/>
    <x v="312"/>
    <s v=""/>
    <s v=""/>
    <s v=""/>
    <s v=""/>
    <x v="312"/>
    <x v="6"/>
    <s v="LUCIANÓPOLIS"/>
    <s v="LUCIANÓPOLIS"/>
    <m/>
    <x v="6"/>
    <x v="6"/>
    <x v="4"/>
    <x v="6"/>
    <x v="6"/>
    <x v="6"/>
    <x v="6"/>
    <x v="6"/>
  </r>
  <r>
    <n v="306"/>
    <x v="313"/>
    <s v=""/>
    <s v=""/>
    <s v=""/>
    <s v=""/>
    <x v="313"/>
    <x v="29"/>
    <s v="LUÍS ANTÔNIO"/>
    <s v="LUÍS ANTÔNIO"/>
    <m/>
    <x v="29"/>
    <x v="29"/>
    <x v="24"/>
    <x v="29"/>
    <x v="29"/>
    <x v="29"/>
    <x v="28"/>
    <x v="29"/>
  </r>
  <r>
    <n v="307"/>
    <x v="314"/>
    <s v=""/>
    <s v=""/>
    <s v=""/>
    <s v=""/>
    <x v="314"/>
    <x v="11"/>
    <s v="LUIZIÂNIA"/>
    <s v="LUIZIÂNIA"/>
    <m/>
    <x v="11"/>
    <x v="11"/>
    <x v="8"/>
    <x v="11"/>
    <x v="11"/>
    <x v="11"/>
    <x v="10"/>
    <x v="11"/>
  </r>
  <r>
    <n v="308"/>
    <x v="315"/>
    <s v=""/>
    <s v=""/>
    <s v=""/>
    <s v=""/>
    <x v="315"/>
    <x v="14"/>
    <s v="LUPÉRCIO"/>
    <s v="LUPÉRCIO"/>
    <m/>
    <x v="14"/>
    <x v="14"/>
    <x v="10"/>
    <x v="14"/>
    <x v="14"/>
    <x v="14"/>
    <x v="13"/>
    <x v="14"/>
  </r>
  <r>
    <n v="309"/>
    <x v="316"/>
    <s v=""/>
    <s v=""/>
    <s v=""/>
    <s v=""/>
    <x v="316"/>
    <x v="26"/>
    <s v="LUTÉCIA"/>
    <s v="LUTÉCIA"/>
    <m/>
    <x v="26"/>
    <x v="26"/>
    <x v="22"/>
    <x v="26"/>
    <x v="26"/>
    <x v="26"/>
    <x v="25"/>
    <x v="26"/>
  </r>
  <r>
    <n v="310"/>
    <x v="317"/>
    <s v=""/>
    <s v=""/>
    <s v=""/>
    <s v=""/>
    <x v="317"/>
    <x v="6"/>
    <s v="MACATUBA"/>
    <s v="MACATUBA"/>
    <m/>
    <x v="6"/>
    <x v="6"/>
    <x v="4"/>
    <x v="6"/>
    <x v="6"/>
    <x v="6"/>
    <x v="6"/>
    <x v="6"/>
  </r>
  <r>
    <n v="311"/>
    <x v="318"/>
    <s v=""/>
    <s v=""/>
    <s v=""/>
    <s v=""/>
    <x v="318"/>
    <x v="13"/>
    <s v="MACAUBAL"/>
    <s v="MACAUBAL"/>
    <m/>
    <x v="13"/>
    <x v="13"/>
    <x v="9"/>
    <x v="13"/>
    <x v="13"/>
    <x v="13"/>
    <x v="12"/>
    <x v="13"/>
  </r>
  <r>
    <n v="312"/>
    <x v="319"/>
    <s v=""/>
    <s v=""/>
    <s v=""/>
    <s v=""/>
    <x v="319"/>
    <x v="13"/>
    <s v="MACEDÔNIA"/>
    <s v="MACEDÔNIA"/>
    <m/>
    <x v="13"/>
    <x v="13"/>
    <x v="9"/>
    <x v="13"/>
    <x v="13"/>
    <x v="13"/>
    <x v="12"/>
    <x v="13"/>
  </r>
  <r>
    <n v="313"/>
    <x v="320"/>
    <s v=""/>
    <s v=""/>
    <s v=""/>
    <s v=""/>
    <x v="320"/>
    <x v="13"/>
    <s v="MAGDA"/>
    <s v="MAGDA"/>
    <m/>
    <x v="13"/>
    <x v="13"/>
    <x v="9"/>
    <x v="13"/>
    <x v="13"/>
    <x v="13"/>
    <x v="12"/>
    <x v="13"/>
  </r>
  <r>
    <n v="314"/>
    <x v="321"/>
    <s v=""/>
    <s v=""/>
    <s v=""/>
    <s v=""/>
    <x v="321"/>
    <x v="12"/>
    <s v="MAIRINQUE"/>
    <s v="MAIRINQUE"/>
    <m/>
    <x v="12"/>
    <x v="12"/>
    <x v="0"/>
    <x v="12"/>
    <x v="12"/>
    <x v="12"/>
    <x v="11"/>
    <x v="12"/>
  </r>
  <r>
    <n v="315"/>
    <x v="322"/>
    <s v=""/>
    <s v=""/>
    <s v=""/>
    <s v=""/>
    <x v="322"/>
    <x v="25"/>
    <s v="MAIRIPORÃ"/>
    <s v="MAIRIPORÃ"/>
    <m/>
    <x v="25"/>
    <x v="25"/>
    <x v="21"/>
    <x v="25"/>
    <x v="25"/>
    <x v="25"/>
    <x v="24"/>
    <x v="25"/>
  </r>
  <r>
    <n v="316"/>
    <x v="323"/>
    <s v=""/>
    <s v=""/>
    <s v=""/>
    <s v=""/>
    <x v="323"/>
    <x v="4"/>
    <s v="MANDURI"/>
    <s v="MANDURI"/>
    <m/>
    <x v="4"/>
    <x v="4"/>
    <x v="3"/>
    <x v="4"/>
    <x v="4"/>
    <x v="4"/>
    <x v="4"/>
    <x v="4"/>
  </r>
  <r>
    <n v="317"/>
    <x v="324"/>
    <s v=""/>
    <s v=""/>
    <s v=""/>
    <s v=""/>
    <x v="324"/>
    <x v="8"/>
    <s v="MARABÁ PAULISTA"/>
    <s v="MARABÁ PAULISTA"/>
    <m/>
    <x v="8"/>
    <x v="8"/>
    <x v="5"/>
    <x v="8"/>
    <x v="8"/>
    <x v="8"/>
    <x v="4"/>
    <x v="8"/>
  </r>
  <r>
    <n v="318"/>
    <x v="325"/>
    <s v=""/>
    <s v=""/>
    <s v=""/>
    <s v=""/>
    <x v="325"/>
    <x v="26"/>
    <s v="MARACAÍ"/>
    <s v="MARACAÍ"/>
    <m/>
    <x v="26"/>
    <x v="26"/>
    <x v="22"/>
    <x v="26"/>
    <x v="26"/>
    <x v="26"/>
    <x v="25"/>
    <x v="26"/>
  </r>
  <r>
    <n v="319"/>
    <x v="326"/>
    <s v=""/>
    <s v=""/>
    <s v=""/>
    <s v=""/>
    <x v="326"/>
    <x v="1"/>
    <s v="MARAPOAMA"/>
    <s v="MARAPOAMA"/>
    <m/>
    <x v="1"/>
    <x v="1"/>
    <x v="1"/>
    <x v="1"/>
    <x v="1"/>
    <x v="1"/>
    <x v="1"/>
    <x v="1"/>
  </r>
  <r>
    <n v="320"/>
    <x v="327"/>
    <s v=""/>
    <s v=""/>
    <s v=""/>
    <s v=""/>
    <x v="327"/>
    <x v="0"/>
    <s v="MARIÁPOLIS"/>
    <s v="MARIÁPOLIS"/>
    <m/>
    <x v="0"/>
    <x v="0"/>
    <x v="0"/>
    <x v="0"/>
    <x v="0"/>
    <x v="0"/>
    <x v="0"/>
    <x v="0"/>
  </r>
  <r>
    <n v="321"/>
    <x v="328"/>
    <s v=""/>
    <s v=""/>
    <s v=""/>
    <s v=""/>
    <x v="328"/>
    <x v="14"/>
    <s v="MARÍLIA"/>
    <s v="MARÍLIA"/>
    <m/>
    <x v="14"/>
    <x v="14"/>
    <x v="10"/>
    <x v="14"/>
    <x v="14"/>
    <x v="14"/>
    <x v="13"/>
    <x v="14"/>
  </r>
  <r>
    <n v="322"/>
    <x v="329"/>
    <s v=""/>
    <s v=""/>
    <s v=""/>
    <s v=""/>
    <x v="329"/>
    <x v="20"/>
    <s v="MARINÓPOLIS"/>
    <s v="MARINÓPOLIS"/>
    <m/>
    <x v="20"/>
    <x v="20"/>
    <x v="16"/>
    <x v="20"/>
    <x v="20"/>
    <x v="20"/>
    <x v="19"/>
    <x v="20"/>
  </r>
  <r>
    <n v="323"/>
    <x v="330"/>
    <s v=""/>
    <s v=""/>
    <s v=""/>
    <s v=""/>
    <x v="330"/>
    <x v="8"/>
    <s v="MARTINÓPOLIS"/>
    <s v="MARTINÓPOLIS"/>
    <m/>
    <x v="8"/>
    <x v="8"/>
    <x v="5"/>
    <x v="8"/>
    <x v="8"/>
    <x v="8"/>
    <x v="4"/>
    <x v="8"/>
  </r>
  <r>
    <n v="324"/>
    <x v="331"/>
    <s v=""/>
    <s v=""/>
    <s v=""/>
    <s v=""/>
    <x v="331"/>
    <x v="16"/>
    <s v="MATÃO"/>
    <s v="MATÃO"/>
    <m/>
    <x v="16"/>
    <x v="16"/>
    <x v="12"/>
    <x v="16"/>
    <x v="16"/>
    <x v="16"/>
    <x v="15"/>
    <x v="16"/>
  </r>
  <r>
    <n v="325"/>
    <x v="332"/>
    <s v=""/>
    <s v=""/>
    <s v=""/>
    <s v=""/>
    <x v="332"/>
    <x v="42"/>
    <s v="MAUÁ"/>
    <s v="MAUÁ"/>
    <m/>
    <x v="42"/>
    <x v="40"/>
    <x v="35"/>
    <x v="39"/>
    <x v="40"/>
    <x v="40"/>
    <x v="37"/>
    <x v="42"/>
  </r>
  <r>
    <n v="326"/>
    <x v="333"/>
    <s v=""/>
    <s v=""/>
    <s v=""/>
    <s v=""/>
    <x v="333"/>
    <x v="1"/>
    <s v="MENDONÇA"/>
    <s v="MENDONÇA"/>
    <m/>
    <x v="1"/>
    <x v="1"/>
    <x v="1"/>
    <x v="1"/>
    <x v="1"/>
    <x v="1"/>
    <x v="1"/>
    <x v="1"/>
  </r>
  <r>
    <n v="327"/>
    <x v="334"/>
    <s v=""/>
    <s v=""/>
    <s v=""/>
    <s v=""/>
    <x v="334"/>
    <x v="13"/>
    <s v="MERIDIANO"/>
    <s v="MERIDIANO"/>
    <m/>
    <x v="13"/>
    <x v="13"/>
    <x v="9"/>
    <x v="13"/>
    <x v="13"/>
    <x v="13"/>
    <x v="12"/>
    <x v="13"/>
  </r>
  <r>
    <n v="328"/>
    <x v="335"/>
    <s v=""/>
    <s v=""/>
    <s v=""/>
    <s v=""/>
    <x v="335"/>
    <x v="20"/>
    <s v="MESÓPOLIS"/>
    <s v="MESÓPOLIS"/>
    <m/>
    <x v="20"/>
    <x v="20"/>
    <x v="16"/>
    <x v="20"/>
    <x v="20"/>
    <x v="20"/>
    <x v="19"/>
    <x v="20"/>
  </r>
  <r>
    <n v="329"/>
    <x v="336"/>
    <s v=""/>
    <s v=""/>
    <s v=""/>
    <s v=""/>
    <x v="336"/>
    <x v="9"/>
    <s v="MIGUELÓPOLIS"/>
    <s v="MIGUELÓPOLIS"/>
    <m/>
    <x v="9"/>
    <x v="9"/>
    <x v="6"/>
    <x v="9"/>
    <x v="9"/>
    <x v="9"/>
    <x v="8"/>
    <x v="9"/>
  </r>
  <r>
    <n v="330"/>
    <x v="337"/>
    <s v=""/>
    <s v=""/>
    <s v=""/>
    <s v=""/>
    <x v="337"/>
    <x v="6"/>
    <s v="MINEIROS DO TIETÊ"/>
    <s v="MINEIROS DO TIETÊ"/>
    <m/>
    <x v="6"/>
    <x v="6"/>
    <x v="4"/>
    <x v="6"/>
    <x v="6"/>
    <x v="6"/>
    <x v="6"/>
    <x v="6"/>
  </r>
  <r>
    <n v="331"/>
    <x v="338"/>
    <s v=""/>
    <s v=""/>
    <s v=""/>
    <s v=""/>
    <x v="338"/>
    <x v="13"/>
    <s v="MIRA ESTRELA"/>
    <s v="MIRA ESTRELA"/>
    <m/>
    <x v="13"/>
    <x v="13"/>
    <x v="9"/>
    <x v="13"/>
    <x v="13"/>
    <x v="13"/>
    <x v="12"/>
    <x v="13"/>
  </r>
  <r>
    <n v="332"/>
    <x v="339"/>
    <s v=""/>
    <s v=""/>
    <s v=""/>
    <s v=""/>
    <x v="339"/>
    <x v="28"/>
    <s v="MIRACATU"/>
    <s v="MIRACATU"/>
    <m/>
    <x v="28"/>
    <x v="28"/>
    <x v="23"/>
    <x v="28"/>
    <x v="28"/>
    <x v="28"/>
    <x v="27"/>
    <x v="28"/>
  </r>
  <r>
    <n v="333"/>
    <x v="340"/>
    <s v=""/>
    <s v=""/>
    <s v=""/>
    <s v=""/>
    <x v="340"/>
    <x v="11"/>
    <s v="MIRANDÓPOLIS"/>
    <s v="MIRANDÓPOLIS"/>
    <m/>
    <x v="11"/>
    <x v="11"/>
    <x v="8"/>
    <x v="11"/>
    <x v="11"/>
    <x v="11"/>
    <x v="10"/>
    <x v="11"/>
  </r>
  <r>
    <n v="334"/>
    <x v="341"/>
    <s v=""/>
    <s v=""/>
    <s v=""/>
    <s v=""/>
    <x v="341"/>
    <x v="8"/>
    <s v="MIRANTE DO PARANAPANEMA"/>
    <s v="MIRANTE DO PARANAPANEMA"/>
    <m/>
    <x v="8"/>
    <x v="8"/>
    <x v="5"/>
    <x v="8"/>
    <x v="8"/>
    <x v="8"/>
    <x v="4"/>
    <x v="8"/>
  </r>
  <r>
    <n v="335"/>
    <x v="342"/>
    <s v=""/>
    <s v=""/>
    <s v=""/>
    <s v=""/>
    <x v="342"/>
    <x v="1"/>
    <s v="MIRASSOL"/>
    <s v="MIRASSOL"/>
    <m/>
    <x v="1"/>
    <x v="1"/>
    <x v="1"/>
    <x v="1"/>
    <x v="1"/>
    <x v="1"/>
    <x v="1"/>
    <x v="1"/>
  </r>
  <r>
    <n v="336"/>
    <x v="343"/>
    <s v=""/>
    <s v=""/>
    <s v=""/>
    <s v=""/>
    <x v="343"/>
    <x v="1"/>
    <s v="MIRASSOLÂNDIA"/>
    <s v="MIRASSOLÂNDIA"/>
    <m/>
    <x v="1"/>
    <x v="1"/>
    <x v="1"/>
    <x v="1"/>
    <x v="1"/>
    <x v="1"/>
    <x v="1"/>
    <x v="1"/>
  </r>
  <r>
    <n v="337"/>
    <x v="344"/>
    <s v=""/>
    <s v=""/>
    <s v=""/>
    <s v=""/>
    <x v="344"/>
    <x v="2"/>
    <s v="MOCOCA"/>
    <s v="MOCOCA"/>
    <m/>
    <x v="2"/>
    <x v="2"/>
    <x v="0"/>
    <x v="2"/>
    <x v="2"/>
    <x v="2"/>
    <x v="2"/>
    <x v="2"/>
  </r>
  <r>
    <n v="338"/>
    <x v="345"/>
    <s v=""/>
    <s v=""/>
    <s v=""/>
    <s v=""/>
    <x v="345"/>
    <x v="3"/>
    <s v="MOGI GUAÇU"/>
    <s v="MOGI GUAÇU"/>
    <m/>
    <x v="3"/>
    <x v="3"/>
    <x v="2"/>
    <x v="3"/>
    <x v="3"/>
    <x v="3"/>
    <x v="3"/>
    <x v="3"/>
  </r>
  <r>
    <n v="634"/>
    <x v="346"/>
    <s v=""/>
    <s v=""/>
    <s v=""/>
    <s v="Não!, Erro!"/>
    <x v="346"/>
    <x v="32"/>
    <s v="MOGI DAS CRUZES"/>
    <s v="MOGI DAS CRUZES"/>
    <m/>
    <x v="32"/>
    <x v="32"/>
    <x v="27"/>
    <x v="32"/>
    <x v="32"/>
    <x v="32"/>
    <x v="4"/>
    <x v="32"/>
  </r>
  <r>
    <n v="645"/>
    <x v="347"/>
    <s v="Têm Hifen"/>
    <s v=""/>
    <s v=""/>
    <s v="Não!, Erro!"/>
    <x v="347"/>
    <x v="3"/>
    <s v="MOGI-MIRIM"/>
    <s v="MOGI-MIRIM"/>
    <m/>
    <x v="3"/>
    <x v="3"/>
    <x v="2"/>
    <x v="3"/>
    <x v="3"/>
    <x v="3"/>
    <x v="3"/>
    <x v="3"/>
  </r>
  <r>
    <n v="339"/>
    <x v="348"/>
    <s v=""/>
    <s v=""/>
    <s v=""/>
    <s v=""/>
    <x v="348"/>
    <x v="37"/>
    <s v="MOMBUCA"/>
    <s v="MOMBUCA"/>
    <m/>
    <x v="37"/>
    <x v="37"/>
    <x v="32"/>
    <x v="36"/>
    <x v="37"/>
    <x v="37"/>
    <x v="34"/>
    <x v="37"/>
  </r>
  <r>
    <n v="340"/>
    <x v="349"/>
    <s v=""/>
    <s v=""/>
    <s v=""/>
    <s v=""/>
    <x v="349"/>
    <x v="13"/>
    <s v="MONÇÕES"/>
    <s v="MONÇÕES"/>
    <m/>
    <x v="13"/>
    <x v="13"/>
    <x v="9"/>
    <x v="13"/>
    <x v="13"/>
    <x v="13"/>
    <x v="12"/>
    <x v="13"/>
  </r>
  <r>
    <n v="341"/>
    <x v="350"/>
    <s v=""/>
    <s v=""/>
    <s v=""/>
    <s v=""/>
    <x v="350"/>
    <x v="41"/>
    <s v="MONGAGUÁ"/>
    <s v="MONGAGUÁ"/>
    <m/>
    <x v="41"/>
    <x v="41"/>
    <x v="36"/>
    <x v="40"/>
    <x v="41"/>
    <x v="41"/>
    <x v="38"/>
    <x v="41"/>
  </r>
  <r>
    <n v="342"/>
    <x v="351"/>
    <s v=""/>
    <s v=""/>
    <s v=""/>
    <s v=""/>
    <x v="351"/>
    <x v="17"/>
    <s v="MONTE ALEGRE DO SUL"/>
    <s v="MONTE ALEGRE DO SUL"/>
    <m/>
    <x v="17"/>
    <x v="17"/>
    <x v="13"/>
    <x v="17"/>
    <x v="17"/>
    <x v="17"/>
    <x v="16"/>
    <x v="17"/>
  </r>
  <r>
    <n v="343"/>
    <x v="352"/>
    <s v=""/>
    <s v=""/>
    <s v=""/>
    <s v=""/>
    <x v="352"/>
    <x v="29"/>
    <s v="MONTE ALTO"/>
    <s v="MONTE ALTO"/>
    <m/>
    <x v="29"/>
    <x v="29"/>
    <x v="24"/>
    <x v="29"/>
    <x v="29"/>
    <x v="29"/>
    <x v="28"/>
    <x v="29"/>
  </r>
  <r>
    <n v="344"/>
    <x v="353"/>
    <s v=""/>
    <s v=""/>
    <s v=""/>
    <s v=""/>
    <x v="353"/>
    <x v="13"/>
    <s v="MONTE APRAZÍVEL"/>
    <s v="MONTE APRAZÍVEL"/>
    <m/>
    <x v="13"/>
    <x v="13"/>
    <x v="9"/>
    <x v="13"/>
    <x v="13"/>
    <x v="13"/>
    <x v="12"/>
    <x v="13"/>
  </r>
  <r>
    <n v="345"/>
    <x v="354"/>
    <s v=""/>
    <s v=""/>
    <s v=""/>
    <s v=""/>
    <x v="354"/>
    <x v="9"/>
    <s v="MONTE AZUL PAULISTA"/>
    <s v="MONTE AZUL PAULISTA"/>
    <m/>
    <x v="9"/>
    <x v="9"/>
    <x v="6"/>
    <x v="9"/>
    <x v="9"/>
    <x v="9"/>
    <x v="8"/>
    <x v="9"/>
  </r>
  <r>
    <n v="346"/>
    <x v="355"/>
    <s v=""/>
    <s v=""/>
    <s v=""/>
    <s v=""/>
    <x v="355"/>
    <x v="0"/>
    <s v="MONTE CASTELO"/>
    <s v="MONTE CASTELO"/>
    <m/>
    <x v="0"/>
    <x v="0"/>
    <x v="0"/>
    <x v="0"/>
    <x v="0"/>
    <x v="0"/>
    <x v="0"/>
    <x v="0"/>
  </r>
  <r>
    <n v="347"/>
    <x v="356"/>
    <s v=""/>
    <s v=""/>
    <s v=""/>
    <s v=""/>
    <x v="356"/>
    <x v="37"/>
    <s v="MONTE MOR"/>
    <s v="MONTE MOR"/>
    <m/>
    <x v="37"/>
    <x v="37"/>
    <x v="32"/>
    <x v="36"/>
    <x v="37"/>
    <x v="37"/>
    <x v="34"/>
    <x v="37"/>
  </r>
  <r>
    <n v="348"/>
    <x v="357"/>
    <s v=""/>
    <s v=""/>
    <s v=""/>
    <s v=""/>
    <x v="357"/>
    <x v="35"/>
    <s v="MONTEIRO LOBATO"/>
    <s v="MONTEIRO LOBATO"/>
    <m/>
    <x v="35"/>
    <x v="35"/>
    <x v="30"/>
    <x v="35"/>
    <x v="35"/>
    <x v="35"/>
    <x v="33"/>
    <x v="35"/>
  </r>
  <r>
    <n v="349"/>
    <x v="358"/>
    <s v=""/>
    <s v=""/>
    <s v=""/>
    <s v=""/>
    <x v="358"/>
    <x v="10"/>
    <s v="MORRO AGUDO"/>
    <s v="MORRO AGUDO"/>
    <m/>
    <x v="10"/>
    <x v="10"/>
    <x v="7"/>
    <x v="10"/>
    <x v="10"/>
    <x v="10"/>
    <x v="9"/>
    <x v="10"/>
  </r>
  <r>
    <n v="350"/>
    <x v="359"/>
    <s v=""/>
    <s v=""/>
    <s v=""/>
    <s v=""/>
    <x v="359"/>
    <x v="17"/>
    <s v="MORUNGABA"/>
    <s v="MORUNGABA"/>
    <m/>
    <x v="17"/>
    <x v="17"/>
    <x v="13"/>
    <x v="17"/>
    <x v="17"/>
    <x v="17"/>
    <x v="16"/>
    <x v="17"/>
  </r>
  <r>
    <n v="351"/>
    <x v="360"/>
    <s v=""/>
    <s v=""/>
    <s v=""/>
    <s v=""/>
    <x v="360"/>
    <x v="16"/>
    <s v="MOTUCA"/>
    <s v="MOTUCA"/>
    <m/>
    <x v="16"/>
    <x v="16"/>
    <x v="12"/>
    <x v="16"/>
    <x v="16"/>
    <x v="16"/>
    <x v="15"/>
    <x v="16"/>
  </r>
  <r>
    <n v="352"/>
    <x v="361"/>
    <s v=""/>
    <s v=""/>
    <s v=""/>
    <s v=""/>
    <x v="361"/>
    <x v="0"/>
    <s v="MURUTINGA DO SUL"/>
    <s v="MURUTINGA DO SUL"/>
    <m/>
    <x v="0"/>
    <x v="0"/>
    <x v="0"/>
    <x v="0"/>
    <x v="0"/>
    <x v="0"/>
    <x v="0"/>
    <x v="0"/>
  </r>
  <r>
    <n v="353"/>
    <x v="362"/>
    <s v=""/>
    <s v=""/>
    <s v=""/>
    <s v=""/>
    <x v="362"/>
    <x v="8"/>
    <s v="NANTES"/>
    <s v="NANTES"/>
    <m/>
    <x v="8"/>
    <x v="8"/>
    <x v="5"/>
    <x v="8"/>
    <x v="8"/>
    <x v="8"/>
    <x v="4"/>
    <x v="8"/>
  </r>
  <r>
    <n v="354"/>
    <x v="363"/>
    <s v=""/>
    <s v=""/>
    <s v=""/>
    <s v=""/>
    <x v="363"/>
    <x v="8"/>
    <s v="NARANDIBA"/>
    <s v="NARANDIBA"/>
    <m/>
    <x v="8"/>
    <x v="8"/>
    <x v="5"/>
    <x v="8"/>
    <x v="8"/>
    <x v="8"/>
    <x v="4"/>
    <x v="8"/>
  </r>
  <r>
    <n v="355"/>
    <x v="364"/>
    <s v=""/>
    <s v=""/>
    <s v=""/>
    <s v=""/>
    <x v="364"/>
    <x v="19"/>
    <s v="NATIVIDADE DA SERRA"/>
    <s v="NATIVIDADE DA SERRA"/>
    <m/>
    <x v="19"/>
    <x v="19"/>
    <x v="15"/>
    <x v="19"/>
    <x v="19"/>
    <x v="19"/>
    <x v="18"/>
    <x v="19"/>
  </r>
  <r>
    <n v="356"/>
    <x v="365"/>
    <s v=""/>
    <s v=""/>
    <s v=""/>
    <s v=""/>
    <x v="365"/>
    <x v="27"/>
    <s v="NAZARÉ PAULISTA"/>
    <s v="NAZARÉ PAULISTA"/>
    <m/>
    <x v="27"/>
    <x v="27"/>
    <x v="0"/>
    <x v="27"/>
    <x v="27"/>
    <x v="27"/>
    <x v="26"/>
    <x v="27"/>
  </r>
  <r>
    <n v="357"/>
    <x v="366"/>
    <s v=""/>
    <s v=""/>
    <s v=""/>
    <s v=""/>
    <x v="366"/>
    <x v="1"/>
    <s v="NEVES PAULISTA"/>
    <s v="NEVES PAULISTA"/>
    <m/>
    <x v="1"/>
    <x v="1"/>
    <x v="1"/>
    <x v="1"/>
    <x v="1"/>
    <x v="1"/>
    <x v="1"/>
    <x v="1"/>
  </r>
  <r>
    <n v="358"/>
    <x v="367"/>
    <s v=""/>
    <s v=""/>
    <s v=""/>
    <s v=""/>
    <x v="367"/>
    <x v="13"/>
    <s v="NHANDEARA"/>
    <s v="NHANDEARA"/>
    <m/>
    <x v="13"/>
    <x v="13"/>
    <x v="9"/>
    <x v="13"/>
    <x v="13"/>
    <x v="13"/>
    <x v="12"/>
    <x v="13"/>
  </r>
  <r>
    <n v="359"/>
    <x v="368"/>
    <s v=""/>
    <s v=""/>
    <s v=""/>
    <s v=""/>
    <x v="368"/>
    <x v="1"/>
    <s v="NIPOÃ"/>
    <s v="NIPOÃ"/>
    <m/>
    <x v="1"/>
    <x v="1"/>
    <x v="1"/>
    <x v="1"/>
    <x v="1"/>
    <x v="1"/>
    <x v="1"/>
    <x v="1"/>
  </r>
  <r>
    <n v="360"/>
    <x v="369"/>
    <s v=""/>
    <s v=""/>
    <s v=""/>
    <s v=""/>
    <x v="369"/>
    <x v="1"/>
    <s v="NOVA ALIANÇA"/>
    <s v="NOVA ALIANÇA"/>
    <m/>
    <x v="1"/>
    <x v="1"/>
    <x v="1"/>
    <x v="1"/>
    <x v="1"/>
    <x v="1"/>
    <x v="1"/>
    <x v="1"/>
  </r>
  <r>
    <n v="361"/>
    <x v="370"/>
    <s v=""/>
    <s v=""/>
    <s v=""/>
    <s v=""/>
    <x v="370"/>
    <x v="21"/>
    <s v="NOVA CAMPINA"/>
    <s v="NOVA CAMPINA"/>
    <m/>
    <x v="21"/>
    <x v="21"/>
    <x v="17"/>
    <x v="21"/>
    <x v="21"/>
    <x v="21"/>
    <x v="20"/>
    <x v="21"/>
  </r>
  <r>
    <n v="362"/>
    <x v="371"/>
    <s v=""/>
    <s v=""/>
    <s v=""/>
    <s v=""/>
    <x v="371"/>
    <x v="20"/>
    <s v="NOVA CANAÃ PAULISTA"/>
    <s v="NOVA CANAÃ PAULISTA"/>
    <m/>
    <x v="20"/>
    <x v="20"/>
    <x v="16"/>
    <x v="20"/>
    <x v="20"/>
    <x v="20"/>
    <x v="19"/>
    <x v="20"/>
  </r>
  <r>
    <n v="363"/>
    <x v="372"/>
    <s v=""/>
    <s v=""/>
    <s v=""/>
    <s v=""/>
    <x v="372"/>
    <x v="13"/>
    <s v="NOVA CASTILHO"/>
    <s v="NOVA CASTILHO"/>
    <m/>
    <x v="13"/>
    <x v="13"/>
    <x v="9"/>
    <x v="13"/>
    <x v="13"/>
    <x v="13"/>
    <x v="12"/>
    <x v="13"/>
  </r>
  <r>
    <n v="364"/>
    <x v="373"/>
    <s v=""/>
    <s v=""/>
    <s v=""/>
    <s v=""/>
    <x v="373"/>
    <x v="16"/>
    <s v="NOVA EUROPA"/>
    <s v="NOVA EUROPA"/>
    <m/>
    <x v="16"/>
    <x v="16"/>
    <x v="12"/>
    <x v="16"/>
    <x v="16"/>
    <x v="16"/>
    <x v="15"/>
    <x v="16"/>
  </r>
  <r>
    <n v="365"/>
    <x v="374"/>
    <s v=""/>
    <s v=""/>
    <s v=""/>
    <s v=""/>
    <x v="374"/>
    <x v="1"/>
    <s v="NOVA GRANADA"/>
    <s v="NOVA GRANADA"/>
    <m/>
    <x v="1"/>
    <x v="1"/>
    <x v="1"/>
    <x v="1"/>
    <x v="1"/>
    <x v="1"/>
    <x v="1"/>
    <x v="1"/>
  </r>
  <r>
    <n v="366"/>
    <x v="375"/>
    <s v=""/>
    <s v=""/>
    <s v=""/>
    <s v=""/>
    <x v="375"/>
    <x v="0"/>
    <s v="NOVA GUATAPORANGA"/>
    <s v="NOVA GUATAPORANGA"/>
    <m/>
    <x v="0"/>
    <x v="0"/>
    <x v="0"/>
    <x v="0"/>
    <x v="0"/>
    <x v="0"/>
    <x v="0"/>
    <x v="0"/>
  </r>
  <r>
    <n v="367"/>
    <x v="376"/>
    <s v=""/>
    <s v=""/>
    <s v=""/>
    <s v=""/>
    <x v="376"/>
    <x v="0"/>
    <s v="NOVA INDEPENDÊNCIA"/>
    <s v="NOVA INDEPENDÊNCIA"/>
    <m/>
    <x v="0"/>
    <x v="0"/>
    <x v="0"/>
    <x v="0"/>
    <x v="0"/>
    <x v="0"/>
    <x v="0"/>
    <x v="0"/>
  </r>
  <r>
    <n v="368"/>
    <x v="377"/>
    <s v=""/>
    <s v=""/>
    <s v=""/>
    <s v=""/>
    <x v="377"/>
    <x v="11"/>
    <s v="NOVA LUZITÂNIA"/>
    <s v="NOVA LUZITÂNIA"/>
    <m/>
    <x v="11"/>
    <x v="11"/>
    <x v="8"/>
    <x v="11"/>
    <x v="11"/>
    <x v="11"/>
    <x v="10"/>
    <x v="11"/>
  </r>
  <r>
    <n v="369"/>
    <x v="378"/>
    <s v=""/>
    <s v=""/>
    <s v=""/>
    <s v=""/>
    <x v="378"/>
    <x v="15"/>
    <s v="NOVA ODESSA"/>
    <s v="NOVA ODESSA"/>
    <m/>
    <x v="15"/>
    <x v="15"/>
    <x v="11"/>
    <x v="15"/>
    <x v="15"/>
    <x v="15"/>
    <x v="14"/>
    <x v="15"/>
  </r>
  <r>
    <n v="370"/>
    <x v="379"/>
    <s v=""/>
    <s v=""/>
    <s v=""/>
    <s v=""/>
    <x v="379"/>
    <x v="1"/>
    <s v="NOVAIS"/>
    <s v="NOVAIS"/>
    <m/>
    <x v="1"/>
    <x v="1"/>
    <x v="1"/>
    <x v="1"/>
    <x v="1"/>
    <x v="1"/>
    <x v="1"/>
    <x v="1"/>
  </r>
  <r>
    <n v="371"/>
    <x v="380"/>
    <s v=""/>
    <s v=""/>
    <s v=""/>
    <s v=""/>
    <x v="380"/>
    <x v="1"/>
    <s v="NOVO HORIZONTE"/>
    <s v="NOVO HORIZONTE"/>
    <m/>
    <x v="1"/>
    <x v="1"/>
    <x v="1"/>
    <x v="1"/>
    <x v="1"/>
    <x v="1"/>
    <x v="1"/>
    <x v="1"/>
  </r>
  <r>
    <n v="372"/>
    <x v="381"/>
    <s v=""/>
    <s v=""/>
    <s v=""/>
    <s v=""/>
    <x v="381"/>
    <x v="10"/>
    <s v="NUPORANGA"/>
    <s v="NUPORANGA"/>
    <m/>
    <x v="10"/>
    <x v="10"/>
    <x v="7"/>
    <x v="10"/>
    <x v="10"/>
    <x v="10"/>
    <x v="9"/>
    <x v="10"/>
  </r>
  <r>
    <n v="373"/>
    <x v="382"/>
    <s v=""/>
    <s v=""/>
    <s v=""/>
    <s v=""/>
    <x v="382"/>
    <x v="26"/>
    <s v="OCAUÇU"/>
    <s v="OCAUÇU"/>
    <m/>
    <x v="26"/>
    <x v="26"/>
    <x v="22"/>
    <x v="26"/>
    <x v="26"/>
    <x v="26"/>
    <x v="25"/>
    <x v="26"/>
  </r>
  <r>
    <n v="374"/>
    <x v="383"/>
    <s v=""/>
    <s v=""/>
    <s v=""/>
    <s v=""/>
    <x v="383"/>
    <x v="26"/>
    <s v="ÓLEO"/>
    <s v="ÓLEO"/>
    <m/>
    <x v="26"/>
    <x v="26"/>
    <x v="22"/>
    <x v="26"/>
    <x v="26"/>
    <x v="26"/>
    <x v="25"/>
    <x v="26"/>
  </r>
  <r>
    <n v="375"/>
    <x v="384"/>
    <s v=""/>
    <s v=""/>
    <s v=""/>
    <s v=""/>
    <x v="384"/>
    <x v="9"/>
    <s v="OLÍMPIA"/>
    <s v="OLÍMPIA"/>
    <m/>
    <x v="9"/>
    <x v="9"/>
    <x v="6"/>
    <x v="9"/>
    <x v="9"/>
    <x v="9"/>
    <x v="8"/>
    <x v="9"/>
  </r>
  <r>
    <n v="376"/>
    <x v="385"/>
    <s v=""/>
    <s v=""/>
    <s v=""/>
    <s v=""/>
    <x v="385"/>
    <x v="1"/>
    <s v="ONDA VERDE"/>
    <s v="ONDA VERDE"/>
    <m/>
    <x v="1"/>
    <x v="1"/>
    <x v="1"/>
    <x v="1"/>
    <x v="1"/>
    <x v="1"/>
    <x v="1"/>
    <x v="1"/>
  </r>
  <r>
    <n v="377"/>
    <x v="386"/>
    <s v=""/>
    <s v=""/>
    <s v=""/>
    <s v=""/>
    <x v="386"/>
    <x v="14"/>
    <s v="ORIENTE"/>
    <s v="ORIENTE"/>
    <m/>
    <x v="14"/>
    <x v="14"/>
    <x v="10"/>
    <x v="14"/>
    <x v="14"/>
    <x v="14"/>
    <x v="13"/>
    <x v="14"/>
  </r>
  <r>
    <n v="378"/>
    <x v="387"/>
    <s v=""/>
    <s v=""/>
    <s v=""/>
    <s v=""/>
    <x v="387"/>
    <x v="13"/>
    <s v="ORINDIÚVA"/>
    <s v="ORINDIÚVA"/>
    <m/>
    <x v="13"/>
    <x v="13"/>
    <x v="9"/>
    <x v="13"/>
    <x v="13"/>
    <x v="13"/>
    <x v="12"/>
    <x v="13"/>
  </r>
  <r>
    <n v="379"/>
    <x v="388"/>
    <s v=""/>
    <s v=""/>
    <s v=""/>
    <s v=""/>
    <x v="388"/>
    <x v="10"/>
    <s v="ORLÂNDIA"/>
    <s v="ORLÂNDIA"/>
    <m/>
    <x v="10"/>
    <x v="10"/>
    <x v="7"/>
    <x v="10"/>
    <x v="10"/>
    <x v="10"/>
    <x v="9"/>
    <x v="10"/>
  </r>
  <r>
    <n v="380"/>
    <x v="389"/>
    <s v=""/>
    <s v=""/>
    <s v=""/>
    <s v=""/>
    <x v="389"/>
    <x v="30"/>
    <s v="OSASCO"/>
    <s v="OSASCO"/>
    <m/>
    <x v="30"/>
    <x v="30"/>
    <x v="25"/>
    <x v="30"/>
    <x v="30"/>
    <x v="30"/>
    <x v="29"/>
    <x v="30"/>
  </r>
  <r>
    <n v="381"/>
    <x v="390"/>
    <s v=""/>
    <s v=""/>
    <s v=""/>
    <s v=""/>
    <x v="390"/>
    <x v="26"/>
    <s v="OSCAR BRESSANE"/>
    <s v="OSCAR BRESSANE"/>
    <m/>
    <x v="26"/>
    <x v="26"/>
    <x v="22"/>
    <x v="26"/>
    <x v="26"/>
    <x v="26"/>
    <x v="25"/>
    <x v="26"/>
  </r>
  <r>
    <n v="382"/>
    <x v="391"/>
    <s v=""/>
    <s v=""/>
    <s v=""/>
    <s v=""/>
    <x v="391"/>
    <x v="0"/>
    <s v="OSVALDO CRUZ"/>
    <s v="OSVALDO CRUZ"/>
    <m/>
    <x v="0"/>
    <x v="0"/>
    <x v="0"/>
    <x v="0"/>
    <x v="0"/>
    <x v="0"/>
    <x v="0"/>
    <x v="0"/>
  </r>
  <r>
    <n v="383"/>
    <x v="392"/>
    <s v=""/>
    <s v=""/>
    <s v=""/>
    <s v=""/>
    <x v="392"/>
    <x v="26"/>
    <s v="OURINHOS"/>
    <s v="OURINHOS"/>
    <m/>
    <x v="26"/>
    <x v="26"/>
    <x v="22"/>
    <x v="26"/>
    <x v="26"/>
    <x v="26"/>
    <x v="25"/>
    <x v="26"/>
  </r>
  <r>
    <n v="384"/>
    <x v="393"/>
    <s v=""/>
    <s v=""/>
    <s v=""/>
    <s v=""/>
    <x v="393"/>
    <x v="0"/>
    <s v="OURO VERDE"/>
    <s v="OURO VERDE"/>
    <m/>
    <x v="0"/>
    <x v="0"/>
    <x v="0"/>
    <x v="0"/>
    <x v="0"/>
    <x v="0"/>
    <x v="0"/>
    <x v="0"/>
  </r>
  <r>
    <n v="385"/>
    <x v="394"/>
    <s v=""/>
    <s v=""/>
    <s v=""/>
    <s v=""/>
    <x v="394"/>
    <x v="20"/>
    <s v="OUROESTE"/>
    <s v="OUROESTE"/>
    <m/>
    <x v="20"/>
    <x v="20"/>
    <x v="16"/>
    <x v="20"/>
    <x v="20"/>
    <x v="20"/>
    <x v="19"/>
    <x v="20"/>
  </r>
  <r>
    <n v="386"/>
    <x v="395"/>
    <s v=""/>
    <s v=""/>
    <s v=""/>
    <s v=""/>
    <x v="395"/>
    <x v="0"/>
    <s v="PACAEMBU"/>
    <s v="PACAEMBU"/>
    <m/>
    <x v="0"/>
    <x v="0"/>
    <x v="0"/>
    <x v="0"/>
    <x v="0"/>
    <x v="0"/>
    <x v="0"/>
    <x v="0"/>
  </r>
  <r>
    <n v="387"/>
    <x v="396"/>
    <s v=""/>
    <s v=""/>
    <s v=""/>
    <s v=""/>
    <x v="396"/>
    <x v="1"/>
    <s v="PALESTINA"/>
    <s v="PALESTINA"/>
    <m/>
    <x v="1"/>
    <x v="1"/>
    <x v="1"/>
    <x v="1"/>
    <x v="1"/>
    <x v="1"/>
    <x v="1"/>
    <x v="1"/>
  </r>
  <r>
    <n v="388"/>
    <x v="397"/>
    <s v=""/>
    <s v=""/>
    <s v=""/>
    <s v=""/>
    <x v="397"/>
    <x v="1"/>
    <s v="PALMARES PAULISTA"/>
    <s v="PALMARES PAULISTA"/>
    <m/>
    <x v="1"/>
    <x v="1"/>
    <x v="1"/>
    <x v="1"/>
    <x v="1"/>
    <x v="1"/>
    <x v="1"/>
    <x v="1"/>
  </r>
  <r>
    <n v="635"/>
    <x v="398"/>
    <s v=""/>
    <s v=""/>
    <s v=""/>
    <s v="Não!, Erro!"/>
    <x v="398"/>
    <x v="20"/>
    <s v="PALMEIRA D`OESTE"/>
    <s v="PALMEIRA D`OESTE"/>
    <m/>
    <x v="20"/>
    <x v="20"/>
    <x v="16"/>
    <x v="20"/>
    <x v="20"/>
    <x v="20"/>
    <x v="19"/>
    <x v="20"/>
  </r>
  <r>
    <n v="389"/>
    <x v="399"/>
    <s v=""/>
    <s v=""/>
    <s v=""/>
    <s v=""/>
    <x v="399"/>
    <x v="26"/>
    <s v="PALMITAL"/>
    <s v="PALMITAL"/>
    <m/>
    <x v="26"/>
    <x v="26"/>
    <x v="22"/>
    <x v="26"/>
    <x v="26"/>
    <x v="26"/>
    <x v="25"/>
    <x v="26"/>
  </r>
  <r>
    <n v="390"/>
    <x v="400"/>
    <s v=""/>
    <s v=""/>
    <s v=""/>
    <s v=""/>
    <x v="400"/>
    <x v="0"/>
    <s v="PANORAMA"/>
    <s v="PANORAMA"/>
    <m/>
    <x v="0"/>
    <x v="0"/>
    <x v="0"/>
    <x v="0"/>
    <x v="0"/>
    <x v="0"/>
    <x v="0"/>
    <x v="0"/>
  </r>
  <r>
    <n v="391"/>
    <x v="401"/>
    <s v=""/>
    <s v=""/>
    <s v=""/>
    <s v=""/>
    <x v="401"/>
    <x v="26"/>
    <s v="PARAGUAÇU PAULISTA"/>
    <s v="PARAGUAÇU PAULISTA"/>
    <m/>
    <x v="26"/>
    <x v="26"/>
    <x v="22"/>
    <x v="26"/>
    <x v="26"/>
    <x v="26"/>
    <x v="25"/>
    <x v="26"/>
  </r>
  <r>
    <n v="392"/>
    <x v="402"/>
    <s v=""/>
    <s v=""/>
    <s v=""/>
    <s v=""/>
    <x v="402"/>
    <x v="35"/>
    <s v="PARAIBUNA"/>
    <s v="PARAIBUNA"/>
    <m/>
    <x v="35"/>
    <x v="35"/>
    <x v="30"/>
    <x v="35"/>
    <x v="35"/>
    <x v="35"/>
    <x v="33"/>
    <x v="35"/>
  </r>
  <r>
    <n v="393"/>
    <x v="403"/>
    <s v=""/>
    <s v=""/>
    <s v=""/>
    <s v=""/>
    <x v="403"/>
    <x v="1"/>
    <s v="PARAÍSO"/>
    <s v="PARAÍSO"/>
    <m/>
    <x v="1"/>
    <x v="1"/>
    <x v="1"/>
    <x v="1"/>
    <x v="1"/>
    <x v="1"/>
    <x v="1"/>
    <x v="1"/>
  </r>
  <r>
    <n v="394"/>
    <x v="404"/>
    <s v=""/>
    <s v=""/>
    <s v=""/>
    <s v=""/>
    <x v="404"/>
    <x v="4"/>
    <s v="PARANAPANEMA"/>
    <s v="PARANAPANEMA"/>
    <m/>
    <x v="4"/>
    <x v="4"/>
    <x v="3"/>
    <x v="4"/>
    <x v="4"/>
    <x v="4"/>
    <x v="4"/>
    <x v="4"/>
  </r>
  <r>
    <n v="395"/>
    <x v="405"/>
    <s v=""/>
    <s v=""/>
    <s v=""/>
    <s v=""/>
    <x v="405"/>
    <x v="20"/>
    <s v="PARANAPUÃ"/>
    <s v="PARANAPUÃ"/>
    <m/>
    <x v="20"/>
    <x v="20"/>
    <x v="16"/>
    <x v="20"/>
    <x v="20"/>
    <x v="20"/>
    <x v="19"/>
    <x v="20"/>
  </r>
  <r>
    <n v="396"/>
    <x v="406"/>
    <s v=""/>
    <s v=""/>
    <s v=""/>
    <s v=""/>
    <x v="406"/>
    <x v="14"/>
    <s v="PARAPUÃ"/>
    <s v="PARAPUÃ"/>
    <m/>
    <x v="14"/>
    <x v="14"/>
    <x v="10"/>
    <x v="14"/>
    <x v="14"/>
    <x v="14"/>
    <x v="13"/>
    <x v="14"/>
  </r>
  <r>
    <n v="397"/>
    <x v="407"/>
    <s v=""/>
    <s v=""/>
    <s v=""/>
    <s v=""/>
    <x v="407"/>
    <x v="18"/>
    <s v="PARDINHO"/>
    <s v="PARDINHO"/>
    <m/>
    <x v="18"/>
    <x v="18"/>
    <x v="14"/>
    <x v="18"/>
    <x v="18"/>
    <x v="18"/>
    <x v="17"/>
    <x v="18"/>
  </r>
  <r>
    <n v="644"/>
    <x v="408"/>
    <s v="Têm Hifen"/>
    <s v=""/>
    <s v=""/>
    <s v=""/>
    <x v="408"/>
    <x v="28"/>
    <s v="PARIQUERA-AÇU"/>
    <s v="PARIQUERA-AÇU"/>
    <m/>
    <x v="28"/>
    <x v="28"/>
    <x v="23"/>
    <x v="28"/>
    <x v="28"/>
    <x v="28"/>
    <x v="27"/>
    <x v="28"/>
  </r>
  <r>
    <n v="398"/>
    <x v="409"/>
    <s v=""/>
    <s v=""/>
    <s v=""/>
    <s v=""/>
    <x v="409"/>
    <x v="13"/>
    <s v="PARISI"/>
    <s v="PARISI"/>
    <m/>
    <x v="13"/>
    <x v="13"/>
    <x v="9"/>
    <x v="13"/>
    <x v="13"/>
    <x v="13"/>
    <x v="12"/>
    <x v="13"/>
  </r>
  <r>
    <n v="399"/>
    <x v="410"/>
    <s v=""/>
    <s v=""/>
    <s v=""/>
    <s v=""/>
    <x v="410"/>
    <x v="23"/>
    <s v="PATROCÍNIO PAULISTA"/>
    <s v="PATROCÍNIO PAULISTA"/>
    <m/>
    <x v="23"/>
    <x v="23"/>
    <x v="19"/>
    <x v="23"/>
    <x v="23"/>
    <x v="23"/>
    <x v="22"/>
    <x v="23"/>
  </r>
  <r>
    <n v="400"/>
    <x v="411"/>
    <s v=""/>
    <s v=""/>
    <s v=""/>
    <s v=""/>
    <x v="411"/>
    <x v="0"/>
    <s v="PAULICÉIA"/>
    <s v="PAULICÉIA"/>
    <m/>
    <x v="0"/>
    <x v="0"/>
    <x v="0"/>
    <x v="0"/>
    <x v="0"/>
    <x v="0"/>
    <x v="0"/>
    <x v="0"/>
  </r>
  <r>
    <n v="401"/>
    <x v="412"/>
    <s v=""/>
    <s v=""/>
    <s v=""/>
    <s v=""/>
    <x v="412"/>
    <x v="17"/>
    <s v="PAULÍNIA"/>
    <s v="PAULÍNIA"/>
    <m/>
    <x v="17"/>
    <x v="17"/>
    <x v="13"/>
    <x v="17"/>
    <x v="17"/>
    <x v="17"/>
    <x v="16"/>
    <x v="17"/>
  </r>
  <r>
    <n v="402"/>
    <x v="413"/>
    <s v=""/>
    <s v=""/>
    <s v=""/>
    <s v=""/>
    <x v="413"/>
    <x v="6"/>
    <s v="PAULISTÂNIA"/>
    <s v="PAULISTÂNIA"/>
    <m/>
    <x v="6"/>
    <x v="6"/>
    <x v="4"/>
    <x v="6"/>
    <x v="6"/>
    <x v="6"/>
    <x v="6"/>
    <x v="6"/>
  </r>
  <r>
    <n v="403"/>
    <x v="414"/>
    <s v=""/>
    <s v=""/>
    <s v=""/>
    <s v=""/>
    <x v="414"/>
    <x v="13"/>
    <s v="PAULO DE FARIA"/>
    <s v="PAULO DE FARIA"/>
    <m/>
    <x v="13"/>
    <x v="13"/>
    <x v="9"/>
    <x v="13"/>
    <x v="13"/>
    <x v="13"/>
    <x v="12"/>
    <x v="13"/>
  </r>
  <r>
    <n v="404"/>
    <x v="415"/>
    <s v=""/>
    <s v=""/>
    <s v=""/>
    <s v=""/>
    <x v="415"/>
    <x v="6"/>
    <s v="PEDERNEIRAS"/>
    <s v="PEDERNEIRAS"/>
    <m/>
    <x v="6"/>
    <x v="6"/>
    <x v="4"/>
    <x v="6"/>
    <x v="6"/>
    <x v="6"/>
    <x v="6"/>
    <x v="6"/>
  </r>
  <r>
    <n v="405"/>
    <x v="416"/>
    <s v=""/>
    <s v=""/>
    <s v=""/>
    <s v=""/>
    <x v="416"/>
    <x v="27"/>
    <s v="PEDRA BELA"/>
    <s v="PEDRA BELA"/>
    <m/>
    <x v="27"/>
    <x v="27"/>
    <x v="0"/>
    <x v="27"/>
    <x v="27"/>
    <x v="27"/>
    <x v="26"/>
    <x v="27"/>
  </r>
  <r>
    <n v="406"/>
    <x v="417"/>
    <s v=""/>
    <s v=""/>
    <s v=""/>
    <s v=""/>
    <x v="417"/>
    <x v="13"/>
    <s v="PEDRANÓPOLIS"/>
    <s v="PEDRANÓPOLIS"/>
    <m/>
    <x v="13"/>
    <x v="13"/>
    <x v="9"/>
    <x v="13"/>
    <x v="13"/>
    <x v="13"/>
    <x v="12"/>
    <x v="13"/>
  </r>
  <r>
    <n v="407"/>
    <x v="418"/>
    <s v=""/>
    <s v=""/>
    <s v=""/>
    <s v=""/>
    <x v="418"/>
    <x v="23"/>
    <s v="PEDREGULHO"/>
    <s v="PEDREGULHO"/>
    <m/>
    <x v="23"/>
    <x v="23"/>
    <x v="19"/>
    <x v="23"/>
    <x v="23"/>
    <x v="23"/>
    <x v="22"/>
    <x v="23"/>
  </r>
  <r>
    <n v="408"/>
    <x v="419"/>
    <s v=""/>
    <s v=""/>
    <s v=""/>
    <s v=""/>
    <x v="419"/>
    <x v="17"/>
    <s v="PEDREIRA"/>
    <s v="PEDREIRA"/>
    <m/>
    <x v="17"/>
    <x v="17"/>
    <x v="13"/>
    <x v="17"/>
    <x v="17"/>
    <x v="17"/>
    <x v="16"/>
    <x v="17"/>
  </r>
  <r>
    <n v="409"/>
    <x v="420"/>
    <s v=""/>
    <s v=""/>
    <s v=""/>
    <s v=""/>
    <x v="420"/>
    <x v="26"/>
    <s v="PEDRINHAS PAULISTA"/>
    <s v="PEDRINHAS PAULISTA"/>
    <m/>
    <x v="26"/>
    <x v="26"/>
    <x v="22"/>
    <x v="26"/>
    <x v="26"/>
    <x v="26"/>
    <x v="25"/>
    <x v="26"/>
  </r>
  <r>
    <n v="410"/>
    <x v="421"/>
    <s v=""/>
    <s v=""/>
    <s v=""/>
    <s v=""/>
    <x v="421"/>
    <x v="28"/>
    <s v="PEDRO DE TOLEDO"/>
    <s v="PEDRO DE TOLEDO"/>
    <m/>
    <x v="28"/>
    <x v="28"/>
    <x v="23"/>
    <x v="28"/>
    <x v="28"/>
    <x v="28"/>
    <x v="27"/>
    <x v="28"/>
  </r>
  <r>
    <n v="411"/>
    <x v="422"/>
    <s v=""/>
    <s v=""/>
    <s v=""/>
    <s v=""/>
    <x v="422"/>
    <x v="11"/>
    <s v="PENÁPOLIS"/>
    <s v="PENÁPOLIS"/>
    <m/>
    <x v="11"/>
    <x v="11"/>
    <x v="8"/>
    <x v="11"/>
    <x v="11"/>
    <x v="11"/>
    <x v="10"/>
    <x v="11"/>
  </r>
  <r>
    <n v="412"/>
    <x v="423"/>
    <s v=""/>
    <s v=""/>
    <s v=""/>
    <s v=""/>
    <x v="423"/>
    <x v="20"/>
    <s v="PEREIRA BARRETO"/>
    <s v="PEREIRA BARRETO"/>
    <m/>
    <x v="20"/>
    <x v="20"/>
    <x v="16"/>
    <x v="20"/>
    <x v="20"/>
    <x v="20"/>
    <x v="19"/>
    <x v="20"/>
  </r>
  <r>
    <n v="413"/>
    <x v="424"/>
    <s v=""/>
    <s v=""/>
    <s v=""/>
    <s v=""/>
    <x v="424"/>
    <x v="18"/>
    <s v="PEREIRAS"/>
    <s v="PEREIRAS"/>
    <m/>
    <x v="18"/>
    <x v="18"/>
    <x v="14"/>
    <x v="18"/>
    <x v="18"/>
    <x v="18"/>
    <x v="17"/>
    <x v="18"/>
  </r>
  <r>
    <n v="414"/>
    <x v="425"/>
    <s v=""/>
    <s v=""/>
    <s v=""/>
    <s v=""/>
    <x v="425"/>
    <x v="41"/>
    <s v="PERUÍBE"/>
    <s v="PERUÍBE"/>
    <m/>
    <x v="41"/>
    <x v="41"/>
    <x v="36"/>
    <x v="40"/>
    <x v="41"/>
    <x v="41"/>
    <x v="38"/>
    <x v="41"/>
  </r>
  <r>
    <n v="415"/>
    <x v="426"/>
    <s v=""/>
    <s v=""/>
    <s v=""/>
    <s v=""/>
    <x v="426"/>
    <x v="11"/>
    <s v="PIACATU"/>
    <s v="PIACATU"/>
    <m/>
    <x v="11"/>
    <x v="11"/>
    <x v="8"/>
    <x v="11"/>
    <x v="11"/>
    <x v="11"/>
    <x v="10"/>
    <x v="11"/>
  </r>
  <r>
    <n v="416"/>
    <x v="427"/>
    <s v=""/>
    <s v=""/>
    <s v=""/>
    <s v=""/>
    <x v="427"/>
    <x v="22"/>
    <s v="PIEDADE"/>
    <s v="PIEDADE"/>
    <m/>
    <x v="22"/>
    <x v="22"/>
    <x v="18"/>
    <x v="22"/>
    <x v="22"/>
    <x v="22"/>
    <x v="21"/>
    <x v="22"/>
  </r>
  <r>
    <n v="417"/>
    <x v="428"/>
    <s v=""/>
    <s v=""/>
    <s v=""/>
    <s v=""/>
    <x v="428"/>
    <x v="22"/>
    <s v="PILAR DO SUL"/>
    <s v="PILAR DO SUL"/>
    <m/>
    <x v="22"/>
    <x v="22"/>
    <x v="18"/>
    <x v="22"/>
    <x v="22"/>
    <x v="22"/>
    <x v="21"/>
    <x v="22"/>
  </r>
  <r>
    <n v="418"/>
    <x v="429"/>
    <s v=""/>
    <s v=""/>
    <s v=""/>
    <s v=""/>
    <x v="429"/>
    <x v="19"/>
    <s v="PINDAMONHANGABA"/>
    <s v="PINDAMONHANGABA"/>
    <m/>
    <x v="19"/>
    <x v="19"/>
    <x v="15"/>
    <x v="19"/>
    <x v="19"/>
    <x v="19"/>
    <x v="18"/>
    <x v="19"/>
  </r>
  <r>
    <n v="419"/>
    <x v="430"/>
    <s v=""/>
    <s v=""/>
    <s v=""/>
    <s v=""/>
    <x v="430"/>
    <x v="1"/>
    <s v="PINDORAMA"/>
    <s v="PINDORAMA"/>
    <m/>
    <x v="1"/>
    <x v="1"/>
    <x v="1"/>
    <x v="1"/>
    <x v="1"/>
    <x v="1"/>
    <x v="1"/>
    <x v="1"/>
  </r>
  <r>
    <n v="420"/>
    <x v="431"/>
    <s v=""/>
    <s v=""/>
    <s v=""/>
    <s v=""/>
    <x v="431"/>
    <x v="27"/>
    <s v="PINHALZINHO"/>
    <s v="PINHALZINHO"/>
    <m/>
    <x v="27"/>
    <x v="27"/>
    <x v="0"/>
    <x v="27"/>
    <x v="27"/>
    <x v="27"/>
    <x v="26"/>
    <x v="27"/>
  </r>
  <r>
    <n v="421"/>
    <x v="432"/>
    <s v=""/>
    <s v=""/>
    <s v=""/>
    <s v=""/>
    <x v="432"/>
    <x v="8"/>
    <s v="PIQUEROBI"/>
    <s v="PIQUEROBI"/>
    <m/>
    <x v="8"/>
    <x v="8"/>
    <x v="5"/>
    <x v="8"/>
    <x v="8"/>
    <x v="8"/>
    <x v="4"/>
    <x v="8"/>
  </r>
  <r>
    <n v="422"/>
    <x v="433"/>
    <s v=""/>
    <s v=""/>
    <s v=""/>
    <s v=""/>
    <x v="433"/>
    <x v="19"/>
    <s v="PIQUETE"/>
    <s v="PIQUETE"/>
    <m/>
    <x v="19"/>
    <x v="19"/>
    <x v="15"/>
    <x v="19"/>
    <x v="19"/>
    <x v="19"/>
    <x v="18"/>
    <x v="19"/>
  </r>
  <r>
    <n v="423"/>
    <x v="434"/>
    <s v=""/>
    <s v=""/>
    <s v=""/>
    <s v=""/>
    <x v="434"/>
    <x v="27"/>
    <s v="PIRACAIA"/>
    <s v="PIRACAIA"/>
    <m/>
    <x v="27"/>
    <x v="27"/>
    <x v="0"/>
    <x v="27"/>
    <x v="27"/>
    <x v="27"/>
    <x v="26"/>
    <x v="27"/>
  </r>
  <r>
    <n v="424"/>
    <x v="435"/>
    <s v=""/>
    <s v=""/>
    <s v=""/>
    <s v=""/>
    <x v="435"/>
    <x v="5"/>
    <s v="PIRACICABA"/>
    <s v="PIRACICABA"/>
    <m/>
    <x v="5"/>
    <x v="5"/>
    <x v="0"/>
    <x v="5"/>
    <x v="5"/>
    <x v="5"/>
    <x v="5"/>
    <x v="5"/>
  </r>
  <r>
    <n v="425"/>
    <x v="436"/>
    <s v=""/>
    <s v=""/>
    <s v=""/>
    <s v=""/>
    <x v="436"/>
    <x v="4"/>
    <s v="PIRAJU"/>
    <s v="PIRAJU"/>
    <m/>
    <x v="4"/>
    <x v="4"/>
    <x v="3"/>
    <x v="4"/>
    <x v="4"/>
    <x v="4"/>
    <x v="4"/>
    <x v="4"/>
  </r>
  <r>
    <n v="426"/>
    <x v="437"/>
    <s v=""/>
    <s v=""/>
    <s v=""/>
    <s v=""/>
    <x v="437"/>
    <x v="6"/>
    <s v="PIRAJUÍ"/>
    <s v="PIRAJUÍ"/>
    <m/>
    <x v="6"/>
    <x v="6"/>
    <x v="4"/>
    <x v="6"/>
    <x v="6"/>
    <x v="6"/>
    <x v="6"/>
    <x v="6"/>
  </r>
  <r>
    <n v="427"/>
    <x v="438"/>
    <s v=""/>
    <s v=""/>
    <s v=""/>
    <s v=""/>
    <x v="438"/>
    <x v="9"/>
    <s v="PIRANGI"/>
    <s v="PIRANGI"/>
    <m/>
    <x v="9"/>
    <x v="9"/>
    <x v="6"/>
    <x v="9"/>
    <x v="9"/>
    <x v="9"/>
    <x v="8"/>
    <x v="9"/>
  </r>
  <r>
    <n v="428"/>
    <x v="439"/>
    <s v=""/>
    <s v=""/>
    <s v=""/>
    <s v=""/>
    <x v="439"/>
    <x v="30"/>
    <s v="PIRAPORA DO BOM JESUS"/>
    <s v="PIRAPORA DO BOM JESUS"/>
    <m/>
    <x v="30"/>
    <x v="30"/>
    <x v="25"/>
    <x v="30"/>
    <x v="30"/>
    <x v="30"/>
    <x v="29"/>
    <x v="30"/>
  </r>
  <r>
    <n v="429"/>
    <x v="440"/>
    <s v=""/>
    <s v=""/>
    <s v=""/>
    <s v=""/>
    <x v="440"/>
    <x v="8"/>
    <s v="PIRAPOZINHO"/>
    <s v="PIRAPOZINHO"/>
    <m/>
    <x v="8"/>
    <x v="8"/>
    <x v="5"/>
    <x v="8"/>
    <x v="8"/>
    <x v="8"/>
    <x v="4"/>
    <x v="8"/>
  </r>
  <r>
    <n v="430"/>
    <x v="441"/>
    <s v=""/>
    <s v=""/>
    <s v=""/>
    <s v=""/>
    <x v="441"/>
    <x v="3"/>
    <s v="PIRASSUNUNGA"/>
    <s v="PIRASSUNUNGA"/>
    <m/>
    <x v="3"/>
    <x v="3"/>
    <x v="2"/>
    <x v="3"/>
    <x v="3"/>
    <x v="3"/>
    <x v="3"/>
    <x v="3"/>
  </r>
  <r>
    <n v="431"/>
    <x v="442"/>
    <s v=""/>
    <s v=""/>
    <s v=""/>
    <s v=""/>
    <x v="442"/>
    <x v="6"/>
    <s v="PIRATININGA"/>
    <s v="PIRATININGA"/>
    <m/>
    <x v="6"/>
    <x v="6"/>
    <x v="4"/>
    <x v="6"/>
    <x v="6"/>
    <x v="6"/>
    <x v="6"/>
    <x v="6"/>
  </r>
  <r>
    <n v="432"/>
    <x v="443"/>
    <s v=""/>
    <s v=""/>
    <s v=""/>
    <s v=""/>
    <x v="443"/>
    <x v="29"/>
    <s v="PITANGUEIRAS"/>
    <s v="PITANGUEIRAS"/>
    <m/>
    <x v="29"/>
    <x v="29"/>
    <x v="24"/>
    <x v="29"/>
    <x v="29"/>
    <x v="29"/>
    <x v="28"/>
    <x v="29"/>
  </r>
  <r>
    <n v="433"/>
    <x v="444"/>
    <s v=""/>
    <s v=""/>
    <s v=""/>
    <s v=""/>
    <x v="444"/>
    <x v="11"/>
    <s v="PLANALTO"/>
    <s v="PLANALTO"/>
    <m/>
    <x v="11"/>
    <x v="11"/>
    <x v="8"/>
    <x v="11"/>
    <x v="11"/>
    <x v="11"/>
    <x v="10"/>
    <x v="11"/>
  </r>
  <r>
    <n v="434"/>
    <x v="445"/>
    <s v=""/>
    <s v=""/>
    <s v=""/>
    <s v=""/>
    <x v="445"/>
    <x v="26"/>
    <s v="PLATINA"/>
    <s v="PLATINA"/>
    <m/>
    <x v="26"/>
    <x v="26"/>
    <x v="22"/>
    <x v="26"/>
    <x v="26"/>
    <x v="26"/>
    <x v="25"/>
    <x v="26"/>
  </r>
  <r>
    <n v="435"/>
    <x v="446"/>
    <s v=""/>
    <s v=""/>
    <s v=""/>
    <s v=""/>
    <x v="446"/>
    <x v="32"/>
    <s v="POÁ"/>
    <s v="POÁ"/>
    <m/>
    <x v="32"/>
    <x v="32"/>
    <x v="27"/>
    <x v="32"/>
    <x v="32"/>
    <x v="32"/>
    <x v="4"/>
    <x v="32"/>
  </r>
  <r>
    <n v="436"/>
    <x v="447"/>
    <s v=""/>
    <s v=""/>
    <s v=""/>
    <s v=""/>
    <x v="447"/>
    <x v="13"/>
    <s v="POLONI"/>
    <s v="POLONI"/>
    <m/>
    <x v="13"/>
    <x v="13"/>
    <x v="9"/>
    <x v="13"/>
    <x v="13"/>
    <x v="13"/>
    <x v="12"/>
    <x v="13"/>
  </r>
  <r>
    <n v="437"/>
    <x v="448"/>
    <s v=""/>
    <s v=""/>
    <s v=""/>
    <s v=""/>
    <x v="448"/>
    <x v="14"/>
    <s v="POMPÉIA"/>
    <s v="POMPÉIA"/>
    <m/>
    <x v="14"/>
    <x v="14"/>
    <x v="10"/>
    <x v="14"/>
    <x v="14"/>
    <x v="14"/>
    <x v="13"/>
    <x v="14"/>
  </r>
  <r>
    <n v="438"/>
    <x v="449"/>
    <s v=""/>
    <s v=""/>
    <s v=""/>
    <s v=""/>
    <x v="449"/>
    <x v="14"/>
    <s v="PONGAÍ"/>
    <s v="PONGAÍ"/>
    <m/>
    <x v="14"/>
    <x v="14"/>
    <x v="10"/>
    <x v="14"/>
    <x v="14"/>
    <x v="14"/>
    <x v="13"/>
    <x v="14"/>
  </r>
  <r>
    <n v="439"/>
    <x v="450"/>
    <s v=""/>
    <s v=""/>
    <s v=""/>
    <s v=""/>
    <x v="450"/>
    <x v="10"/>
    <s v="PONTAL"/>
    <s v="PONTAL"/>
    <m/>
    <x v="10"/>
    <x v="10"/>
    <x v="7"/>
    <x v="10"/>
    <x v="10"/>
    <x v="10"/>
    <x v="9"/>
    <x v="10"/>
  </r>
  <r>
    <n v="440"/>
    <x v="451"/>
    <s v=""/>
    <s v=""/>
    <s v=""/>
    <s v=""/>
    <x v="451"/>
    <x v="20"/>
    <s v="PONTALINDA"/>
    <s v="PONTALINDA"/>
    <m/>
    <x v="20"/>
    <x v="20"/>
    <x v="16"/>
    <x v="20"/>
    <x v="20"/>
    <x v="20"/>
    <x v="19"/>
    <x v="20"/>
  </r>
  <r>
    <n v="441"/>
    <x v="452"/>
    <s v=""/>
    <s v=""/>
    <s v=""/>
    <s v=""/>
    <x v="452"/>
    <x v="13"/>
    <s v="PONTES GESTAL"/>
    <s v="PONTES GESTAL"/>
    <m/>
    <x v="13"/>
    <x v="13"/>
    <x v="9"/>
    <x v="13"/>
    <x v="13"/>
    <x v="13"/>
    <x v="12"/>
    <x v="13"/>
  </r>
  <r>
    <n v="442"/>
    <x v="453"/>
    <s v=""/>
    <s v=""/>
    <s v=""/>
    <s v=""/>
    <x v="453"/>
    <x v="20"/>
    <s v="POPULINA"/>
    <s v="POPULINA"/>
    <m/>
    <x v="20"/>
    <x v="20"/>
    <x v="16"/>
    <x v="20"/>
    <x v="20"/>
    <x v="20"/>
    <x v="19"/>
    <x v="20"/>
  </r>
  <r>
    <n v="443"/>
    <x v="454"/>
    <s v=""/>
    <s v=""/>
    <s v=""/>
    <s v=""/>
    <x v="454"/>
    <x v="18"/>
    <s v="PORANGABA"/>
    <s v="PORANGABA"/>
    <m/>
    <x v="18"/>
    <x v="18"/>
    <x v="14"/>
    <x v="18"/>
    <x v="18"/>
    <x v="18"/>
    <x v="17"/>
    <x v="18"/>
  </r>
  <r>
    <n v="444"/>
    <x v="455"/>
    <s v=""/>
    <s v=""/>
    <s v=""/>
    <s v=""/>
    <x v="455"/>
    <x v="12"/>
    <s v="PORTO FELIZ"/>
    <s v="PORTO FELIZ"/>
    <m/>
    <x v="12"/>
    <x v="12"/>
    <x v="0"/>
    <x v="12"/>
    <x v="12"/>
    <x v="12"/>
    <x v="11"/>
    <x v="12"/>
  </r>
  <r>
    <n v="445"/>
    <x v="456"/>
    <s v=""/>
    <s v=""/>
    <s v=""/>
    <s v=""/>
    <x v="456"/>
    <x v="10"/>
    <s v="PORTO FERREIRA"/>
    <s v="PORTO FERREIRA"/>
    <m/>
    <x v="10"/>
    <x v="10"/>
    <x v="7"/>
    <x v="10"/>
    <x v="10"/>
    <x v="10"/>
    <x v="9"/>
    <x v="10"/>
  </r>
  <r>
    <n v="446"/>
    <x v="457"/>
    <s v=""/>
    <s v=""/>
    <s v=""/>
    <s v=""/>
    <x v="457"/>
    <x v="19"/>
    <s v="POTIM"/>
    <s v="POTIM"/>
    <m/>
    <x v="19"/>
    <x v="19"/>
    <x v="15"/>
    <x v="19"/>
    <x v="19"/>
    <x v="19"/>
    <x v="18"/>
    <x v="19"/>
  </r>
  <r>
    <n v="447"/>
    <x v="458"/>
    <s v=""/>
    <s v=""/>
    <s v=""/>
    <s v=""/>
    <x v="458"/>
    <x v="1"/>
    <s v="POTIRENDABA"/>
    <s v="POTIRENDABA"/>
    <m/>
    <x v="1"/>
    <x v="1"/>
    <x v="1"/>
    <x v="1"/>
    <x v="1"/>
    <x v="1"/>
    <x v="1"/>
    <x v="1"/>
  </r>
  <r>
    <n v="448"/>
    <x v="459"/>
    <s v=""/>
    <s v=""/>
    <s v=""/>
    <s v=""/>
    <x v="459"/>
    <x v="0"/>
    <s v="PRACINHA"/>
    <s v="PRACINHA"/>
    <m/>
    <x v="0"/>
    <x v="0"/>
    <x v="0"/>
    <x v="0"/>
    <x v="0"/>
    <x v="0"/>
    <x v="0"/>
    <x v="0"/>
  </r>
  <r>
    <n v="449"/>
    <x v="460"/>
    <s v=""/>
    <s v=""/>
    <s v=""/>
    <s v=""/>
    <x v="460"/>
    <x v="29"/>
    <s v="PRADÓPOLIS"/>
    <s v="PRADÓPOLIS"/>
    <m/>
    <x v="29"/>
    <x v="29"/>
    <x v="24"/>
    <x v="29"/>
    <x v="29"/>
    <x v="29"/>
    <x v="28"/>
    <x v="29"/>
  </r>
  <r>
    <n v="450"/>
    <x v="461"/>
    <s v=""/>
    <s v=""/>
    <s v=""/>
    <s v=""/>
    <x v="461"/>
    <x v="41"/>
    <s v="PRAIA GRANDE"/>
    <s v="PRAIA GRANDE"/>
    <m/>
    <x v="41"/>
    <x v="41"/>
    <x v="36"/>
    <x v="40"/>
    <x v="41"/>
    <x v="41"/>
    <x v="38"/>
    <x v="41"/>
  </r>
  <r>
    <n v="451"/>
    <x v="462"/>
    <s v=""/>
    <s v=""/>
    <s v=""/>
    <s v=""/>
    <x v="462"/>
    <x v="18"/>
    <s v="PRATÂNIA"/>
    <s v="PRATÂNIA"/>
    <m/>
    <x v="18"/>
    <x v="18"/>
    <x v="14"/>
    <x v="18"/>
    <x v="18"/>
    <x v="18"/>
    <x v="17"/>
    <x v="18"/>
  </r>
  <r>
    <n v="452"/>
    <x v="463"/>
    <s v=""/>
    <s v=""/>
    <s v=""/>
    <s v=""/>
    <x v="463"/>
    <x v="6"/>
    <s v="PRESIDENTE ALVES"/>
    <s v="PRESIDENTE ALVES"/>
    <m/>
    <x v="6"/>
    <x v="6"/>
    <x v="4"/>
    <x v="6"/>
    <x v="6"/>
    <x v="6"/>
    <x v="6"/>
    <x v="6"/>
  </r>
  <r>
    <n v="453"/>
    <x v="464"/>
    <s v=""/>
    <s v=""/>
    <s v=""/>
    <s v=""/>
    <x v="464"/>
    <x v="8"/>
    <s v="PRESIDENTE BERNARDES"/>
    <s v="PRESIDENTE BERNARDES"/>
    <m/>
    <x v="8"/>
    <x v="8"/>
    <x v="5"/>
    <x v="8"/>
    <x v="8"/>
    <x v="8"/>
    <x v="4"/>
    <x v="8"/>
  </r>
  <r>
    <n v="454"/>
    <x v="465"/>
    <s v=""/>
    <s v=""/>
    <s v=""/>
    <s v=""/>
    <x v="465"/>
    <x v="8"/>
    <s v="PRESIDENTE EPITÁCIO"/>
    <s v="PRESIDENTE EPITÁCIO"/>
    <m/>
    <x v="8"/>
    <x v="8"/>
    <x v="5"/>
    <x v="8"/>
    <x v="8"/>
    <x v="8"/>
    <x v="4"/>
    <x v="8"/>
  </r>
  <r>
    <n v="455"/>
    <x v="466"/>
    <s v=""/>
    <s v=""/>
    <s v=""/>
    <s v=""/>
    <x v="466"/>
    <x v="8"/>
    <s v="PRESIDENTE PRUDENTE"/>
    <s v="PRESIDENTE PRUDENTE"/>
    <m/>
    <x v="8"/>
    <x v="8"/>
    <x v="5"/>
    <x v="8"/>
    <x v="8"/>
    <x v="8"/>
    <x v="4"/>
    <x v="8"/>
  </r>
  <r>
    <n v="456"/>
    <x v="467"/>
    <s v=""/>
    <s v=""/>
    <s v=""/>
    <s v=""/>
    <x v="467"/>
    <x v="8"/>
    <s v="PRESIDENTE VENCESLAU"/>
    <s v="PRESIDENTE VENCESLAU"/>
    <m/>
    <x v="8"/>
    <x v="8"/>
    <x v="5"/>
    <x v="8"/>
    <x v="8"/>
    <x v="8"/>
    <x v="4"/>
    <x v="8"/>
  </r>
  <r>
    <n v="457"/>
    <x v="468"/>
    <s v=""/>
    <s v=""/>
    <s v=""/>
    <s v=""/>
    <x v="468"/>
    <x v="11"/>
    <s v="PROMISSÃO"/>
    <s v="PROMISSÃO"/>
    <m/>
    <x v="11"/>
    <x v="11"/>
    <x v="8"/>
    <x v="11"/>
    <x v="11"/>
    <x v="11"/>
    <x v="10"/>
    <x v="11"/>
  </r>
  <r>
    <n v="458"/>
    <x v="469"/>
    <s v=""/>
    <s v=""/>
    <s v=""/>
    <s v=""/>
    <x v="469"/>
    <x v="7"/>
    <s v="QUADRA"/>
    <s v="QUADRA"/>
    <m/>
    <x v="7"/>
    <x v="7"/>
    <x v="0"/>
    <x v="7"/>
    <x v="7"/>
    <x v="7"/>
    <x v="7"/>
    <x v="7"/>
  </r>
  <r>
    <n v="459"/>
    <x v="470"/>
    <s v=""/>
    <s v=""/>
    <s v=""/>
    <s v=""/>
    <x v="470"/>
    <x v="26"/>
    <s v="QUATÁ"/>
    <s v="QUATÁ"/>
    <m/>
    <x v="26"/>
    <x v="26"/>
    <x v="22"/>
    <x v="26"/>
    <x v="26"/>
    <x v="26"/>
    <x v="25"/>
    <x v="26"/>
  </r>
  <r>
    <n v="460"/>
    <x v="471"/>
    <s v=""/>
    <s v=""/>
    <s v=""/>
    <s v=""/>
    <x v="471"/>
    <x v="14"/>
    <s v="QUEIROZ"/>
    <s v="QUEIROZ"/>
    <m/>
    <x v="14"/>
    <x v="14"/>
    <x v="10"/>
    <x v="14"/>
    <x v="14"/>
    <x v="14"/>
    <x v="13"/>
    <x v="14"/>
  </r>
  <r>
    <n v="461"/>
    <x v="472"/>
    <s v=""/>
    <s v=""/>
    <s v=""/>
    <s v=""/>
    <x v="472"/>
    <x v="19"/>
    <s v="QUELUZ"/>
    <s v="QUELUZ"/>
    <m/>
    <x v="19"/>
    <x v="19"/>
    <x v="15"/>
    <x v="19"/>
    <x v="19"/>
    <x v="19"/>
    <x v="18"/>
    <x v="19"/>
  </r>
  <r>
    <n v="462"/>
    <x v="473"/>
    <s v=""/>
    <s v=""/>
    <s v=""/>
    <s v=""/>
    <x v="473"/>
    <x v="14"/>
    <s v="QUINTANA"/>
    <s v="QUINTANA"/>
    <m/>
    <x v="14"/>
    <x v="14"/>
    <x v="10"/>
    <x v="14"/>
    <x v="14"/>
    <x v="14"/>
    <x v="13"/>
    <x v="14"/>
  </r>
  <r>
    <n v="463"/>
    <x v="474"/>
    <s v=""/>
    <s v=""/>
    <s v=""/>
    <s v=""/>
    <x v="474"/>
    <x v="37"/>
    <s v="RAFARD"/>
    <s v="RAFARD"/>
    <m/>
    <x v="37"/>
    <x v="37"/>
    <x v="32"/>
    <x v="36"/>
    <x v="37"/>
    <x v="37"/>
    <x v="34"/>
    <x v="37"/>
  </r>
  <r>
    <n v="464"/>
    <x v="475"/>
    <s v=""/>
    <s v=""/>
    <s v=""/>
    <s v=""/>
    <x v="475"/>
    <x v="8"/>
    <s v="RANCHARIA"/>
    <s v="RANCHARIA"/>
    <m/>
    <x v="8"/>
    <x v="8"/>
    <x v="5"/>
    <x v="8"/>
    <x v="8"/>
    <x v="8"/>
    <x v="4"/>
    <x v="8"/>
  </r>
  <r>
    <n v="465"/>
    <x v="476"/>
    <s v=""/>
    <s v=""/>
    <s v=""/>
    <s v=""/>
    <x v="476"/>
    <x v="19"/>
    <s v="REDENÇÃO DA SERRA"/>
    <s v="REDENÇÃO DA SERRA"/>
    <m/>
    <x v="19"/>
    <x v="19"/>
    <x v="15"/>
    <x v="19"/>
    <x v="19"/>
    <x v="19"/>
    <x v="18"/>
    <x v="19"/>
  </r>
  <r>
    <n v="466"/>
    <x v="477"/>
    <s v=""/>
    <s v=""/>
    <s v=""/>
    <s v=""/>
    <x v="477"/>
    <x v="8"/>
    <s v="REGENTE FEIJÓ"/>
    <s v="REGENTE FEIJÓ"/>
    <m/>
    <x v="8"/>
    <x v="8"/>
    <x v="5"/>
    <x v="8"/>
    <x v="8"/>
    <x v="8"/>
    <x v="4"/>
    <x v="8"/>
  </r>
  <r>
    <n v="467"/>
    <x v="478"/>
    <s v=""/>
    <s v=""/>
    <s v=""/>
    <s v=""/>
    <x v="478"/>
    <x v="6"/>
    <s v="REGINÓPOLIS"/>
    <s v="REGINÓPOLIS"/>
    <m/>
    <x v="6"/>
    <x v="6"/>
    <x v="4"/>
    <x v="6"/>
    <x v="6"/>
    <x v="6"/>
    <x v="6"/>
    <x v="6"/>
  </r>
  <r>
    <n v="468"/>
    <x v="479"/>
    <s v=""/>
    <s v=""/>
    <s v=""/>
    <s v=""/>
    <x v="479"/>
    <x v="28"/>
    <s v="REGISTRO"/>
    <s v="REGISTRO"/>
    <m/>
    <x v="28"/>
    <x v="28"/>
    <x v="23"/>
    <x v="28"/>
    <x v="28"/>
    <x v="28"/>
    <x v="27"/>
    <x v="28"/>
  </r>
  <r>
    <n v="469"/>
    <x v="480"/>
    <s v=""/>
    <s v=""/>
    <s v=""/>
    <s v=""/>
    <x v="480"/>
    <x v="23"/>
    <s v="RESTINGA"/>
    <s v="RESTINGA"/>
    <m/>
    <x v="23"/>
    <x v="23"/>
    <x v="19"/>
    <x v="23"/>
    <x v="23"/>
    <x v="23"/>
    <x v="22"/>
    <x v="23"/>
  </r>
  <r>
    <n v="470"/>
    <x v="481"/>
    <s v=""/>
    <s v=""/>
    <s v=""/>
    <s v=""/>
    <x v="481"/>
    <x v="21"/>
    <s v="RIBEIRA"/>
    <s v="RIBEIRA"/>
    <m/>
    <x v="21"/>
    <x v="21"/>
    <x v="17"/>
    <x v="21"/>
    <x v="21"/>
    <x v="21"/>
    <x v="20"/>
    <x v="21"/>
  </r>
  <r>
    <n v="471"/>
    <x v="482"/>
    <s v=""/>
    <s v=""/>
    <s v=""/>
    <s v=""/>
    <x v="482"/>
    <x v="33"/>
    <s v="RIBEIRÃO BONITO"/>
    <s v="RIBEIRÃO BONITO"/>
    <m/>
    <x v="33"/>
    <x v="33"/>
    <x v="28"/>
    <x v="33"/>
    <x v="33"/>
    <x v="33"/>
    <x v="31"/>
    <x v="33"/>
  </r>
  <r>
    <n v="472"/>
    <x v="483"/>
    <s v=""/>
    <s v=""/>
    <s v=""/>
    <s v=""/>
    <x v="483"/>
    <x v="21"/>
    <s v="RIBEIRÃO BRANCO"/>
    <s v="RIBEIRÃO BRANCO"/>
    <m/>
    <x v="21"/>
    <x v="21"/>
    <x v="17"/>
    <x v="21"/>
    <x v="21"/>
    <x v="21"/>
    <x v="20"/>
    <x v="21"/>
  </r>
  <r>
    <n v="473"/>
    <x v="484"/>
    <s v=""/>
    <s v=""/>
    <s v=""/>
    <s v=""/>
    <x v="484"/>
    <x v="23"/>
    <s v="RIBEIRÃO CORRENTE"/>
    <s v="RIBEIRÃO CORRENTE"/>
    <m/>
    <x v="23"/>
    <x v="23"/>
    <x v="19"/>
    <x v="23"/>
    <x v="23"/>
    <x v="23"/>
    <x v="22"/>
    <x v="23"/>
  </r>
  <r>
    <n v="474"/>
    <x v="485"/>
    <s v=""/>
    <s v=""/>
    <s v=""/>
    <s v=""/>
    <x v="485"/>
    <x v="26"/>
    <s v="RIBEIRÃO DO SUL"/>
    <s v="RIBEIRÃO DO SUL"/>
    <m/>
    <x v="26"/>
    <x v="26"/>
    <x v="22"/>
    <x v="26"/>
    <x v="26"/>
    <x v="26"/>
    <x v="25"/>
    <x v="26"/>
  </r>
  <r>
    <n v="475"/>
    <x v="486"/>
    <s v=""/>
    <s v=""/>
    <s v=""/>
    <s v=""/>
    <x v="486"/>
    <x v="8"/>
    <s v="RIBEIRÃO DOS ÍNDIOS"/>
    <s v="RIBEIRÃO DOS ÍNDIOS"/>
    <m/>
    <x v="8"/>
    <x v="8"/>
    <x v="5"/>
    <x v="8"/>
    <x v="8"/>
    <x v="8"/>
    <x v="4"/>
    <x v="8"/>
  </r>
  <r>
    <n v="476"/>
    <x v="487"/>
    <s v=""/>
    <s v=""/>
    <s v=""/>
    <s v=""/>
    <x v="487"/>
    <x v="21"/>
    <s v="RIBEIRÃO GRANDE"/>
    <s v="RIBEIRÃO GRANDE"/>
    <m/>
    <x v="21"/>
    <x v="21"/>
    <x v="17"/>
    <x v="21"/>
    <x v="21"/>
    <x v="21"/>
    <x v="20"/>
    <x v="21"/>
  </r>
  <r>
    <n v="477"/>
    <x v="488"/>
    <s v=""/>
    <s v=""/>
    <s v=""/>
    <s v=""/>
    <x v="488"/>
    <x v="42"/>
    <s v="RIBEIRÃO PIRES"/>
    <s v="RIBEIRÃO PIRES"/>
    <m/>
    <x v="42"/>
    <x v="40"/>
    <x v="35"/>
    <x v="39"/>
    <x v="40"/>
    <x v="40"/>
    <x v="37"/>
    <x v="42"/>
  </r>
  <r>
    <n v="478"/>
    <x v="489"/>
    <s v=""/>
    <s v=""/>
    <s v=""/>
    <s v=""/>
    <x v="489"/>
    <x v="10"/>
    <s v="RIBEIRÃO PRETO"/>
    <s v="RIBEIRÃO PRETO"/>
    <m/>
    <x v="10"/>
    <x v="10"/>
    <x v="7"/>
    <x v="10"/>
    <x v="10"/>
    <x v="10"/>
    <x v="9"/>
    <x v="10"/>
  </r>
  <r>
    <n v="479"/>
    <x v="490"/>
    <s v=""/>
    <s v=""/>
    <s v=""/>
    <s v=""/>
    <x v="490"/>
    <x v="23"/>
    <s v="RIFAINA"/>
    <s v="RIFAINA"/>
    <m/>
    <x v="23"/>
    <x v="23"/>
    <x v="19"/>
    <x v="23"/>
    <x v="23"/>
    <x v="23"/>
    <x v="22"/>
    <x v="23"/>
  </r>
  <r>
    <n v="480"/>
    <x v="491"/>
    <s v=""/>
    <s v=""/>
    <s v=""/>
    <s v=""/>
    <x v="491"/>
    <x v="16"/>
    <s v="RINCÃO"/>
    <s v="RINCÃO"/>
    <m/>
    <x v="16"/>
    <x v="16"/>
    <x v="12"/>
    <x v="16"/>
    <x v="16"/>
    <x v="16"/>
    <x v="15"/>
    <x v="16"/>
  </r>
  <r>
    <n v="481"/>
    <x v="492"/>
    <s v=""/>
    <s v=""/>
    <s v=""/>
    <s v=""/>
    <x v="492"/>
    <x v="14"/>
    <s v="RINÓPOLIS"/>
    <s v="RINÓPOLIS"/>
    <m/>
    <x v="14"/>
    <x v="14"/>
    <x v="10"/>
    <x v="14"/>
    <x v="14"/>
    <x v="14"/>
    <x v="13"/>
    <x v="14"/>
  </r>
  <r>
    <n v="482"/>
    <x v="493"/>
    <s v=""/>
    <s v=""/>
    <s v=""/>
    <s v=""/>
    <x v="493"/>
    <x v="5"/>
    <s v="RIO CLARO"/>
    <s v="RIO CLARO"/>
    <m/>
    <x v="5"/>
    <x v="5"/>
    <x v="0"/>
    <x v="5"/>
    <x v="5"/>
    <x v="5"/>
    <x v="5"/>
    <x v="5"/>
  </r>
  <r>
    <n v="483"/>
    <x v="494"/>
    <s v=""/>
    <s v=""/>
    <s v=""/>
    <s v=""/>
    <x v="494"/>
    <x v="5"/>
    <s v="RIO DAS PEDRAS"/>
    <s v="RIO DAS PEDRAS"/>
    <m/>
    <x v="5"/>
    <x v="5"/>
    <x v="0"/>
    <x v="5"/>
    <x v="5"/>
    <x v="5"/>
    <x v="5"/>
    <x v="5"/>
  </r>
  <r>
    <n v="484"/>
    <x v="495"/>
    <s v=""/>
    <s v=""/>
    <s v=""/>
    <s v=""/>
    <x v="495"/>
    <x v="42"/>
    <s v="RIO GRANDE DA SERRA"/>
    <s v="RIO GRANDE DA SERRA"/>
    <m/>
    <x v="42"/>
    <x v="40"/>
    <x v="35"/>
    <x v="39"/>
    <x v="40"/>
    <x v="40"/>
    <x v="37"/>
    <x v="42"/>
  </r>
  <r>
    <n v="485"/>
    <x v="496"/>
    <s v=""/>
    <s v=""/>
    <s v=""/>
    <s v=""/>
    <x v="496"/>
    <x v="13"/>
    <s v="RIOLÂNDIA"/>
    <s v="RIOLÂNDIA"/>
    <m/>
    <x v="13"/>
    <x v="13"/>
    <x v="9"/>
    <x v="13"/>
    <x v="13"/>
    <x v="13"/>
    <x v="12"/>
    <x v="13"/>
  </r>
  <r>
    <n v="486"/>
    <x v="497"/>
    <s v=""/>
    <s v=""/>
    <s v=""/>
    <s v=""/>
    <x v="497"/>
    <x v="21"/>
    <s v="RIVERSUL"/>
    <s v="RIVERSUL"/>
    <m/>
    <x v="21"/>
    <x v="21"/>
    <x v="17"/>
    <x v="21"/>
    <x v="21"/>
    <x v="21"/>
    <x v="20"/>
    <x v="21"/>
  </r>
  <r>
    <n v="487"/>
    <x v="498"/>
    <s v=""/>
    <s v=""/>
    <s v=""/>
    <s v=""/>
    <x v="498"/>
    <x v="8"/>
    <s v="ROSANA"/>
    <s v="ROSANA"/>
    <m/>
    <x v="8"/>
    <x v="8"/>
    <x v="5"/>
    <x v="8"/>
    <x v="8"/>
    <x v="8"/>
    <x v="4"/>
    <x v="8"/>
  </r>
  <r>
    <n v="488"/>
    <x v="499"/>
    <s v=""/>
    <s v=""/>
    <s v=""/>
    <s v=""/>
    <x v="499"/>
    <x v="19"/>
    <s v="ROSEIRA"/>
    <s v="ROSEIRA"/>
    <m/>
    <x v="19"/>
    <x v="19"/>
    <x v="15"/>
    <x v="19"/>
    <x v="19"/>
    <x v="19"/>
    <x v="18"/>
    <x v="19"/>
  </r>
  <r>
    <n v="489"/>
    <x v="500"/>
    <s v=""/>
    <s v=""/>
    <s v=""/>
    <s v=""/>
    <x v="500"/>
    <x v="11"/>
    <s v="RUBIÁCEA"/>
    <s v="RUBIÁCEA"/>
    <m/>
    <x v="11"/>
    <x v="11"/>
    <x v="8"/>
    <x v="11"/>
    <x v="11"/>
    <x v="11"/>
    <x v="10"/>
    <x v="11"/>
  </r>
  <r>
    <n v="490"/>
    <x v="501"/>
    <s v=""/>
    <s v=""/>
    <s v=""/>
    <s v=""/>
    <x v="501"/>
    <x v="20"/>
    <s v="RUBINÉIA"/>
    <s v="RUBINÉIA"/>
    <m/>
    <x v="20"/>
    <x v="20"/>
    <x v="16"/>
    <x v="20"/>
    <x v="20"/>
    <x v="20"/>
    <x v="19"/>
    <x v="20"/>
  </r>
  <r>
    <n v="491"/>
    <x v="502"/>
    <s v=""/>
    <s v=""/>
    <s v=""/>
    <s v=""/>
    <x v="502"/>
    <x v="14"/>
    <s v="SABINO"/>
    <s v="SABINO"/>
    <m/>
    <x v="14"/>
    <x v="14"/>
    <x v="10"/>
    <x v="14"/>
    <x v="14"/>
    <x v="14"/>
    <x v="13"/>
    <x v="14"/>
  </r>
  <r>
    <n v="492"/>
    <x v="503"/>
    <s v=""/>
    <s v=""/>
    <s v=""/>
    <s v=""/>
    <x v="503"/>
    <x v="0"/>
    <s v="SAGRES"/>
    <s v="SAGRES"/>
    <m/>
    <x v="0"/>
    <x v="0"/>
    <x v="0"/>
    <x v="0"/>
    <x v="0"/>
    <x v="0"/>
    <x v="0"/>
    <x v="0"/>
  </r>
  <r>
    <n v="493"/>
    <x v="504"/>
    <s v=""/>
    <s v=""/>
    <s v=""/>
    <s v=""/>
    <x v="504"/>
    <x v="1"/>
    <s v="SALES"/>
    <s v="SALES"/>
    <m/>
    <x v="1"/>
    <x v="1"/>
    <x v="1"/>
    <x v="1"/>
    <x v="1"/>
    <x v="1"/>
    <x v="1"/>
    <x v="1"/>
  </r>
  <r>
    <n v="494"/>
    <x v="505"/>
    <s v=""/>
    <s v=""/>
    <s v=""/>
    <s v=""/>
    <x v="505"/>
    <x v="10"/>
    <s v="SALES OLIVEIRA"/>
    <s v="SALES OLIVEIRA"/>
    <m/>
    <x v="10"/>
    <x v="10"/>
    <x v="7"/>
    <x v="10"/>
    <x v="10"/>
    <x v="10"/>
    <x v="9"/>
    <x v="10"/>
  </r>
  <r>
    <n v="495"/>
    <x v="506"/>
    <s v=""/>
    <s v=""/>
    <s v=""/>
    <s v=""/>
    <x v="506"/>
    <x v="32"/>
    <s v="SALESÓPOLIS"/>
    <s v="SALESÓPOLIS"/>
    <m/>
    <x v="32"/>
    <x v="32"/>
    <x v="27"/>
    <x v="32"/>
    <x v="32"/>
    <x v="32"/>
    <x v="4"/>
    <x v="32"/>
  </r>
  <r>
    <n v="496"/>
    <x v="507"/>
    <s v=""/>
    <s v=""/>
    <s v=""/>
    <s v=""/>
    <x v="507"/>
    <x v="0"/>
    <s v="SALMOURÃO"/>
    <s v="SALMOURÃO"/>
    <m/>
    <x v="0"/>
    <x v="0"/>
    <x v="0"/>
    <x v="0"/>
    <x v="0"/>
    <x v="0"/>
    <x v="0"/>
    <x v="0"/>
  </r>
  <r>
    <n v="497"/>
    <x v="508"/>
    <s v=""/>
    <s v=""/>
    <s v=""/>
    <s v=""/>
    <x v="508"/>
    <x v="5"/>
    <s v="SALTINHO"/>
    <s v="SALTINHO"/>
    <m/>
    <x v="5"/>
    <x v="5"/>
    <x v="0"/>
    <x v="5"/>
    <x v="5"/>
    <x v="5"/>
    <x v="5"/>
    <x v="5"/>
  </r>
  <r>
    <n v="498"/>
    <x v="509"/>
    <s v=""/>
    <s v=""/>
    <s v=""/>
    <s v=""/>
    <x v="509"/>
    <x v="34"/>
    <s v="SALTO"/>
    <s v="SALTO"/>
    <m/>
    <x v="34"/>
    <x v="34"/>
    <x v="29"/>
    <x v="34"/>
    <x v="34"/>
    <x v="34"/>
    <x v="32"/>
    <x v="34"/>
  </r>
  <r>
    <n v="499"/>
    <x v="510"/>
    <s v=""/>
    <s v=""/>
    <s v=""/>
    <s v=""/>
    <x v="510"/>
    <x v="22"/>
    <s v="SALTO DE PIRAPORA"/>
    <s v="SALTO DE PIRAPORA"/>
    <m/>
    <x v="22"/>
    <x v="22"/>
    <x v="18"/>
    <x v="22"/>
    <x v="22"/>
    <x v="22"/>
    <x v="21"/>
    <x v="22"/>
  </r>
  <r>
    <n v="500"/>
    <x v="511"/>
    <s v=""/>
    <s v=""/>
    <s v=""/>
    <s v=""/>
    <x v="511"/>
    <x v="26"/>
    <s v="SALTO GRANDE"/>
    <s v="SALTO GRANDE"/>
    <m/>
    <x v="26"/>
    <x v="26"/>
    <x v="22"/>
    <x v="26"/>
    <x v="26"/>
    <x v="26"/>
    <x v="25"/>
    <x v="26"/>
  </r>
  <r>
    <n v="501"/>
    <x v="512"/>
    <s v=""/>
    <s v=""/>
    <s v=""/>
    <s v=""/>
    <x v="512"/>
    <x v="8"/>
    <s v="SANDOVALINA"/>
    <s v="SANDOVALINA"/>
    <m/>
    <x v="8"/>
    <x v="8"/>
    <x v="5"/>
    <x v="8"/>
    <x v="8"/>
    <x v="8"/>
    <x v="4"/>
    <x v="8"/>
  </r>
  <r>
    <n v="502"/>
    <x v="513"/>
    <s v=""/>
    <s v=""/>
    <s v=""/>
    <s v=""/>
    <x v="513"/>
    <x v="1"/>
    <s v="SANTA ADÉLIA"/>
    <s v="SANTA ADÉLIA"/>
    <m/>
    <x v="1"/>
    <x v="1"/>
    <x v="1"/>
    <x v="1"/>
    <x v="1"/>
    <x v="1"/>
    <x v="1"/>
    <x v="1"/>
  </r>
  <r>
    <n v="503"/>
    <x v="514"/>
    <s v=""/>
    <s v=""/>
    <s v=""/>
    <s v=""/>
    <x v="514"/>
    <x v="20"/>
    <s v="SANTA ALBERTINA"/>
    <s v="SANTA ALBERTINA"/>
    <m/>
    <x v="20"/>
    <x v="20"/>
    <x v="16"/>
    <x v="20"/>
    <x v="20"/>
    <x v="20"/>
    <x v="19"/>
    <x v="20"/>
  </r>
  <r>
    <n v="636"/>
    <x v="515"/>
    <s v=""/>
    <s v=""/>
    <s v=""/>
    <s v="Não!, Erro!"/>
    <x v="515"/>
    <x v="15"/>
    <s v="SANTA BÁRBARA D´OESTE"/>
    <s v="SANTA BÁRBARA D´OESTE"/>
    <m/>
    <x v="15"/>
    <x v="15"/>
    <x v="11"/>
    <x v="15"/>
    <x v="15"/>
    <x v="15"/>
    <x v="14"/>
    <x v="15"/>
  </r>
  <r>
    <n v="504"/>
    <x v="516"/>
    <s v=""/>
    <s v=""/>
    <s v=""/>
    <s v=""/>
    <x v="516"/>
    <x v="35"/>
    <s v="SANTA BRANCA"/>
    <s v="SANTA BRANCA"/>
    <m/>
    <x v="35"/>
    <x v="35"/>
    <x v="30"/>
    <x v="35"/>
    <x v="35"/>
    <x v="35"/>
    <x v="33"/>
    <x v="35"/>
  </r>
  <r>
    <n v="637"/>
    <x v="517"/>
    <s v=""/>
    <s v=""/>
    <s v=""/>
    <s v="Não!, Erro!"/>
    <x v="517"/>
    <x v="20"/>
    <s v="SANTA CLARA D`OESTE"/>
    <s v="SANTA CLARA D`OESTE"/>
    <m/>
    <x v="20"/>
    <x v="20"/>
    <x v="16"/>
    <x v="20"/>
    <x v="20"/>
    <x v="20"/>
    <x v="19"/>
    <x v="20"/>
  </r>
  <r>
    <n v="505"/>
    <x v="518"/>
    <s v=""/>
    <s v=""/>
    <s v=""/>
    <s v=""/>
    <x v="518"/>
    <x v="3"/>
    <s v="SANTA CRUZ DA CONCEIÇÃO"/>
    <s v="SANTA CRUZ DA CONCEIÇÃO"/>
    <m/>
    <x v="3"/>
    <x v="3"/>
    <x v="2"/>
    <x v="3"/>
    <x v="3"/>
    <x v="3"/>
    <x v="3"/>
    <x v="3"/>
  </r>
  <r>
    <n v="506"/>
    <x v="519"/>
    <s v=""/>
    <s v=""/>
    <s v=""/>
    <s v=""/>
    <x v="519"/>
    <x v="10"/>
    <s v="SANTA CRUZ DA ESPERANÇA"/>
    <s v="SANTA CRUZ DA ESPERANÇA"/>
    <m/>
    <x v="10"/>
    <x v="10"/>
    <x v="7"/>
    <x v="10"/>
    <x v="10"/>
    <x v="10"/>
    <x v="9"/>
    <x v="10"/>
  </r>
  <r>
    <n v="507"/>
    <x v="520"/>
    <s v=""/>
    <s v=""/>
    <s v=""/>
    <s v=""/>
    <x v="520"/>
    <x v="2"/>
    <s v="SANTA CRUZ DAS PALMEIRAS"/>
    <s v="SANTA CRUZ DAS PALMEIRAS"/>
    <m/>
    <x v="2"/>
    <x v="2"/>
    <x v="0"/>
    <x v="2"/>
    <x v="2"/>
    <x v="2"/>
    <x v="2"/>
    <x v="2"/>
  </r>
  <r>
    <n v="508"/>
    <x v="521"/>
    <s v=""/>
    <s v=""/>
    <s v=""/>
    <s v=""/>
    <x v="521"/>
    <x v="26"/>
    <s v="SANTA CRUZ DO RIO PARDO"/>
    <s v="SANTA CRUZ DO RIO PARDO"/>
    <m/>
    <x v="26"/>
    <x v="26"/>
    <x v="22"/>
    <x v="26"/>
    <x v="26"/>
    <x v="26"/>
    <x v="25"/>
    <x v="26"/>
  </r>
  <r>
    <n v="509"/>
    <x v="522"/>
    <s v=""/>
    <s v=""/>
    <s v=""/>
    <s v=""/>
    <x v="522"/>
    <x v="16"/>
    <s v="SANTA ERNESTINA"/>
    <s v="SANTA ERNESTINA"/>
    <m/>
    <x v="16"/>
    <x v="16"/>
    <x v="12"/>
    <x v="16"/>
    <x v="16"/>
    <x v="16"/>
    <x v="15"/>
    <x v="16"/>
  </r>
  <r>
    <n v="510"/>
    <x v="523"/>
    <s v=""/>
    <s v=""/>
    <s v=""/>
    <s v=""/>
    <x v="523"/>
    <x v="20"/>
    <s v="SANTA FÉ DO SUL"/>
    <s v="SANTA FÉ DO SUL"/>
    <m/>
    <x v="20"/>
    <x v="20"/>
    <x v="16"/>
    <x v="20"/>
    <x v="20"/>
    <x v="20"/>
    <x v="19"/>
    <x v="20"/>
  </r>
  <r>
    <n v="511"/>
    <x v="524"/>
    <s v=""/>
    <s v=""/>
    <s v=""/>
    <s v=""/>
    <x v="524"/>
    <x v="24"/>
    <s v="SANTA GERTRUDES"/>
    <s v="SANTA GERTRUDES"/>
    <m/>
    <x v="24"/>
    <x v="24"/>
    <x v="20"/>
    <x v="24"/>
    <x v="24"/>
    <x v="24"/>
    <x v="23"/>
    <x v="24"/>
  </r>
  <r>
    <n v="512"/>
    <x v="525"/>
    <s v=""/>
    <s v=""/>
    <s v=""/>
    <s v=""/>
    <x v="525"/>
    <x v="32"/>
    <s v="SANTA ISABEL"/>
    <s v="SANTA ISABEL"/>
    <m/>
    <x v="32"/>
    <x v="32"/>
    <x v="27"/>
    <x v="32"/>
    <x v="32"/>
    <x v="32"/>
    <x v="4"/>
    <x v="32"/>
  </r>
  <r>
    <n v="513"/>
    <x v="526"/>
    <s v=""/>
    <s v=""/>
    <s v=""/>
    <s v=""/>
    <x v="526"/>
    <x v="16"/>
    <s v="SANTA LÚCIA"/>
    <s v="SANTA LÚCIA"/>
    <m/>
    <x v="16"/>
    <x v="16"/>
    <x v="12"/>
    <x v="16"/>
    <x v="16"/>
    <x v="16"/>
    <x v="15"/>
    <x v="16"/>
  </r>
  <r>
    <n v="514"/>
    <x v="527"/>
    <s v=""/>
    <s v=""/>
    <s v=""/>
    <s v=""/>
    <x v="527"/>
    <x v="5"/>
    <s v="SANTA MARIA DA SERRA"/>
    <s v="SANTA MARIA DA SERRA"/>
    <m/>
    <x v="5"/>
    <x v="5"/>
    <x v="0"/>
    <x v="5"/>
    <x v="5"/>
    <x v="5"/>
    <x v="5"/>
    <x v="5"/>
  </r>
  <r>
    <n v="515"/>
    <x v="528"/>
    <s v=""/>
    <s v=""/>
    <s v=""/>
    <s v=""/>
    <x v="528"/>
    <x v="0"/>
    <s v="SANTA MERCEDES"/>
    <s v="SANTA MERCEDES"/>
    <m/>
    <x v="0"/>
    <x v="0"/>
    <x v="0"/>
    <x v="0"/>
    <x v="0"/>
    <x v="0"/>
    <x v="0"/>
    <x v="0"/>
  </r>
  <r>
    <n v="516"/>
    <x v="529"/>
    <s v=""/>
    <s v=""/>
    <s v=""/>
    <s v=""/>
    <x v="529"/>
    <x v="10"/>
    <s v="SANTA RITA DO PASSA QUATRO"/>
    <s v="SANTA RITA DO PASSA QUATRO"/>
    <m/>
    <x v="10"/>
    <x v="10"/>
    <x v="7"/>
    <x v="10"/>
    <x v="10"/>
    <x v="10"/>
    <x v="9"/>
    <x v="10"/>
  </r>
  <r>
    <n v="638"/>
    <x v="530"/>
    <s v=""/>
    <s v=""/>
    <s v=""/>
    <s v="Não!, Erro!"/>
    <x v="530"/>
    <x v="20"/>
    <s v="SANTA RITA D´OESTE"/>
    <s v="SANTA RITA D´OESTE"/>
    <m/>
    <x v="20"/>
    <x v="20"/>
    <x v="16"/>
    <x v="20"/>
    <x v="20"/>
    <x v="20"/>
    <x v="19"/>
    <x v="20"/>
  </r>
  <r>
    <n v="517"/>
    <x v="531"/>
    <s v=""/>
    <s v=""/>
    <s v=""/>
    <s v=""/>
    <x v="531"/>
    <x v="10"/>
    <s v="SANTA ROSA DE VITERBO"/>
    <s v="SANTA ROSA DE VITERBO"/>
    <m/>
    <x v="10"/>
    <x v="10"/>
    <x v="7"/>
    <x v="10"/>
    <x v="10"/>
    <x v="10"/>
    <x v="9"/>
    <x v="10"/>
  </r>
  <r>
    <n v="518"/>
    <x v="532"/>
    <s v=""/>
    <s v=""/>
    <s v=""/>
    <s v=""/>
    <x v="532"/>
    <x v="20"/>
    <s v="SANTA SALETE"/>
    <s v="SANTA SALETE"/>
    <m/>
    <x v="20"/>
    <x v="20"/>
    <x v="16"/>
    <x v="20"/>
    <x v="20"/>
    <x v="20"/>
    <x v="19"/>
    <x v="20"/>
  </r>
  <r>
    <n v="519"/>
    <x v="533"/>
    <s v=""/>
    <s v=""/>
    <s v=""/>
    <s v=""/>
    <x v="533"/>
    <x v="20"/>
    <s v="SANTANA DA PONTE PENSA"/>
    <s v="SANTANA DA PONTE PENSA"/>
    <m/>
    <x v="20"/>
    <x v="20"/>
    <x v="16"/>
    <x v="20"/>
    <x v="20"/>
    <x v="20"/>
    <x v="19"/>
    <x v="20"/>
  </r>
  <r>
    <n v="520"/>
    <x v="534"/>
    <s v=""/>
    <s v=""/>
    <s v=""/>
    <s v=""/>
    <x v="534"/>
    <x v="30"/>
    <s v="SANTANA DE PARNAÍBA"/>
    <s v="SANTANA DE PARNAÍBA"/>
    <m/>
    <x v="30"/>
    <x v="30"/>
    <x v="25"/>
    <x v="30"/>
    <x v="30"/>
    <x v="30"/>
    <x v="29"/>
    <x v="30"/>
  </r>
  <r>
    <n v="521"/>
    <x v="535"/>
    <s v=""/>
    <s v=""/>
    <s v=""/>
    <s v=""/>
    <x v="535"/>
    <x v="8"/>
    <s v="SANTO ANASTÁCIO"/>
    <s v="SANTO ANASTÁCIO"/>
    <m/>
    <x v="8"/>
    <x v="8"/>
    <x v="5"/>
    <x v="8"/>
    <x v="8"/>
    <x v="8"/>
    <x v="4"/>
    <x v="8"/>
  </r>
  <r>
    <n v="522"/>
    <x v="536"/>
    <s v=""/>
    <s v=""/>
    <s v=""/>
    <s v=""/>
    <x v="536"/>
    <x v="42"/>
    <s v="SANTO ANDRÉ"/>
    <s v="SANTO ANDRÉ"/>
    <m/>
    <x v="42"/>
    <x v="40"/>
    <x v="35"/>
    <x v="39"/>
    <x v="40"/>
    <x v="40"/>
    <x v="37"/>
    <x v="42"/>
  </r>
  <r>
    <n v="523"/>
    <x v="537"/>
    <s v=""/>
    <s v=""/>
    <s v=""/>
    <s v=""/>
    <x v="537"/>
    <x v="10"/>
    <s v="SANTO ANTÔNIO DA ALEGRIA"/>
    <s v="SANTO ANTÔNIO DA ALEGRIA"/>
    <m/>
    <x v="10"/>
    <x v="10"/>
    <x v="7"/>
    <x v="10"/>
    <x v="10"/>
    <x v="10"/>
    <x v="9"/>
    <x v="10"/>
  </r>
  <r>
    <n v="524"/>
    <x v="538"/>
    <s v=""/>
    <s v=""/>
    <s v=""/>
    <s v=""/>
    <x v="538"/>
    <x v="17"/>
    <s v="SANTO ANTÔNIO DE POSSE"/>
    <s v="SANTO ANTÔNIO DE POSSE"/>
    <m/>
    <x v="17"/>
    <x v="17"/>
    <x v="13"/>
    <x v="17"/>
    <x v="17"/>
    <x v="17"/>
    <x v="16"/>
    <x v="17"/>
  </r>
  <r>
    <n v="525"/>
    <x v="539"/>
    <s v=""/>
    <s v=""/>
    <s v=""/>
    <s v=""/>
    <x v="539"/>
    <x v="11"/>
    <s v="SANTO ANTÔNIO DO ARACANGUÁ"/>
    <s v="SANTO ANTÔNIO DO ARACANGUÁ"/>
    <m/>
    <x v="11"/>
    <x v="11"/>
    <x v="8"/>
    <x v="11"/>
    <x v="11"/>
    <x v="11"/>
    <x v="10"/>
    <x v="11"/>
  </r>
  <r>
    <n v="526"/>
    <x v="540"/>
    <s v=""/>
    <s v=""/>
    <s v=""/>
    <s v=""/>
    <x v="540"/>
    <x v="2"/>
    <s v="SANTO ANTÔNIO DO JARDIM"/>
    <s v="SANTO ANTÔNIO DO JARDIM"/>
    <m/>
    <x v="2"/>
    <x v="2"/>
    <x v="0"/>
    <x v="2"/>
    <x v="2"/>
    <x v="2"/>
    <x v="2"/>
    <x v="2"/>
  </r>
  <r>
    <n v="527"/>
    <x v="541"/>
    <s v=""/>
    <s v=""/>
    <s v=""/>
    <s v=""/>
    <x v="541"/>
    <x v="19"/>
    <s v="SANTO ANTÔNIO DO PINHAL"/>
    <s v="SANTO ANTÔNIO DO PINHAL"/>
    <m/>
    <x v="19"/>
    <x v="19"/>
    <x v="15"/>
    <x v="19"/>
    <x v="19"/>
    <x v="19"/>
    <x v="18"/>
    <x v="19"/>
  </r>
  <r>
    <n v="528"/>
    <x v="542"/>
    <s v=""/>
    <s v=""/>
    <s v=""/>
    <s v=""/>
    <x v="542"/>
    <x v="8"/>
    <s v="SANTO EXPEDITO"/>
    <s v="SANTO EXPEDITO"/>
    <m/>
    <x v="8"/>
    <x v="8"/>
    <x v="5"/>
    <x v="8"/>
    <x v="8"/>
    <x v="8"/>
    <x v="4"/>
    <x v="8"/>
  </r>
  <r>
    <n v="529"/>
    <x v="543"/>
    <s v=""/>
    <s v=""/>
    <s v=""/>
    <s v=""/>
    <x v="543"/>
    <x v="11"/>
    <s v="SANTÓPOLIS DO AGUAPEÍ"/>
    <s v="SANTÓPOLIS DO AGUAPEÍ"/>
    <m/>
    <x v="11"/>
    <x v="11"/>
    <x v="8"/>
    <x v="11"/>
    <x v="11"/>
    <x v="11"/>
    <x v="10"/>
    <x v="11"/>
  </r>
  <r>
    <n v="530"/>
    <x v="544"/>
    <s v=""/>
    <s v=""/>
    <s v=""/>
    <s v=""/>
    <x v="544"/>
    <x v="41"/>
    <s v="SANTOS"/>
    <s v="SANTOS"/>
    <m/>
    <x v="41"/>
    <x v="41"/>
    <x v="36"/>
    <x v="40"/>
    <x v="41"/>
    <x v="41"/>
    <x v="38"/>
    <x v="41"/>
  </r>
  <r>
    <n v="531"/>
    <x v="545"/>
    <s v=""/>
    <s v=""/>
    <s v=""/>
    <s v=""/>
    <x v="545"/>
    <x v="19"/>
    <s v="SÃO BENTO DO SAPUCAÍ"/>
    <s v="SÃO BENTO DO SAPUCAÍ"/>
    <m/>
    <x v="19"/>
    <x v="19"/>
    <x v="15"/>
    <x v="19"/>
    <x v="19"/>
    <x v="19"/>
    <x v="18"/>
    <x v="19"/>
  </r>
  <r>
    <n v="532"/>
    <x v="546"/>
    <s v=""/>
    <s v=""/>
    <s v=""/>
    <s v=""/>
    <x v="546"/>
    <x v="40"/>
    <s v="SÃO BERNARDO DO CAMPO"/>
    <s v="SÃO BERNARDO DO CAMPO"/>
    <m/>
    <x v="40"/>
    <x v="40"/>
    <x v="35"/>
    <x v="39"/>
    <x v="40"/>
    <x v="40"/>
    <x v="37"/>
    <x v="40"/>
  </r>
  <r>
    <n v="533"/>
    <x v="547"/>
    <s v=""/>
    <s v=""/>
    <s v=""/>
    <s v=""/>
    <x v="547"/>
    <x v="42"/>
    <s v="SÃO CAETANO DO SUL"/>
    <s v="SÃO CAETANO DO SUL"/>
    <m/>
    <x v="42"/>
    <x v="40"/>
    <x v="35"/>
    <x v="39"/>
    <x v="40"/>
    <x v="40"/>
    <x v="37"/>
    <x v="42"/>
  </r>
  <r>
    <n v="534"/>
    <x v="548"/>
    <s v=""/>
    <s v=""/>
    <s v=""/>
    <s v=""/>
    <x v="548"/>
    <x v="33"/>
    <s v="SÃO CARLOS"/>
    <s v="SÃO CARLOS"/>
    <m/>
    <x v="33"/>
    <x v="33"/>
    <x v="28"/>
    <x v="33"/>
    <x v="33"/>
    <x v="33"/>
    <x v="31"/>
    <x v="33"/>
  </r>
  <r>
    <n v="535"/>
    <x v="549"/>
    <s v=""/>
    <s v=""/>
    <s v=""/>
    <s v=""/>
    <x v="549"/>
    <x v="20"/>
    <s v="SÃO FRANCISCO"/>
    <s v="SÃO FRANCISCO"/>
    <m/>
    <x v="20"/>
    <x v="20"/>
    <x v="16"/>
    <x v="20"/>
    <x v="20"/>
    <x v="20"/>
    <x v="19"/>
    <x v="20"/>
  </r>
  <r>
    <n v="536"/>
    <x v="550"/>
    <s v=""/>
    <s v=""/>
    <s v=""/>
    <s v=""/>
    <x v="550"/>
    <x v="2"/>
    <s v="SÃO JOÃO DA BOA VISTA"/>
    <s v="SÃO JOÃO DA BOA VISTA"/>
    <m/>
    <x v="2"/>
    <x v="2"/>
    <x v="0"/>
    <x v="2"/>
    <x v="2"/>
    <x v="2"/>
    <x v="2"/>
    <x v="2"/>
  </r>
  <r>
    <n v="537"/>
    <x v="551"/>
    <s v=""/>
    <s v=""/>
    <s v=""/>
    <s v=""/>
    <x v="551"/>
    <x v="20"/>
    <s v="SÃO JOÃO DAS DUAS PONTES"/>
    <s v="SÃO JOÃO DAS DUAS PONTES"/>
    <m/>
    <x v="20"/>
    <x v="20"/>
    <x v="16"/>
    <x v="20"/>
    <x v="20"/>
    <x v="20"/>
    <x v="19"/>
    <x v="20"/>
  </r>
  <r>
    <n v="538"/>
    <x v="552"/>
    <s v=""/>
    <s v=""/>
    <s v=""/>
    <s v=""/>
    <x v="552"/>
    <x v="13"/>
    <s v="SÃO JOÃO DE IRACEMA"/>
    <s v="SÃO JOÃO DE IRACEMA"/>
    <m/>
    <x v="13"/>
    <x v="13"/>
    <x v="9"/>
    <x v="13"/>
    <x v="13"/>
    <x v="13"/>
    <x v="12"/>
    <x v="13"/>
  </r>
  <r>
    <n v="639"/>
    <x v="553"/>
    <s v=""/>
    <s v=""/>
    <s v=""/>
    <s v="Não!, Erro!"/>
    <x v="553"/>
    <x v="0"/>
    <s v="SÃO JOÃO DO PAU D´ALHO"/>
    <s v="SÃO JOÃO DO PAU D´ALHO"/>
    <m/>
    <x v="0"/>
    <x v="0"/>
    <x v="0"/>
    <x v="0"/>
    <x v="0"/>
    <x v="0"/>
    <x v="0"/>
    <x v="0"/>
  </r>
  <r>
    <n v="539"/>
    <x v="554"/>
    <s v=""/>
    <s v=""/>
    <s v=""/>
    <s v=""/>
    <x v="554"/>
    <x v="10"/>
    <s v="SÃO JOAQUIM DA BARRA"/>
    <s v="SÃO JOAQUIM DA BARRA"/>
    <m/>
    <x v="10"/>
    <x v="10"/>
    <x v="7"/>
    <x v="10"/>
    <x v="10"/>
    <x v="10"/>
    <x v="9"/>
    <x v="10"/>
  </r>
  <r>
    <n v="540"/>
    <x v="555"/>
    <s v=""/>
    <s v=""/>
    <s v=""/>
    <s v=""/>
    <x v="555"/>
    <x v="23"/>
    <s v="SÃO JOSÉ DA BELA VISTA"/>
    <s v="SÃO JOSÉ DA BELA VISTA"/>
    <m/>
    <x v="23"/>
    <x v="23"/>
    <x v="19"/>
    <x v="23"/>
    <x v="23"/>
    <x v="23"/>
    <x v="22"/>
    <x v="23"/>
  </r>
  <r>
    <n v="541"/>
    <x v="556"/>
    <s v=""/>
    <s v=""/>
    <s v=""/>
    <s v=""/>
    <x v="556"/>
    <x v="19"/>
    <s v="SÃO JOSÉ DO BARREIRO"/>
    <s v="SÃO JOSÉ DO BARREIRO"/>
    <m/>
    <x v="19"/>
    <x v="19"/>
    <x v="15"/>
    <x v="19"/>
    <x v="19"/>
    <x v="19"/>
    <x v="18"/>
    <x v="19"/>
  </r>
  <r>
    <n v="542"/>
    <x v="557"/>
    <s v=""/>
    <s v=""/>
    <s v=""/>
    <s v=""/>
    <x v="557"/>
    <x v="2"/>
    <s v="SÃO JOSÉ DO RIO PARDO"/>
    <s v="SÃO JOSÉ DO RIO PARDO"/>
    <m/>
    <x v="2"/>
    <x v="2"/>
    <x v="0"/>
    <x v="2"/>
    <x v="2"/>
    <x v="2"/>
    <x v="2"/>
    <x v="2"/>
  </r>
  <r>
    <n v="543"/>
    <x v="558"/>
    <s v=""/>
    <s v=""/>
    <s v=""/>
    <s v=""/>
    <x v="558"/>
    <x v="1"/>
    <s v="SÃO JOSÉ DO RIO PRETO"/>
    <s v="SÃO JOSÉ DO RIO PRETO"/>
    <m/>
    <x v="1"/>
    <x v="1"/>
    <x v="1"/>
    <x v="1"/>
    <x v="1"/>
    <x v="1"/>
    <x v="1"/>
    <x v="1"/>
  </r>
  <r>
    <n v="544"/>
    <x v="559"/>
    <s v=""/>
    <s v=""/>
    <s v=""/>
    <s v=""/>
    <x v="559"/>
    <x v="35"/>
    <s v="SÃO JOSÉ DOS CAMPOS"/>
    <s v="SÃO JOSÉ DOS CAMPOS"/>
    <m/>
    <x v="35"/>
    <x v="35"/>
    <x v="30"/>
    <x v="35"/>
    <x v="35"/>
    <x v="35"/>
    <x v="33"/>
    <x v="35"/>
  </r>
  <r>
    <n v="545"/>
    <x v="560"/>
    <s v=""/>
    <s v=""/>
    <s v=""/>
    <s v=""/>
    <x v="560"/>
    <x v="39"/>
    <s v="SÃO LOURENÇO DA SERRA"/>
    <s v="SÃO LOURENÇO DA SERRA"/>
    <m/>
    <x v="39"/>
    <x v="39"/>
    <x v="34"/>
    <x v="38"/>
    <x v="39"/>
    <x v="39"/>
    <x v="36"/>
    <x v="39"/>
  </r>
  <r>
    <n v="546"/>
    <x v="561"/>
    <s v=""/>
    <s v=""/>
    <s v=""/>
    <s v=""/>
    <x v="561"/>
    <x v="19"/>
    <s v="SÃO LUÍS DO PARAITINGA"/>
    <s v="SÃO LUÍS DO PARAITINGA"/>
    <m/>
    <x v="19"/>
    <x v="19"/>
    <x v="15"/>
    <x v="19"/>
    <x v="19"/>
    <x v="19"/>
    <x v="18"/>
    <x v="19"/>
  </r>
  <r>
    <n v="547"/>
    <x v="562"/>
    <s v=""/>
    <s v=""/>
    <s v=""/>
    <s v=""/>
    <x v="562"/>
    <x v="18"/>
    <s v="SÃO MANUEL"/>
    <s v="SÃO MANUEL"/>
    <m/>
    <x v="18"/>
    <x v="18"/>
    <x v="14"/>
    <x v="18"/>
    <x v="18"/>
    <x v="18"/>
    <x v="17"/>
    <x v="18"/>
  </r>
  <r>
    <n v="548"/>
    <x v="563"/>
    <s v=""/>
    <s v=""/>
    <s v=""/>
    <s v=""/>
    <x v="563"/>
    <x v="7"/>
    <s v="SÃO MIGUEL ARCANJO"/>
    <s v="SÃO MIGUEL ARCANJO"/>
    <m/>
    <x v="7"/>
    <x v="7"/>
    <x v="0"/>
    <x v="7"/>
    <x v="7"/>
    <x v="7"/>
    <x v="7"/>
    <x v="7"/>
  </r>
  <r>
    <n v="641"/>
    <x v="564"/>
    <s v=""/>
    <s v="Não Registrado"/>
    <s v=""/>
    <s v="Não!, Erro!"/>
    <x v="564"/>
    <x v="43"/>
    <m/>
    <m/>
    <m/>
    <x v="43"/>
    <x v="42"/>
    <x v="37"/>
    <x v="41"/>
    <x v="42"/>
    <x v="42"/>
    <x v="39"/>
    <x v="43"/>
  </r>
  <r>
    <n v="549"/>
    <x v="565"/>
    <s v=""/>
    <s v=""/>
    <s v=""/>
    <s v=""/>
    <x v="565"/>
    <x v="5"/>
    <s v="SÃO PEDRO"/>
    <s v="SÃO PEDRO"/>
    <m/>
    <x v="5"/>
    <x v="5"/>
    <x v="0"/>
    <x v="5"/>
    <x v="5"/>
    <x v="5"/>
    <x v="5"/>
    <x v="5"/>
  </r>
  <r>
    <n v="550"/>
    <x v="566"/>
    <s v=""/>
    <s v=""/>
    <s v=""/>
    <s v=""/>
    <x v="566"/>
    <x v="26"/>
    <s v="SÃO PEDRO DO TURVO"/>
    <s v="SÃO PEDRO DO TURVO"/>
    <m/>
    <x v="26"/>
    <x v="26"/>
    <x v="22"/>
    <x v="26"/>
    <x v="26"/>
    <x v="26"/>
    <x v="25"/>
    <x v="26"/>
  </r>
  <r>
    <n v="551"/>
    <x v="567"/>
    <s v=""/>
    <s v=""/>
    <s v=""/>
    <s v=""/>
    <x v="567"/>
    <x v="12"/>
    <s v="SÃO ROQUE"/>
    <s v="SÃO ROQUE"/>
    <m/>
    <x v="12"/>
    <x v="12"/>
    <x v="0"/>
    <x v="12"/>
    <x v="12"/>
    <x v="12"/>
    <x v="11"/>
    <x v="12"/>
  </r>
  <r>
    <n v="552"/>
    <x v="568"/>
    <s v=""/>
    <s v=""/>
    <s v=""/>
    <s v=""/>
    <x v="568"/>
    <x v="38"/>
    <s v="SÃO SEBASTIÃO"/>
    <s v="SÃO SEBASTIÃO"/>
    <m/>
    <x v="38"/>
    <x v="38"/>
    <x v="33"/>
    <x v="37"/>
    <x v="38"/>
    <x v="38"/>
    <x v="35"/>
    <x v="38"/>
  </r>
  <r>
    <n v="553"/>
    <x v="569"/>
    <s v=""/>
    <s v=""/>
    <s v=""/>
    <s v=""/>
    <x v="569"/>
    <x v="2"/>
    <s v="SÃO SEBASTIÃO DA GRAMA"/>
    <s v="SÃO SEBASTIÃO DA GRAMA"/>
    <m/>
    <x v="2"/>
    <x v="2"/>
    <x v="0"/>
    <x v="2"/>
    <x v="2"/>
    <x v="2"/>
    <x v="2"/>
    <x v="2"/>
  </r>
  <r>
    <n v="554"/>
    <x v="570"/>
    <s v=""/>
    <s v=""/>
    <s v=""/>
    <s v=""/>
    <x v="570"/>
    <x v="10"/>
    <s v="SÃO SIMÃO"/>
    <s v="SÃO SIMÃO"/>
    <m/>
    <x v="10"/>
    <x v="10"/>
    <x v="7"/>
    <x v="10"/>
    <x v="10"/>
    <x v="10"/>
    <x v="9"/>
    <x v="10"/>
  </r>
  <r>
    <n v="555"/>
    <x v="571"/>
    <s v=""/>
    <s v=""/>
    <s v=""/>
    <s v=""/>
    <x v="571"/>
    <x v="41"/>
    <s v="SÃO VICENTE"/>
    <s v="SÃO VICENTE"/>
    <m/>
    <x v="41"/>
    <x v="41"/>
    <x v="36"/>
    <x v="40"/>
    <x v="41"/>
    <x v="41"/>
    <x v="38"/>
    <x v="41"/>
  </r>
  <r>
    <n v="556"/>
    <x v="572"/>
    <s v=""/>
    <s v=""/>
    <s v=""/>
    <s v=""/>
    <x v="572"/>
    <x v="7"/>
    <s v="SARAPUÍ"/>
    <s v="SARAPUÍ"/>
    <m/>
    <x v="7"/>
    <x v="7"/>
    <x v="0"/>
    <x v="7"/>
    <x v="7"/>
    <x v="7"/>
    <x v="7"/>
    <x v="7"/>
  </r>
  <r>
    <n v="557"/>
    <x v="573"/>
    <s v=""/>
    <s v=""/>
    <s v=""/>
    <s v=""/>
    <x v="573"/>
    <x v="4"/>
    <s v="SARUTAIÁ"/>
    <s v="SARUTAIÁ"/>
    <m/>
    <x v="4"/>
    <x v="4"/>
    <x v="3"/>
    <x v="4"/>
    <x v="4"/>
    <x v="4"/>
    <x v="4"/>
    <x v="4"/>
  </r>
  <r>
    <n v="558"/>
    <x v="574"/>
    <s v=""/>
    <s v=""/>
    <s v=""/>
    <s v=""/>
    <x v="574"/>
    <x v="13"/>
    <s v="SEBASTIANÓPOLIS DO SUL"/>
    <s v="SEBASTIANÓPOLIS DO SUL"/>
    <m/>
    <x v="13"/>
    <x v="13"/>
    <x v="9"/>
    <x v="13"/>
    <x v="13"/>
    <x v="13"/>
    <x v="12"/>
    <x v="13"/>
  </r>
  <r>
    <n v="559"/>
    <x v="575"/>
    <s v=""/>
    <s v=""/>
    <s v=""/>
    <s v=""/>
    <x v="575"/>
    <x v="10"/>
    <s v="SERRA AZUL"/>
    <s v="SERRA AZUL"/>
    <m/>
    <x v="10"/>
    <x v="10"/>
    <x v="7"/>
    <x v="10"/>
    <x v="10"/>
    <x v="10"/>
    <x v="9"/>
    <x v="10"/>
  </r>
  <r>
    <n v="560"/>
    <x v="576"/>
    <s v=""/>
    <s v=""/>
    <s v=""/>
    <s v=""/>
    <x v="576"/>
    <x v="3"/>
    <s v="SERRA NEGRA"/>
    <s v="SERRA NEGRA"/>
    <m/>
    <x v="3"/>
    <x v="3"/>
    <x v="2"/>
    <x v="3"/>
    <x v="3"/>
    <x v="3"/>
    <x v="3"/>
    <x v="3"/>
  </r>
  <r>
    <n v="561"/>
    <x v="577"/>
    <s v=""/>
    <s v=""/>
    <s v=""/>
    <s v=""/>
    <x v="577"/>
    <x v="10"/>
    <s v="SERRANA"/>
    <s v="SERRANA"/>
    <m/>
    <x v="10"/>
    <x v="10"/>
    <x v="7"/>
    <x v="10"/>
    <x v="10"/>
    <x v="10"/>
    <x v="9"/>
    <x v="10"/>
  </r>
  <r>
    <n v="562"/>
    <x v="578"/>
    <s v=""/>
    <s v=""/>
    <s v=""/>
    <s v=""/>
    <x v="578"/>
    <x v="10"/>
    <s v="SERTÃOZINHO"/>
    <s v="SERTÃOZINHO"/>
    <m/>
    <x v="10"/>
    <x v="10"/>
    <x v="7"/>
    <x v="10"/>
    <x v="10"/>
    <x v="10"/>
    <x v="9"/>
    <x v="10"/>
  </r>
  <r>
    <n v="563"/>
    <x v="579"/>
    <s v=""/>
    <s v=""/>
    <s v=""/>
    <s v=""/>
    <x v="579"/>
    <x v="28"/>
    <s v="SETE BARRAS"/>
    <s v="SETE BARRAS"/>
    <m/>
    <x v="28"/>
    <x v="28"/>
    <x v="23"/>
    <x v="28"/>
    <x v="28"/>
    <x v="28"/>
    <x v="27"/>
    <x v="28"/>
  </r>
  <r>
    <n v="564"/>
    <x v="580"/>
    <s v=""/>
    <s v=""/>
    <s v=""/>
    <s v=""/>
    <x v="580"/>
    <x v="9"/>
    <s v="SEVERÍNIA"/>
    <s v="SEVERÍNIA"/>
    <m/>
    <x v="9"/>
    <x v="9"/>
    <x v="6"/>
    <x v="9"/>
    <x v="9"/>
    <x v="9"/>
    <x v="8"/>
    <x v="9"/>
  </r>
  <r>
    <n v="565"/>
    <x v="581"/>
    <s v=""/>
    <s v=""/>
    <s v=""/>
    <s v=""/>
    <x v="581"/>
    <x v="19"/>
    <s v="SILVEIRAS"/>
    <s v="SILVEIRAS"/>
    <m/>
    <x v="19"/>
    <x v="19"/>
    <x v="15"/>
    <x v="19"/>
    <x v="19"/>
    <x v="19"/>
    <x v="18"/>
    <x v="19"/>
  </r>
  <r>
    <n v="566"/>
    <x v="582"/>
    <s v=""/>
    <s v=""/>
    <s v=""/>
    <s v=""/>
    <x v="582"/>
    <x v="3"/>
    <s v="SOCORRO"/>
    <s v="SOCORRO"/>
    <m/>
    <x v="3"/>
    <x v="3"/>
    <x v="2"/>
    <x v="3"/>
    <x v="3"/>
    <x v="3"/>
    <x v="3"/>
    <x v="3"/>
  </r>
  <r>
    <n v="567"/>
    <x v="583"/>
    <s v=""/>
    <s v=""/>
    <s v=""/>
    <s v=""/>
    <x v="583"/>
    <x v="22"/>
    <s v="SOROCABA"/>
    <s v="SOROCABA"/>
    <m/>
    <x v="22"/>
    <x v="22"/>
    <x v="18"/>
    <x v="22"/>
    <x v="22"/>
    <x v="22"/>
    <x v="21"/>
    <x v="22"/>
  </r>
  <r>
    <n v="568"/>
    <x v="584"/>
    <s v=""/>
    <s v=""/>
    <s v=""/>
    <s v=""/>
    <x v="584"/>
    <x v="20"/>
    <s v="SUD MENNUCCI"/>
    <s v="SUD MENNUCCI"/>
    <m/>
    <x v="20"/>
    <x v="20"/>
    <x v="16"/>
    <x v="20"/>
    <x v="20"/>
    <x v="20"/>
    <x v="19"/>
    <x v="20"/>
  </r>
  <r>
    <n v="569"/>
    <x v="585"/>
    <s v=""/>
    <s v=""/>
    <s v=""/>
    <s v=""/>
    <x v="585"/>
    <x v="15"/>
    <s v="SUMARÉ"/>
    <s v="SUMARÉ"/>
    <m/>
    <x v="15"/>
    <x v="15"/>
    <x v="11"/>
    <x v="15"/>
    <x v="15"/>
    <x v="15"/>
    <x v="14"/>
    <x v="15"/>
  </r>
  <r>
    <n v="570"/>
    <x v="586"/>
    <s v=""/>
    <s v=""/>
    <s v=""/>
    <s v=""/>
    <x v="586"/>
    <x v="20"/>
    <s v="SUZANÁPOLIS"/>
    <s v="SUZANÁPOLIS"/>
    <m/>
    <x v="20"/>
    <x v="20"/>
    <x v="16"/>
    <x v="20"/>
    <x v="20"/>
    <x v="20"/>
    <x v="19"/>
    <x v="20"/>
  </r>
  <r>
    <n v="571"/>
    <x v="587"/>
    <s v=""/>
    <s v=""/>
    <s v=""/>
    <s v=""/>
    <x v="587"/>
    <x v="32"/>
    <s v="SUZANO"/>
    <s v="SUZANO"/>
    <m/>
    <x v="32"/>
    <x v="32"/>
    <x v="27"/>
    <x v="32"/>
    <x v="32"/>
    <x v="32"/>
    <x v="4"/>
    <x v="32"/>
  </r>
  <r>
    <n v="572"/>
    <x v="588"/>
    <s v=""/>
    <s v=""/>
    <s v=""/>
    <s v=""/>
    <x v="588"/>
    <x v="1"/>
    <s v="TABAPUÃ"/>
    <s v="TABAPUÃ"/>
    <m/>
    <x v="1"/>
    <x v="1"/>
    <x v="1"/>
    <x v="1"/>
    <x v="1"/>
    <x v="1"/>
    <x v="1"/>
    <x v="1"/>
  </r>
  <r>
    <n v="573"/>
    <x v="589"/>
    <s v=""/>
    <s v=""/>
    <s v=""/>
    <s v=""/>
    <x v="589"/>
    <x v="16"/>
    <s v="TABATINGA"/>
    <s v="TABATINGA"/>
    <m/>
    <x v="16"/>
    <x v="16"/>
    <x v="12"/>
    <x v="16"/>
    <x v="16"/>
    <x v="16"/>
    <x v="15"/>
    <x v="16"/>
  </r>
  <r>
    <n v="574"/>
    <x v="590"/>
    <s v=""/>
    <s v=""/>
    <s v=""/>
    <s v=""/>
    <x v="590"/>
    <x v="39"/>
    <s v="TABOÃO DA SERRA"/>
    <s v="TABOÃO DA SERRA"/>
    <m/>
    <x v="39"/>
    <x v="39"/>
    <x v="34"/>
    <x v="38"/>
    <x v="39"/>
    <x v="39"/>
    <x v="36"/>
    <x v="39"/>
  </r>
  <r>
    <n v="575"/>
    <x v="591"/>
    <s v=""/>
    <s v=""/>
    <s v=""/>
    <s v=""/>
    <x v="591"/>
    <x v="8"/>
    <s v="TACIBA"/>
    <s v="TACIBA"/>
    <m/>
    <x v="8"/>
    <x v="8"/>
    <x v="5"/>
    <x v="8"/>
    <x v="8"/>
    <x v="8"/>
    <x v="4"/>
    <x v="8"/>
  </r>
  <r>
    <n v="576"/>
    <x v="592"/>
    <s v=""/>
    <s v=""/>
    <s v=""/>
    <s v=""/>
    <x v="592"/>
    <x v="4"/>
    <s v="TAGUAÍ"/>
    <s v="TAGUAÍ"/>
    <m/>
    <x v="4"/>
    <x v="4"/>
    <x v="3"/>
    <x v="4"/>
    <x v="4"/>
    <x v="4"/>
    <x v="4"/>
    <x v="4"/>
  </r>
  <r>
    <n v="577"/>
    <x v="593"/>
    <s v=""/>
    <s v=""/>
    <s v=""/>
    <s v=""/>
    <x v="593"/>
    <x v="29"/>
    <s v="TAIAÇU"/>
    <s v="TAIAÇU"/>
    <m/>
    <x v="29"/>
    <x v="29"/>
    <x v="24"/>
    <x v="29"/>
    <x v="29"/>
    <x v="29"/>
    <x v="28"/>
    <x v="29"/>
  </r>
  <r>
    <n v="578"/>
    <x v="594"/>
    <s v=""/>
    <s v=""/>
    <s v=""/>
    <s v=""/>
    <x v="594"/>
    <x v="29"/>
    <s v="TAIÚVA"/>
    <s v="TAIÚVA"/>
    <m/>
    <x v="29"/>
    <x v="29"/>
    <x v="24"/>
    <x v="29"/>
    <x v="29"/>
    <x v="29"/>
    <x v="28"/>
    <x v="29"/>
  </r>
  <r>
    <n v="579"/>
    <x v="595"/>
    <s v=""/>
    <s v=""/>
    <s v=""/>
    <s v=""/>
    <x v="595"/>
    <x v="2"/>
    <s v="TAMBAÚ"/>
    <s v="TAMBAÚ"/>
    <m/>
    <x v="2"/>
    <x v="2"/>
    <x v="0"/>
    <x v="2"/>
    <x v="2"/>
    <x v="2"/>
    <x v="2"/>
    <x v="2"/>
  </r>
  <r>
    <n v="580"/>
    <x v="596"/>
    <s v=""/>
    <s v=""/>
    <s v=""/>
    <s v=""/>
    <x v="596"/>
    <x v="13"/>
    <s v="TANABI"/>
    <s v="TANABI"/>
    <m/>
    <x v="13"/>
    <x v="13"/>
    <x v="9"/>
    <x v="13"/>
    <x v="13"/>
    <x v="13"/>
    <x v="12"/>
    <x v="13"/>
  </r>
  <r>
    <n v="581"/>
    <x v="597"/>
    <s v=""/>
    <s v=""/>
    <s v=""/>
    <s v=""/>
    <x v="597"/>
    <x v="22"/>
    <s v="TAPIRAÍ"/>
    <s v="TAPIRAÍ"/>
    <m/>
    <x v="22"/>
    <x v="22"/>
    <x v="18"/>
    <x v="22"/>
    <x v="22"/>
    <x v="22"/>
    <x v="21"/>
    <x v="22"/>
  </r>
  <r>
    <n v="582"/>
    <x v="598"/>
    <s v=""/>
    <s v=""/>
    <s v=""/>
    <s v=""/>
    <x v="598"/>
    <x v="2"/>
    <s v="TAPIRATIBA"/>
    <s v="TAPIRATIBA"/>
    <m/>
    <x v="2"/>
    <x v="2"/>
    <x v="0"/>
    <x v="2"/>
    <x v="2"/>
    <x v="2"/>
    <x v="2"/>
    <x v="2"/>
  </r>
  <r>
    <n v="583"/>
    <x v="599"/>
    <s v=""/>
    <s v=""/>
    <s v=""/>
    <s v=""/>
    <x v="599"/>
    <x v="29"/>
    <s v="TAQUARAL"/>
    <s v="TAQUARAL"/>
    <m/>
    <x v="29"/>
    <x v="29"/>
    <x v="24"/>
    <x v="29"/>
    <x v="29"/>
    <x v="29"/>
    <x v="28"/>
    <x v="29"/>
  </r>
  <r>
    <n v="584"/>
    <x v="600"/>
    <s v=""/>
    <s v=""/>
    <s v=""/>
    <s v=""/>
    <x v="600"/>
    <x v="29"/>
    <s v="TAQUARITINGA"/>
    <s v="TAQUARITINGA"/>
    <m/>
    <x v="29"/>
    <x v="29"/>
    <x v="24"/>
    <x v="29"/>
    <x v="29"/>
    <x v="29"/>
    <x v="28"/>
    <x v="29"/>
  </r>
  <r>
    <n v="585"/>
    <x v="601"/>
    <s v=""/>
    <s v=""/>
    <s v=""/>
    <s v=""/>
    <x v="601"/>
    <x v="4"/>
    <s v="TAQUARITUBA"/>
    <s v="TAQUARITUBA"/>
    <m/>
    <x v="4"/>
    <x v="4"/>
    <x v="3"/>
    <x v="4"/>
    <x v="4"/>
    <x v="4"/>
    <x v="4"/>
    <x v="4"/>
  </r>
  <r>
    <n v="586"/>
    <x v="602"/>
    <s v=""/>
    <s v=""/>
    <s v=""/>
    <s v=""/>
    <x v="602"/>
    <x v="21"/>
    <s v="TAQUARIVAÍ"/>
    <s v="TAQUARIVAÍ"/>
    <m/>
    <x v="21"/>
    <x v="21"/>
    <x v="17"/>
    <x v="21"/>
    <x v="21"/>
    <x v="21"/>
    <x v="20"/>
    <x v="21"/>
  </r>
  <r>
    <n v="587"/>
    <x v="603"/>
    <s v=""/>
    <s v=""/>
    <s v=""/>
    <s v=""/>
    <x v="603"/>
    <x v="8"/>
    <s v="TARABAI"/>
    <s v="TARABAI"/>
    <m/>
    <x v="8"/>
    <x v="8"/>
    <x v="5"/>
    <x v="8"/>
    <x v="8"/>
    <x v="8"/>
    <x v="4"/>
    <x v="8"/>
  </r>
  <r>
    <n v="588"/>
    <x v="604"/>
    <s v=""/>
    <s v=""/>
    <s v=""/>
    <s v=""/>
    <x v="604"/>
    <x v="26"/>
    <s v="TARUMÃ"/>
    <s v="TARUMÃ"/>
    <m/>
    <x v="26"/>
    <x v="26"/>
    <x v="22"/>
    <x v="26"/>
    <x v="26"/>
    <x v="26"/>
    <x v="25"/>
    <x v="26"/>
  </r>
  <r>
    <n v="589"/>
    <x v="605"/>
    <s v=""/>
    <s v=""/>
    <s v=""/>
    <s v=""/>
    <x v="605"/>
    <x v="22"/>
    <s v="TATUÍ"/>
    <s v="TATUÍ"/>
    <m/>
    <x v="22"/>
    <x v="22"/>
    <x v="18"/>
    <x v="22"/>
    <x v="22"/>
    <x v="22"/>
    <x v="21"/>
    <x v="22"/>
  </r>
  <r>
    <n v="590"/>
    <x v="606"/>
    <s v=""/>
    <s v=""/>
    <s v=""/>
    <s v=""/>
    <x v="606"/>
    <x v="19"/>
    <s v="TAUBATÉ"/>
    <s v="TAUBATÉ"/>
    <m/>
    <x v="19"/>
    <x v="19"/>
    <x v="15"/>
    <x v="19"/>
    <x v="19"/>
    <x v="19"/>
    <x v="18"/>
    <x v="19"/>
  </r>
  <r>
    <n v="591"/>
    <x v="607"/>
    <s v=""/>
    <s v=""/>
    <s v=""/>
    <s v=""/>
    <x v="607"/>
    <x v="4"/>
    <s v="TEJUPÁ"/>
    <s v="TEJUPÁ"/>
    <m/>
    <x v="4"/>
    <x v="4"/>
    <x v="3"/>
    <x v="4"/>
    <x v="4"/>
    <x v="4"/>
    <x v="4"/>
    <x v="4"/>
  </r>
  <r>
    <n v="592"/>
    <x v="608"/>
    <s v=""/>
    <s v=""/>
    <s v=""/>
    <s v=""/>
    <x v="608"/>
    <x v="8"/>
    <s v="TEODORO SAMPAIO"/>
    <s v="TEODORO SAMPAIO"/>
    <m/>
    <x v="8"/>
    <x v="8"/>
    <x v="5"/>
    <x v="8"/>
    <x v="8"/>
    <x v="8"/>
    <x v="4"/>
    <x v="8"/>
  </r>
  <r>
    <n v="593"/>
    <x v="609"/>
    <s v=""/>
    <s v=""/>
    <s v=""/>
    <s v=""/>
    <x v="609"/>
    <x v="9"/>
    <s v="TERRA ROXA"/>
    <s v="TERRA ROXA"/>
    <m/>
    <x v="9"/>
    <x v="9"/>
    <x v="6"/>
    <x v="9"/>
    <x v="9"/>
    <x v="9"/>
    <x v="8"/>
    <x v="9"/>
  </r>
  <r>
    <n v="594"/>
    <x v="610"/>
    <s v=""/>
    <s v=""/>
    <s v=""/>
    <s v=""/>
    <x v="610"/>
    <x v="12"/>
    <s v="TIETÊ"/>
    <s v="TIETÊ"/>
    <m/>
    <x v="12"/>
    <x v="12"/>
    <x v="0"/>
    <x v="12"/>
    <x v="12"/>
    <x v="12"/>
    <x v="11"/>
    <x v="12"/>
  </r>
  <r>
    <n v="595"/>
    <x v="611"/>
    <s v=""/>
    <s v=""/>
    <s v=""/>
    <s v=""/>
    <x v="611"/>
    <x v="26"/>
    <s v="TIMBURI"/>
    <s v="TIMBURI"/>
    <m/>
    <x v="26"/>
    <x v="26"/>
    <x v="22"/>
    <x v="26"/>
    <x v="26"/>
    <x v="26"/>
    <x v="25"/>
    <x v="26"/>
  </r>
  <r>
    <n v="596"/>
    <x v="612"/>
    <s v=""/>
    <s v=""/>
    <s v=""/>
    <s v=""/>
    <x v="612"/>
    <x v="18"/>
    <s v="TORRE DE PEDRA"/>
    <s v="TORRE DE PEDRA"/>
    <m/>
    <x v="18"/>
    <x v="18"/>
    <x v="14"/>
    <x v="18"/>
    <x v="18"/>
    <x v="18"/>
    <x v="17"/>
    <x v="18"/>
  </r>
  <r>
    <n v="597"/>
    <x v="613"/>
    <s v=""/>
    <s v=""/>
    <s v=""/>
    <s v=""/>
    <x v="613"/>
    <x v="33"/>
    <s v="TORRINHA"/>
    <s v="TORRINHA"/>
    <m/>
    <x v="33"/>
    <x v="33"/>
    <x v="28"/>
    <x v="33"/>
    <x v="33"/>
    <x v="33"/>
    <x v="31"/>
    <x v="33"/>
  </r>
  <r>
    <n v="598"/>
    <x v="614"/>
    <s v=""/>
    <s v=""/>
    <s v=""/>
    <s v=""/>
    <x v="614"/>
    <x v="16"/>
    <s v="TRABIJU"/>
    <s v="TRABIJU"/>
    <m/>
    <x v="16"/>
    <x v="16"/>
    <x v="12"/>
    <x v="16"/>
    <x v="16"/>
    <x v="16"/>
    <x v="15"/>
    <x v="16"/>
  </r>
  <r>
    <n v="599"/>
    <x v="615"/>
    <s v=""/>
    <s v=""/>
    <s v=""/>
    <s v=""/>
    <x v="615"/>
    <x v="19"/>
    <s v="TREMEMBÉ"/>
    <s v="TREMEMBÉ"/>
    <m/>
    <x v="19"/>
    <x v="19"/>
    <x v="15"/>
    <x v="19"/>
    <x v="19"/>
    <x v="19"/>
    <x v="18"/>
    <x v="19"/>
  </r>
  <r>
    <n v="600"/>
    <x v="616"/>
    <s v=""/>
    <s v=""/>
    <s v=""/>
    <s v=""/>
    <x v="616"/>
    <x v="20"/>
    <s v="TRÊS FRONTEIRAS"/>
    <s v="TRÊS FRONTEIRAS"/>
    <m/>
    <x v="20"/>
    <x v="20"/>
    <x v="16"/>
    <x v="20"/>
    <x v="20"/>
    <x v="20"/>
    <x v="19"/>
    <x v="20"/>
  </r>
  <r>
    <n v="601"/>
    <x v="617"/>
    <s v=""/>
    <s v=""/>
    <s v=""/>
    <s v=""/>
    <x v="617"/>
    <x v="27"/>
    <s v="TUIUTI"/>
    <s v="TUIUTI"/>
    <m/>
    <x v="27"/>
    <x v="27"/>
    <x v="0"/>
    <x v="27"/>
    <x v="27"/>
    <x v="27"/>
    <x v="26"/>
    <x v="27"/>
  </r>
  <r>
    <n v="602"/>
    <x v="618"/>
    <s v=""/>
    <s v=""/>
    <s v=""/>
    <s v=""/>
    <x v="618"/>
    <x v="14"/>
    <s v="TUPÃ"/>
    <s v="TUPÃ"/>
    <m/>
    <x v="14"/>
    <x v="14"/>
    <x v="10"/>
    <x v="14"/>
    <x v="14"/>
    <x v="14"/>
    <x v="13"/>
    <x v="14"/>
  </r>
  <r>
    <n v="603"/>
    <x v="619"/>
    <s v=""/>
    <s v=""/>
    <s v=""/>
    <s v=""/>
    <x v="619"/>
    <x v="0"/>
    <s v="TUPI PAULISTA"/>
    <s v="TUPI PAULISTA"/>
    <m/>
    <x v="0"/>
    <x v="0"/>
    <x v="0"/>
    <x v="0"/>
    <x v="0"/>
    <x v="0"/>
    <x v="0"/>
    <x v="0"/>
  </r>
  <r>
    <n v="604"/>
    <x v="620"/>
    <s v=""/>
    <s v=""/>
    <s v=""/>
    <s v=""/>
    <x v="620"/>
    <x v="11"/>
    <s v="TURIÚBA"/>
    <s v="TURIÚBA"/>
    <m/>
    <x v="11"/>
    <x v="11"/>
    <x v="8"/>
    <x v="11"/>
    <x v="11"/>
    <x v="11"/>
    <x v="10"/>
    <x v="11"/>
  </r>
  <r>
    <n v="605"/>
    <x v="621"/>
    <s v=""/>
    <s v=""/>
    <s v=""/>
    <s v=""/>
    <x v="621"/>
    <x v="20"/>
    <s v="TURMALINA"/>
    <s v="TURMALINA"/>
    <m/>
    <x v="20"/>
    <x v="20"/>
    <x v="16"/>
    <x v="20"/>
    <x v="20"/>
    <x v="20"/>
    <x v="19"/>
    <x v="20"/>
  </r>
  <r>
    <n v="606"/>
    <x v="622"/>
    <s v=""/>
    <s v=""/>
    <s v=""/>
    <s v=""/>
    <x v="622"/>
    <x v="1"/>
    <s v="UBARANA"/>
    <s v="UBARANA"/>
    <m/>
    <x v="1"/>
    <x v="1"/>
    <x v="1"/>
    <x v="1"/>
    <x v="1"/>
    <x v="1"/>
    <x v="1"/>
    <x v="1"/>
  </r>
  <r>
    <n v="607"/>
    <x v="623"/>
    <s v=""/>
    <s v=""/>
    <s v=""/>
    <s v=""/>
    <x v="623"/>
    <x v="38"/>
    <s v="UBATUBA"/>
    <s v="UBATUBA"/>
    <m/>
    <x v="38"/>
    <x v="38"/>
    <x v="33"/>
    <x v="37"/>
    <x v="38"/>
    <x v="38"/>
    <x v="35"/>
    <x v="38"/>
  </r>
  <r>
    <n v="608"/>
    <x v="624"/>
    <s v=""/>
    <s v=""/>
    <s v=""/>
    <s v=""/>
    <x v="624"/>
    <x v="6"/>
    <s v="UBIRAJARA"/>
    <s v="UBIRAJARA"/>
    <m/>
    <x v="6"/>
    <x v="6"/>
    <x v="4"/>
    <x v="6"/>
    <x v="6"/>
    <x v="6"/>
    <x v="6"/>
    <x v="6"/>
  </r>
  <r>
    <n v="609"/>
    <x v="625"/>
    <s v=""/>
    <s v=""/>
    <s v=""/>
    <s v=""/>
    <x v="625"/>
    <x v="1"/>
    <s v="UCHOA"/>
    <s v="UCHOA"/>
    <m/>
    <x v="1"/>
    <x v="1"/>
    <x v="1"/>
    <x v="1"/>
    <x v="1"/>
    <x v="1"/>
    <x v="1"/>
    <x v="1"/>
  </r>
  <r>
    <n v="610"/>
    <x v="626"/>
    <s v=""/>
    <s v=""/>
    <s v=""/>
    <s v=""/>
    <x v="626"/>
    <x v="1"/>
    <s v="UNIÃO PAULISTA"/>
    <s v="UNIÃO PAULISTA"/>
    <m/>
    <x v="1"/>
    <x v="1"/>
    <x v="1"/>
    <x v="1"/>
    <x v="1"/>
    <x v="1"/>
    <x v="1"/>
    <x v="1"/>
  </r>
  <r>
    <n v="611"/>
    <x v="627"/>
    <s v=""/>
    <s v=""/>
    <s v=""/>
    <s v=""/>
    <x v="627"/>
    <x v="20"/>
    <s v="URÂNIA"/>
    <s v="URÂNIA"/>
    <m/>
    <x v="20"/>
    <x v="20"/>
    <x v="16"/>
    <x v="20"/>
    <x v="20"/>
    <x v="20"/>
    <x v="19"/>
    <x v="20"/>
  </r>
  <r>
    <n v="612"/>
    <x v="628"/>
    <s v=""/>
    <s v=""/>
    <s v=""/>
    <s v=""/>
    <x v="628"/>
    <x v="14"/>
    <s v="URU"/>
    <s v="URU"/>
    <m/>
    <x v="14"/>
    <x v="14"/>
    <x v="10"/>
    <x v="14"/>
    <x v="14"/>
    <x v="14"/>
    <x v="13"/>
    <x v="14"/>
  </r>
  <r>
    <n v="613"/>
    <x v="629"/>
    <s v=""/>
    <s v=""/>
    <s v=""/>
    <s v=""/>
    <x v="629"/>
    <x v="1"/>
    <s v="URUPÊS"/>
    <s v="URUPÊS"/>
    <m/>
    <x v="1"/>
    <x v="1"/>
    <x v="1"/>
    <x v="1"/>
    <x v="1"/>
    <x v="1"/>
    <x v="1"/>
    <x v="1"/>
  </r>
  <r>
    <n v="614"/>
    <x v="630"/>
    <s v=""/>
    <s v=""/>
    <s v=""/>
    <s v=""/>
    <x v="630"/>
    <x v="13"/>
    <s v="VALENTIM GENTIL"/>
    <s v="VALENTIM GENTIL"/>
    <m/>
    <x v="13"/>
    <x v="13"/>
    <x v="9"/>
    <x v="13"/>
    <x v="13"/>
    <x v="13"/>
    <x v="12"/>
    <x v="13"/>
  </r>
  <r>
    <n v="615"/>
    <x v="631"/>
    <s v=""/>
    <s v=""/>
    <s v=""/>
    <s v=""/>
    <x v="631"/>
    <x v="37"/>
    <s v="VALINHOS"/>
    <s v="VALINHOS"/>
    <m/>
    <x v="37"/>
    <x v="37"/>
    <x v="32"/>
    <x v="36"/>
    <x v="37"/>
    <x v="37"/>
    <x v="34"/>
    <x v="37"/>
  </r>
  <r>
    <n v="616"/>
    <x v="632"/>
    <s v=""/>
    <s v=""/>
    <s v=""/>
    <s v=""/>
    <x v="632"/>
    <x v="11"/>
    <s v="VALPARAÍSO"/>
    <s v="VALPARAÍSO"/>
    <m/>
    <x v="11"/>
    <x v="11"/>
    <x v="8"/>
    <x v="11"/>
    <x v="11"/>
    <x v="11"/>
    <x v="10"/>
    <x v="11"/>
  </r>
  <r>
    <n v="640"/>
    <x v="633"/>
    <s v=""/>
    <s v=""/>
    <s v=""/>
    <s v=""/>
    <x v="633"/>
    <x v="27"/>
    <s v="VARGEM"/>
    <s v="VARGEM"/>
    <m/>
    <x v="27"/>
    <x v="27"/>
    <x v="0"/>
    <x v="27"/>
    <x v="27"/>
    <x v="27"/>
    <x v="26"/>
    <x v="27"/>
  </r>
  <r>
    <n v="617"/>
    <x v="634"/>
    <s v=""/>
    <s v=""/>
    <s v=""/>
    <s v=""/>
    <x v="634"/>
    <x v="2"/>
    <s v="VARGEM GRANDE DO SUL"/>
    <s v="VARGEM GRANDE DO SUL"/>
    <m/>
    <x v="2"/>
    <x v="2"/>
    <x v="0"/>
    <x v="2"/>
    <x v="2"/>
    <x v="2"/>
    <x v="2"/>
    <x v="2"/>
  </r>
  <r>
    <n v="618"/>
    <x v="635"/>
    <s v=""/>
    <s v=""/>
    <s v=""/>
    <s v=""/>
    <x v="635"/>
    <x v="39"/>
    <s v="VARGEM GRANDE PAULISTA"/>
    <s v="VARGEM GRANDE PAULISTA"/>
    <m/>
    <x v="39"/>
    <x v="39"/>
    <x v="34"/>
    <x v="38"/>
    <x v="39"/>
    <x v="39"/>
    <x v="36"/>
    <x v="39"/>
  </r>
  <r>
    <n v="619"/>
    <x v="636"/>
    <s v=""/>
    <s v=""/>
    <s v=""/>
    <s v=""/>
    <x v="636"/>
    <x v="34"/>
    <s v="VÁRZEA PAULISTA"/>
    <s v="VÁRZEA PAULISTA"/>
    <m/>
    <x v="34"/>
    <x v="34"/>
    <x v="29"/>
    <x v="34"/>
    <x v="34"/>
    <x v="34"/>
    <x v="32"/>
    <x v="34"/>
  </r>
  <r>
    <n v="620"/>
    <x v="637"/>
    <s v=""/>
    <s v=""/>
    <s v=""/>
    <s v=""/>
    <x v="637"/>
    <x v="14"/>
    <s v="VERA CRUZ"/>
    <s v="VERA CRUZ"/>
    <m/>
    <x v="14"/>
    <x v="14"/>
    <x v="10"/>
    <x v="14"/>
    <x v="14"/>
    <x v="14"/>
    <x v="13"/>
    <x v="14"/>
  </r>
  <r>
    <n v="621"/>
    <x v="638"/>
    <s v=""/>
    <s v=""/>
    <s v=""/>
    <s v=""/>
    <x v="638"/>
    <x v="37"/>
    <s v="VINHEDO"/>
    <s v="VINHEDO"/>
    <m/>
    <x v="37"/>
    <x v="37"/>
    <x v="32"/>
    <x v="36"/>
    <x v="37"/>
    <x v="37"/>
    <x v="34"/>
    <x v="37"/>
  </r>
  <r>
    <n v="622"/>
    <x v="639"/>
    <s v=""/>
    <s v=""/>
    <s v=""/>
    <s v=""/>
    <x v="639"/>
    <x v="9"/>
    <s v="VIRADOURO"/>
    <s v="VIRADOURO"/>
    <m/>
    <x v="9"/>
    <x v="9"/>
    <x v="6"/>
    <x v="9"/>
    <x v="9"/>
    <x v="9"/>
    <x v="8"/>
    <x v="9"/>
  </r>
  <r>
    <n v="623"/>
    <x v="640"/>
    <s v=""/>
    <s v=""/>
    <s v=""/>
    <s v=""/>
    <x v="640"/>
    <x v="29"/>
    <s v="VISTA ALEGRE DO ALTO"/>
    <s v="VISTA ALEGRE DO ALTO"/>
    <m/>
    <x v="29"/>
    <x v="29"/>
    <x v="24"/>
    <x v="29"/>
    <x v="29"/>
    <x v="29"/>
    <x v="28"/>
    <x v="29"/>
  </r>
  <r>
    <n v="624"/>
    <x v="641"/>
    <s v=""/>
    <s v=""/>
    <s v=""/>
    <s v=""/>
    <x v="641"/>
    <x v="20"/>
    <s v="VITÓRIA BRASIL"/>
    <s v="VITÓRIA BRASIL"/>
    <m/>
    <x v="20"/>
    <x v="20"/>
    <x v="16"/>
    <x v="20"/>
    <x v="20"/>
    <x v="20"/>
    <x v="19"/>
    <x v="20"/>
  </r>
  <r>
    <n v="625"/>
    <x v="642"/>
    <s v=""/>
    <s v=""/>
    <s v=""/>
    <s v=""/>
    <x v="642"/>
    <x v="22"/>
    <s v="VOTORANTIM"/>
    <s v="VOTORANTIM"/>
    <m/>
    <x v="22"/>
    <x v="22"/>
    <x v="18"/>
    <x v="22"/>
    <x v="22"/>
    <x v="22"/>
    <x v="21"/>
    <x v="22"/>
  </r>
  <r>
    <n v="626"/>
    <x v="643"/>
    <s v=""/>
    <s v=""/>
    <s v=""/>
    <s v=""/>
    <x v="643"/>
    <x v="13"/>
    <s v="VOTUPORANGA"/>
    <s v="VOTUPORANGA"/>
    <m/>
    <x v="13"/>
    <x v="13"/>
    <x v="9"/>
    <x v="13"/>
    <x v="13"/>
    <x v="13"/>
    <x v="12"/>
    <x v="13"/>
  </r>
  <r>
    <n v="627"/>
    <x v="644"/>
    <s v=""/>
    <s v=""/>
    <s v=""/>
    <s v=""/>
    <x v="644"/>
    <x v="11"/>
    <s v="ZACARIAS"/>
    <s v="ZACARIAS"/>
    <m/>
    <x v="11"/>
    <x v="11"/>
    <x v="8"/>
    <x v="11"/>
    <x v="11"/>
    <x v="11"/>
    <x v="10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13" applyNumberFormats="0" applyBorderFormats="0" applyFontFormats="0" applyPatternFormats="0" applyAlignmentFormats="0" applyWidthHeightFormats="1" dataCaption="Valores" updatedVersion="4" minRefreshableVersion="3" useAutoFormatting="1" rowGrandTotals="0" colGrandTotals="0" itemPrintTitles="1" createdVersion="4" indent="0" compact="0" compactData="0" multipleFieldFilters="0">
  <location ref="A3:H3" firstHeaderRow="1" firstDataRow="1" firstDataCol="8"/>
  <pivotFields count="1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88">
        <item h="1" x="43"/>
        <item h="1" x="15"/>
        <item m="1" x="75"/>
        <item h="1" x="11"/>
        <item m="1" x="53"/>
        <item h="1" x="16"/>
        <item m="1" x="80"/>
        <item h="1" x="26"/>
        <item m="1" x="49"/>
        <item h="1" x="27"/>
        <item m="1" x="51"/>
        <item h="1" x="4"/>
        <item m="1" x="60"/>
        <item h="1" x="9"/>
        <item m="1" x="52"/>
        <item h="1" x="6"/>
        <item m="1" x="58"/>
        <item h="1" x="18"/>
        <item m="1" x="81"/>
        <item h="1" x="37"/>
        <item m="1" x="67"/>
        <item h="1" x="21"/>
        <item m="1" x="47"/>
        <item h="1" x="31"/>
        <item m="1" x="84"/>
        <item h="1" x="0"/>
        <item m="1" x="59"/>
        <item h="1" x="39"/>
        <item m="1" x="65"/>
        <item h="1" x="23"/>
        <item m="1" x="55"/>
        <item h="1" x="25"/>
        <item m="1" x="69"/>
        <item h="1" x="7"/>
        <item m="1" x="86"/>
        <item h="1" x="12"/>
        <item m="1" x="82"/>
        <item h="1" x="29"/>
        <item m="1" x="50"/>
        <item h="1" x="20"/>
        <item m="1" x="79"/>
        <item h="1" x="34"/>
        <item m="1" x="83"/>
        <item h="1" x="24"/>
        <item m="1" x="64"/>
        <item h="1" x="14"/>
        <item m="1" x="73"/>
        <item h="1" x="32"/>
        <item m="1" x="57"/>
        <item h="1" x="3"/>
        <item m="1" x="70"/>
        <item h="1" x="30"/>
        <item m="1" x="77"/>
        <item h="1" x="17"/>
        <item m="1" x="78"/>
        <item h="1" x="5"/>
        <item m="1" x="54"/>
        <item h="1" x="8"/>
        <item m="1" x="48"/>
        <item h="1" x="28"/>
        <item m="1" x="72"/>
        <item h="1" x="10"/>
        <item m="1" x="61"/>
        <item h="1" x="36"/>
        <item m="1" x="74"/>
        <item h="1" x="41"/>
        <item m="1" x="56"/>
        <item h="1" x="33"/>
        <item m="1" x="76"/>
        <item h="1" x="2"/>
        <item m="1" x="62"/>
        <item h="1" x="1"/>
        <item m="1" x="46"/>
        <item h="1" x="35"/>
        <item m="1" x="63"/>
        <item h="1" x="38"/>
        <item m="1" x="85"/>
        <item h="1" x="22"/>
        <item m="1" x="87"/>
        <item h="1" x="19"/>
        <item m="1" x="45"/>
        <item h="1" x="13"/>
        <item m="1" x="68"/>
        <item h="1" x="42"/>
        <item m="1" x="66"/>
        <item h="1" x="40"/>
        <item m="1" x="71"/>
        <item h="1" m="1" x="4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3">
        <item x="4"/>
        <item x="32"/>
        <item x="22"/>
        <item x="29"/>
        <item x="16"/>
        <item x="13"/>
        <item x="23"/>
        <item x="19"/>
        <item x="1"/>
        <item x="27"/>
        <item x="35"/>
        <item x="10"/>
        <item x="6"/>
        <item x="24"/>
        <item x="33"/>
        <item x="25"/>
        <item x="30"/>
        <item x="17"/>
        <item x="9"/>
        <item x="41"/>
        <item x="21"/>
        <item x="5"/>
        <item x="40"/>
        <item x="15"/>
        <item x="38"/>
        <item x="7"/>
        <item x="3"/>
        <item x="34"/>
        <item x="8"/>
        <item x="18"/>
        <item x="39"/>
        <item x="2"/>
        <item x="20"/>
        <item x="31"/>
        <item x="14"/>
        <item x="12"/>
        <item x="28"/>
        <item x="37"/>
        <item x="11"/>
        <item x="0"/>
        <item x="26"/>
        <item x="42"/>
        <item x="3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8">
        <item x="6"/>
        <item x="8"/>
        <item x="35"/>
        <item x="25"/>
        <item x="12"/>
        <item x="0"/>
        <item x="28"/>
        <item x="36"/>
        <item x="21"/>
        <item x="5"/>
        <item x="16"/>
        <item x="24"/>
        <item x="10"/>
        <item x="26"/>
        <item x="18"/>
        <item x="29"/>
        <item x="13"/>
        <item x="34"/>
        <item x="1"/>
        <item x="23"/>
        <item x="2"/>
        <item x="33"/>
        <item x="20"/>
        <item x="30"/>
        <item x="19"/>
        <item x="22"/>
        <item x="7"/>
        <item x="27"/>
        <item x="15"/>
        <item x="17"/>
        <item x="4"/>
        <item x="32"/>
        <item x="11"/>
        <item x="3"/>
        <item x="14"/>
        <item x="9"/>
        <item x="37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2">
        <item x="15"/>
        <item x="11"/>
        <item x="16"/>
        <item x="26"/>
        <item x="27"/>
        <item x="4"/>
        <item x="9"/>
        <item x="6"/>
        <item x="18"/>
        <item x="36"/>
        <item x="21"/>
        <item x="31"/>
        <item x="0"/>
        <item x="38"/>
        <item x="23"/>
        <item x="25"/>
        <item x="7"/>
        <item x="12"/>
        <item x="29"/>
        <item x="20"/>
        <item x="34"/>
        <item x="24"/>
        <item x="14"/>
        <item x="32"/>
        <item x="3"/>
        <item x="17"/>
        <item x="5"/>
        <item x="8"/>
        <item x="28"/>
        <item x="10"/>
        <item x="40"/>
        <item x="39"/>
        <item x="33"/>
        <item x="2"/>
        <item x="1"/>
        <item x="35"/>
        <item x="30"/>
        <item x="37"/>
        <item x="22"/>
        <item x="19"/>
        <item x="13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3">
        <item x="41"/>
        <item x="31"/>
        <item x="38"/>
        <item x="28"/>
        <item x="19"/>
        <item x="35"/>
        <item x="27"/>
        <item x="37"/>
        <item x="17"/>
        <item x="34"/>
        <item x="12"/>
        <item x="5"/>
        <item x="15"/>
        <item x="24"/>
        <item x="33"/>
        <item x="3"/>
        <item x="2"/>
        <item x="10"/>
        <item x="23"/>
        <item x="9"/>
        <item x="16"/>
        <item x="29"/>
        <item x="1"/>
        <item x="13"/>
        <item x="20"/>
        <item x="11"/>
        <item x="6"/>
        <item x="14"/>
        <item x="0"/>
        <item x="22"/>
        <item x="7"/>
        <item x="21"/>
        <item x="18"/>
        <item x="4"/>
        <item x="8"/>
        <item x="26"/>
        <item x="30"/>
        <item x="39"/>
        <item x="25"/>
        <item x="32"/>
        <item x="40"/>
        <item x="42"/>
        <item x="3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3">
        <item x="25"/>
        <item x="30"/>
        <item x="12"/>
        <item x="40"/>
        <item x="27"/>
        <item x="39"/>
        <item x="32"/>
        <item x="34"/>
        <item x="19"/>
        <item x="38"/>
        <item x="35"/>
        <item x="41"/>
        <item x="31"/>
        <item x="28"/>
        <item x="6"/>
        <item x="14"/>
        <item x="4"/>
        <item x="18"/>
        <item x="22"/>
        <item x="7"/>
        <item x="21"/>
        <item x="29"/>
        <item x="16"/>
        <item x="33"/>
        <item x="10"/>
        <item x="23"/>
        <item x="1"/>
        <item x="9"/>
        <item x="13"/>
        <item x="20"/>
        <item x="8"/>
        <item x="26"/>
        <item x="11"/>
        <item x="0"/>
        <item x="5"/>
        <item x="24"/>
        <item x="15"/>
        <item x="2"/>
        <item x="37"/>
        <item x="3"/>
        <item x="17"/>
        <item x="42"/>
        <item x="3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x="4"/>
        <item x="24"/>
        <item x="29"/>
        <item x="11"/>
        <item x="37"/>
        <item x="26"/>
        <item x="32"/>
        <item x="36"/>
        <item x="18"/>
        <item x="35"/>
        <item x="33"/>
        <item x="38"/>
        <item x="30"/>
        <item x="27"/>
        <item x="6"/>
        <item x="13"/>
        <item x="17"/>
        <item x="21"/>
        <item x="7"/>
        <item x="20"/>
        <item x="28"/>
        <item x="15"/>
        <item x="31"/>
        <item x="9"/>
        <item x="22"/>
        <item x="1"/>
        <item x="8"/>
        <item x="12"/>
        <item x="19"/>
        <item x="25"/>
        <item x="10"/>
        <item x="0"/>
        <item x="5"/>
        <item x="23"/>
        <item x="14"/>
        <item x="2"/>
        <item x="34"/>
        <item x="3"/>
        <item x="16"/>
        <item x="3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42"/>
        <item x="40"/>
        <item x="15"/>
        <item x="11"/>
        <item x="16"/>
        <item x="26"/>
        <item x="27"/>
        <item x="4"/>
        <item x="9"/>
        <item x="6"/>
        <item x="18"/>
        <item x="37"/>
        <item x="21"/>
        <item x="31"/>
        <item x="0"/>
        <item x="39"/>
        <item x="23"/>
        <item x="25"/>
        <item x="7"/>
        <item x="12"/>
        <item x="29"/>
        <item x="20"/>
        <item x="34"/>
        <item x="24"/>
        <item x="14"/>
        <item x="32"/>
        <item x="3"/>
        <item x="30"/>
        <item x="17"/>
        <item x="5"/>
        <item x="8"/>
        <item x="28"/>
        <item x="10"/>
        <item x="1"/>
        <item x="41"/>
        <item x="33"/>
        <item x="2"/>
        <item x="35"/>
        <item x="22"/>
        <item x="38"/>
        <item x="19"/>
        <item x="13"/>
        <item x="43"/>
        <item x="36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8">
    <field x="11"/>
    <field x="12"/>
    <field x="13"/>
    <field x="15"/>
    <field x="14"/>
    <field x="16"/>
    <field x="17"/>
    <field x="18"/>
  </rowField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Tabela dinâmica1" cacheId="13" applyNumberFormats="0" applyBorderFormats="0" applyFontFormats="0" applyPatternFormats="0" applyAlignmentFormats="0" applyWidthHeightFormats="1" dataCaption="Valores" updatedVersion="4" minRefreshableVersion="3" useAutoFormatting="1" rowGrandTotals="0" colGrandTotals="0" itemPrintTitles="1" createdVersion="4" indent="0" compact="0" compactData="0" multipleFieldFilters="0">
  <location ref="A3:C648" firstHeaderRow="1" firstDataRow="1" firstDataCol="3"/>
  <pivotFields count="1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4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6"/>
        <item x="175"/>
        <item x="177"/>
        <item x="178"/>
        <item x="180"/>
        <item x="179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6"/>
        <item x="234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9"/>
        <item x="338"/>
        <item x="340"/>
        <item x="341"/>
        <item x="342"/>
        <item x="343"/>
        <item x="344"/>
        <item x="346"/>
        <item x="345"/>
        <item x="347"/>
        <item x="348"/>
        <item x="349"/>
        <item x="350"/>
        <item x="351"/>
        <item x="352"/>
        <item x="353"/>
        <item x="354"/>
        <item x="355"/>
        <item x="357"/>
        <item x="356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9"/>
        <item x="377"/>
        <item x="378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4"/>
        <item x="393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7"/>
        <item x="490"/>
        <item x="491"/>
        <item x="492"/>
        <item x="493"/>
        <item x="494"/>
        <item x="495"/>
        <item x="496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33"/>
        <item x="534"/>
        <item x="530"/>
        <item x="529"/>
        <item x="531"/>
        <item x="532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7"/>
        <item x="576"/>
        <item x="578"/>
        <item x="579"/>
        <item x="580"/>
        <item x="581"/>
        <item x="582"/>
        <item x="583"/>
        <item x="584"/>
        <item x="585"/>
        <item x="587"/>
        <item x="586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133"/>
        <item x="17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64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6">
        <item m="1" x="44"/>
        <item x="0"/>
        <item x="2"/>
        <item x="33"/>
        <item x="3"/>
        <item x="4"/>
        <item x="5"/>
        <item x="6"/>
        <item x="7"/>
        <item x="8"/>
        <item x="9"/>
        <item x="10"/>
        <item x="11"/>
        <item x="12"/>
        <item x="19"/>
        <item x="14"/>
        <item x="15"/>
        <item x="16"/>
        <item x="17"/>
        <item x="18"/>
        <item x="22"/>
        <item x="20"/>
        <item x="21"/>
        <item x="38"/>
        <item x="23"/>
        <item x="24"/>
        <item x="25"/>
        <item x="26"/>
        <item x="27"/>
        <item x="28"/>
        <item x="29"/>
        <item x="30"/>
        <item x="31"/>
        <item x="32"/>
        <item x="41"/>
        <item x="34"/>
        <item x="1"/>
        <item x="37"/>
        <item x="35"/>
        <item x="39"/>
        <item x="42"/>
        <item x="36"/>
        <item x="13"/>
        <item x="43"/>
        <item x="40"/>
        <item m="1" x="4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1"/>
    <field x="6"/>
    <field x="7"/>
  </rowFields>
  <rowItems count="645">
    <i>
      <x/>
      <x/>
      <x v="1"/>
    </i>
    <i>
      <x v="1"/>
      <x v="1"/>
      <x v="36"/>
    </i>
    <i>
      <x v="2"/>
      <x v="2"/>
      <x v="2"/>
    </i>
    <i>
      <x v="3"/>
      <x v="3"/>
      <x v="2"/>
    </i>
    <i>
      <x v="4"/>
      <x v="4"/>
      <x v="4"/>
    </i>
    <i>
      <x v="5"/>
      <x v="5"/>
      <x v="5"/>
    </i>
    <i>
      <x v="6"/>
      <x v="6"/>
      <x v="6"/>
    </i>
    <i>
      <x v="7"/>
      <x v="7"/>
      <x v="7"/>
    </i>
    <i>
      <x v="8"/>
      <x v="8"/>
      <x v="8"/>
    </i>
    <i>
      <x v="9"/>
      <x v="9"/>
      <x v="9"/>
    </i>
    <i>
      <x v="10"/>
      <x v="10"/>
      <x v="10"/>
    </i>
    <i>
      <x v="11"/>
      <x v="11"/>
      <x v="11"/>
    </i>
    <i>
      <x v="12"/>
      <x v="12"/>
      <x v="12"/>
    </i>
    <i>
      <x v="13"/>
      <x v="13"/>
      <x v="13"/>
    </i>
    <i>
      <x v="14"/>
      <x v="14"/>
      <x v="42"/>
    </i>
    <i>
      <x v="15"/>
      <x v="15"/>
      <x v="9"/>
    </i>
    <i>
      <x v="16"/>
      <x v="16"/>
      <x v="15"/>
    </i>
    <i>
      <x v="17"/>
      <x v="17"/>
      <x v="15"/>
    </i>
    <i>
      <x v="18"/>
      <x v="18"/>
      <x v="16"/>
    </i>
    <i>
      <x v="19"/>
      <x v="19"/>
      <x v="17"/>
    </i>
    <i>
      <x v="20"/>
      <x v="20"/>
      <x v="42"/>
    </i>
    <i>
      <x v="21"/>
      <x v="21"/>
      <x v="18"/>
    </i>
    <i>
      <x v="22"/>
      <x v="22"/>
      <x v="6"/>
    </i>
    <i>
      <x v="23"/>
      <x v="23"/>
      <x v="1"/>
    </i>
    <i>
      <x v="24"/>
      <x v="24"/>
      <x v="8"/>
    </i>
    <i>
      <x v="25"/>
      <x v="25"/>
      <x v="19"/>
    </i>
    <i>
      <x v="26"/>
      <x v="26"/>
      <x v="9"/>
    </i>
    <i>
      <x v="27"/>
      <x v="27"/>
      <x v="14"/>
    </i>
    <i>
      <x v="28"/>
      <x v="28"/>
      <x v="21"/>
    </i>
    <i>
      <x v="29"/>
      <x v="29"/>
      <x v="22"/>
    </i>
    <i>
      <x v="30"/>
      <x v="30"/>
      <x v="13"/>
    </i>
    <i>
      <x v="31"/>
      <x v="31"/>
      <x v="12"/>
    </i>
    <i>
      <x v="32"/>
      <x v="32"/>
      <x v="20"/>
    </i>
    <i>
      <x v="33"/>
      <x v="33"/>
      <x v="24"/>
    </i>
    <i>
      <x v="34"/>
      <x v="34"/>
      <x v="5"/>
    </i>
    <i>
      <x v="35"/>
      <x v="35"/>
      <x v="14"/>
    </i>
    <i>
      <x v="36"/>
      <x v="36"/>
      <x v="17"/>
    </i>
    <i>
      <x v="37"/>
      <x v="37"/>
      <x v="4"/>
    </i>
    <i>
      <x v="38"/>
      <x v="38"/>
      <x v="15"/>
    </i>
    <i>
      <x v="39"/>
      <x v="39"/>
      <x v="7"/>
    </i>
    <i>
      <x v="40"/>
      <x v="40"/>
      <x v="14"/>
    </i>
    <i>
      <x v="41"/>
      <x v="41"/>
      <x v="19"/>
    </i>
    <i>
      <x v="42"/>
      <x v="42"/>
      <x v="36"/>
    </i>
    <i>
      <x v="43"/>
      <x v="43"/>
      <x v="25"/>
    </i>
    <i>
      <x v="44"/>
      <x v="44"/>
      <x v="26"/>
    </i>
    <i>
      <x v="45"/>
      <x v="45"/>
      <x v="21"/>
    </i>
    <i>
      <x v="46"/>
      <x v="46"/>
      <x v="27"/>
    </i>
    <i>
      <x v="47"/>
      <x v="47"/>
      <x v="28"/>
    </i>
    <i>
      <x v="48"/>
      <x v="48"/>
      <x v="21"/>
    </i>
    <i>
      <x v="49"/>
      <x v="49"/>
      <x v="7"/>
    </i>
    <i>
      <x v="50"/>
      <x v="50"/>
      <x v="12"/>
    </i>
    <i>
      <x v="51"/>
      <x v="51"/>
      <x v="5"/>
    </i>
    <i>
      <x v="52"/>
      <x v="52"/>
      <x v="36"/>
    </i>
    <i>
      <x v="53"/>
      <x v="53"/>
      <x v="7"/>
    </i>
    <i>
      <x v="54"/>
      <x v="54"/>
      <x v="36"/>
    </i>
    <i>
      <x v="55"/>
      <x v="55"/>
      <x v="14"/>
    </i>
    <i>
      <x v="56"/>
      <x v="56"/>
      <x v="5"/>
    </i>
    <i>
      <x v="57"/>
      <x v="57"/>
      <x v="12"/>
    </i>
    <i>
      <x v="58"/>
      <x v="58"/>
      <x v="7"/>
    </i>
    <i>
      <x v="59"/>
      <x v="59"/>
      <x v="7"/>
    </i>
    <i>
      <x v="60"/>
      <x v="60"/>
      <x v="22"/>
    </i>
    <i>
      <x v="61"/>
      <x v="61"/>
      <x v="29"/>
    </i>
    <i>
      <x v="62"/>
      <x v="62"/>
      <x v="10"/>
    </i>
    <i>
      <x v="63"/>
      <x v="63"/>
      <x v="30"/>
    </i>
    <i>
      <x v="64"/>
      <x v="64"/>
      <x v="31"/>
    </i>
    <i>
      <x v="65"/>
      <x v="65"/>
      <x v="15"/>
    </i>
    <i>
      <x v="66"/>
      <x v="66"/>
      <x v="24"/>
    </i>
    <i>
      <x v="67"/>
      <x v="67"/>
      <x v="7"/>
    </i>
    <i>
      <x v="68"/>
      <x v="68"/>
      <x v="10"/>
    </i>
    <i>
      <x v="69"/>
      <x v="69"/>
      <x v="12"/>
    </i>
    <i>
      <x v="70"/>
      <x v="70"/>
      <x v="27"/>
    </i>
    <i>
      <x v="71"/>
      <x v="71"/>
      <x v="32"/>
    </i>
    <i>
      <x v="72"/>
      <x v="72"/>
      <x v="12"/>
    </i>
    <i>
      <x v="73"/>
      <x v="73"/>
      <x v="12"/>
    </i>
    <i>
      <x v="74"/>
      <x v="74"/>
      <x v="33"/>
    </i>
    <i>
      <x v="75"/>
      <x v="75"/>
      <x v="17"/>
    </i>
    <i>
      <x v="76"/>
      <x v="76"/>
      <x v="7"/>
    </i>
    <i>
      <x v="77"/>
      <x v="77"/>
      <x v="19"/>
    </i>
    <i>
      <x v="78"/>
      <x v="78"/>
      <x v="13"/>
    </i>
    <i>
      <x v="79"/>
      <x v="79"/>
      <x v="28"/>
    </i>
    <i>
      <x v="80"/>
      <x v="80"/>
      <x v="22"/>
    </i>
    <i>
      <x v="81"/>
      <x v="81"/>
      <x v="27"/>
    </i>
    <i>
      <x v="82"/>
      <x v="82"/>
      <x v="7"/>
    </i>
    <i>
      <x v="83"/>
      <x v="83"/>
      <x v="17"/>
    </i>
    <i>
      <x v="84"/>
      <x v="84"/>
      <x v="7"/>
    </i>
    <i>
      <x v="85"/>
      <x v="85"/>
      <x v="19"/>
    </i>
    <i>
      <x v="86"/>
      <x v="86"/>
      <x v="28"/>
    </i>
    <i>
      <x v="87"/>
      <x v="87"/>
      <x v="12"/>
    </i>
    <i>
      <x v="88"/>
      <x v="88"/>
      <x v="12"/>
    </i>
    <i>
      <x v="89"/>
      <x v="89"/>
      <x v="11"/>
    </i>
    <i>
      <x v="90"/>
      <x v="90"/>
      <x v="3"/>
    </i>
    <i>
      <x v="91"/>
      <x v="91"/>
      <x v="22"/>
    </i>
    <i>
      <x v="92"/>
      <x v="92"/>
      <x v="12"/>
    </i>
    <i>
      <x v="93"/>
      <x v="93"/>
      <x v="24"/>
    </i>
    <i>
      <x v="94"/>
      <x v="94"/>
      <x v="7"/>
    </i>
    <i>
      <x v="95"/>
      <x v="95"/>
      <x v="35"/>
    </i>
    <i>
      <x v="96"/>
      <x v="96"/>
      <x v="38"/>
    </i>
    <i>
      <x v="97"/>
      <x v="97"/>
      <x v="14"/>
    </i>
    <i>
      <x v="98"/>
      <x v="98"/>
      <x v="2"/>
    </i>
    <i>
      <x v="99"/>
      <x v="99"/>
      <x v="15"/>
    </i>
    <i>
      <x v="100"/>
      <x v="100"/>
      <x v="9"/>
    </i>
    <i>
      <x v="101"/>
      <x v="101"/>
      <x v="41"/>
    </i>
    <i>
      <x v="102"/>
      <x v="102"/>
      <x v="9"/>
    </i>
    <i>
      <x v="103"/>
      <x v="103"/>
      <x v="31"/>
    </i>
    <i>
      <x v="104"/>
      <x v="104"/>
      <x v="29"/>
    </i>
    <i>
      <x v="105"/>
      <x v="105"/>
      <x v="10"/>
    </i>
    <i>
      <x v="106"/>
      <x v="106"/>
      <x v="11"/>
    </i>
    <i>
      <x v="107"/>
      <x v="107"/>
      <x v="8"/>
    </i>
    <i>
      <x v="108"/>
      <x v="108"/>
      <x v="37"/>
    </i>
    <i>
      <x v="109"/>
      <x v="109"/>
      <x v="35"/>
    </i>
    <i>
      <x v="110"/>
      <x v="110"/>
      <x v="14"/>
    </i>
    <i>
      <x v="111"/>
      <x v="111"/>
      <x v="27"/>
    </i>
    <i>
      <x v="112"/>
      <x v="112"/>
      <x v="29"/>
    </i>
    <i>
      <x v="113"/>
      <x v="113"/>
      <x v="14"/>
    </i>
    <i>
      <x v="114"/>
      <x v="114"/>
      <x v="27"/>
    </i>
    <i>
      <x v="115"/>
      <x v="115"/>
      <x v="30"/>
    </i>
    <i>
      <x v="116"/>
      <x v="116"/>
      <x v="27"/>
    </i>
    <i>
      <x v="117"/>
      <x v="117"/>
      <x v="22"/>
    </i>
    <i>
      <x v="118"/>
      <x v="118"/>
      <x v="20"/>
    </i>
    <i>
      <x v="119"/>
      <x v="119"/>
      <x v="37"/>
    </i>
    <i>
      <x v="120"/>
      <x v="120"/>
      <x v="23"/>
    </i>
    <i>
      <x v="121"/>
      <x v="121"/>
      <x v="31"/>
    </i>
    <i>
      <x v="122"/>
      <x v="122"/>
      <x v="42"/>
    </i>
    <i>
      <x v="123"/>
      <x v="123"/>
      <x v="2"/>
    </i>
    <i>
      <x v="124"/>
      <x v="124"/>
      <x v="11"/>
    </i>
    <i>
      <x v="125"/>
      <x v="125"/>
      <x v="1"/>
    </i>
    <i>
      <x v="126"/>
      <x v="126"/>
      <x v="36"/>
    </i>
    <i>
      <x v="127"/>
      <x v="127"/>
      <x v="36"/>
    </i>
    <i>
      <x v="128"/>
      <x v="128"/>
      <x v="36"/>
    </i>
    <i>
      <x v="129"/>
      <x v="129"/>
      <x v="5"/>
    </i>
    <i>
      <x v="130"/>
      <x v="130"/>
      <x v="13"/>
    </i>
    <i>
      <x v="131"/>
      <x v="131"/>
      <x v="19"/>
    </i>
    <i>
      <x v="132"/>
      <x v="132"/>
      <x v="6"/>
    </i>
    <i>
      <x v="133"/>
      <x v="134"/>
      <x v="12"/>
    </i>
    <i>
      <x v="134"/>
      <x v="135"/>
      <x v="10"/>
    </i>
    <i>
      <x v="135"/>
      <x v="136"/>
      <x v="10"/>
    </i>
    <i>
      <x v="136"/>
      <x v="137"/>
      <x v="4"/>
    </i>
    <i>
      <x v="137"/>
      <x v="138"/>
      <x v="19"/>
    </i>
    <i>
      <x v="138"/>
      <x v="139"/>
      <x v="25"/>
    </i>
    <i>
      <x v="139"/>
      <x v="140"/>
      <x v="12"/>
    </i>
    <i>
      <x v="140"/>
      <x v="141"/>
      <x v="5"/>
    </i>
    <i>
      <x v="141"/>
      <x v="142"/>
      <x v="6"/>
    </i>
    <i>
      <x v="142"/>
      <x v="143"/>
      <x v="25"/>
    </i>
    <i>
      <x v="143"/>
      <x v="144"/>
      <x v="42"/>
    </i>
    <i>
      <x v="144"/>
      <x v="145"/>
      <x v="39"/>
    </i>
    <i>
      <x v="145"/>
      <x v="146"/>
      <x v="11"/>
    </i>
    <i>
      <x v="146"/>
      <x v="147"/>
      <x v="24"/>
    </i>
    <i>
      <x v="147"/>
      <x v="148"/>
      <x v="27"/>
    </i>
    <i>
      <x v="148"/>
      <x v="149"/>
      <x v="14"/>
    </i>
    <i>
      <x v="149"/>
      <x v="150"/>
      <x v="32"/>
    </i>
    <i>
      <x v="150"/>
      <x v="151"/>
      <x v="14"/>
    </i>
    <i>
      <x v="151"/>
      <x v="152"/>
      <x v="3"/>
    </i>
    <i>
      <x v="152"/>
      <x v="153"/>
      <x v="44"/>
    </i>
    <i>
      <x v="153"/>
      <x v="154"/>
      <x v="21"/>
    </i>
    <i>
      <x v="154"/>
      <x v="155"/>
      <x v="2"/>
    </i>
    <i>
      <x v="155"/>
      <x v="156"/>
      <x v="17"/>
    </i>
    <i>
      <x v="156"/>
      <x v="157"/>
      <x v="7"/>
    </i>
    <i>
      <x v="157"/>
      <x v="158"/>
      <x v="21"/>
    </i>
    <i>
      <x v="158"/>
      <x v="159"/>
      <x v="3"/>
    </i>
    <i>
      <x v="159"/>
      <x v="160"/>
      <x v="1"/>
    </i>
    <i>
      <x v="160"/>
      <x v="161"/>
      <x v="7"/>
    </i>
    <i>
      <x v="161"/>
      <x v="162"/>
      <x v="30"/>
    </i>
    <i>
      <x v="162"/>
      <x v="163"/>
      <x v="27"/>
    </i>
    <i>
      <x v="163"/>
      <x v="164"/>
      <x v="29"/>
    </i>
    <i>
      <x v="164"/>
      <x v="165"/>
      <x v="37"/>
    </i>
    <i>
      <x v="165"/>
      <x v="166"/>
      <x v="36"/>
    </i>
    <i>
      <x v="166"/>
      <x v="167"/>
      <x v="10"/>
    </i>
    <i>
      <x v="167"/>
      <x v="168"/>
      <x v="39"/>
    </i>
    <i>
      <x v="168"/>
      <x v="169"/>
      <x v="39"/>
    </i>
    <i>
      <x v="169"/>
      <x v="170"/>
      <x v="9"/>
    </i>
    <i>
      <x v="170"/>
      <x v="171"/>
      <x v="4"/>
    </i>
    <i>
      <x v="171"/>
      <x v="172"/>
      <x v="2"/>
    </i>
    <i>
      <x v="172"/>
      <x v="173"/>
      <x v="27"/>
    </i>
    <i>
      <x v="173"/>
      <x v="176"/>
      <x v="21"/>
    </i>
    <i>
      <x v="174"/>
      <x v="175"/>
      <x v="9"/>
    </i>
    <i>
      <x v="175"/>
      <x v="177"/>
      <x v="9"/>
    </i>
    <i>
      <x v="176"/>
      <x v="178"/>
      <x v="5"/>
    </i>
    <i>
      <x v="177"/>
      <x v="180"/>
      <x v="21"/>
    </i>
    <i>
      <x v="178"/>
      <x v="179"/>
      <x v="30"/>
    </i>
    <i>
      <x v="179"/>
      <x v="181"/>
      <x v="15"/>
    </i>
    <i>
      <x v="180"/>
      <x v="182"/>
      <x v="33"/>
    </i>
    <i>
      <x v="181"/>
      <x v="183"/>
      <x v="1"/>
    </i>
    <i>
      <x v="182"/>
      <x v="184"/>
      <x v="42"/>
    </i>
    <i>
      <x v="183"/>
      <x v="185"/>
      <x v="1"/>
    </i>
    <i>
      <x v="184"/>
      <x v="186"/>
      <x v="27"/>
    </i>
    <i>
      <x v="185"/>
      <x v="187"/>
      <x v="24"/>
    </i>
    <i>
      <x v="186"/>
      <x v="188"/>
      <x v="41"/>
    </i>
    <i>
      <x v="187"/>
      <x v="189"/>
      <x v="41"/>
    </i>
    <i>
      <x v="188"/>
      <x v="190"/>
      <x v="12"/>
    </i>
    <i>
      <x v="189"/>
      <x v="191"/>
      <x v="15"/>
    </i>
    <i>
      <x v="190"/>
      <x v="192"/>
      <x v="15"/>
    </i>
    <i>
      <x v="191"/>
      <x v="193"/>
      <x v="42"/>
    </i>
    <i>
      <x v="192"/>
      <x v="194"/>
      <x v="17"/>
    </i>
    <i>
      <x v="193"/>
      <x v="195"/>
      <x v="42"/>
    </i>
    <i>
      <x v="194"/>
      <x v="196"/>
      <x v="15"/>
    </i>
    <i>
      <x v="195"/>
      <x v="197"/>
      <x v="12"/>
    </i>
    <i>
      <x v="196"/>
      <x v="198"/>
      <x v="15"/>
    </i>
    <i>
      <x v="197"/>
      <x v="199"/>
      <x v="15"/>
    </i>
    <i>
      <x v="198"/>
      <x v="200"/>
      <x v="10"/>
    </i>
    <i>
      <x v="199"/>
      <x v="201"/>
      <x v="36"/>
    </i>
    <i>
      <x v="200"/>
      <x v="202"/>
      <x v="22"/>
    </i>
    <i>
      <x v="201"/>
      <x v="203"/>
      <x v="24"/>
    </i>
    <i>
      <x v="202"/>
      <x v="204"/>
      <x v="1"/>
    </i>
    <i>
      <x v="203"/>
      <x v="205"/>
      <x v="10"/>
    </i>
    <i>
      <x v="204"/>
      <x v="206"/>
      <x v="21"/>
    </i>
    <i>
      <x v="205"/>
      <x v="207"/>
      <x v="15"/>
    </i>
    <i>
      <x v="206"/>
      <x v="208"/>
      <x v="12"/>
    </i>
    <i>
      <x v="207"/>
      <x v="209"/>
      <x v="33"/>
    </i>
    <i>
      <x v="208"/>
      <x v="210"/>
      <x v="14"/>
    </i>
    <i>
      <x v="209"/>
      <x v="211"/>
      <x v="8"/>
    </i>
    <i>
      <x v="210"/>
      <x v="212"/>
      <x v="30"/>
    </i>
    <i>
      <x v="211"/>
      <x v="213"/>
      <x v="34"/>
    </i>
    <i>
      <x v="212"/>
      <x v="214"/>
      <x v="26"/>
    </i>
    <i>
      <x v="213"/>
      <x v="215"/>
      <x v="30"/>
    </i>
    <i>
      <x v="214"/>
      <x v="216"/>
      <x v="21"/>
    </i>
    <i>
      <x v="215"/>
      <x v="217"/>
      <x v="15"/>
    </i>
    <i>
      <x v="216"/>
      <x v="218"/>
      <x v="18"/>
    </i>
    <i>
      <x v="217"/>
      <x v="219"/>
      <x v="16"/>
    </i>
    <i>
      <x v="218"/>
      <x v="220"/>
      <x v="7"/>
    </i>
    <i>
      <x v="219"/>
      <x v="221"/>
      <x v="15"/>
    </i>
    <i>
      <x v="220"/>
      <x v="222"/>
      <x v="5"/>
    </i>
    <i>
      <x v="221"/>
      <x v="223"/>
      <x v="3"/>
    </i>
    <i>
      <x v="222"/>
      <x v="224"/>
      <x v="36"/>
    </i>
    <i>
      <x v="223"/>
      <x v="225"/>
      <x v="27"/>
    </i>
    <i>
      <x v="224"/>
      <x v="226"/>
      <x v="17"/>
    </i>
    <i>
      <x v="225"/>
      <x v="227"/>
      <x v="20"/>
    </i>
    <i>
      <x v="226"/>
      <x v="228"/>
      <x v="36"/>
    </i>
    <i>
      <x v="227"/>
      <x v="229"/>
      <x v="9"/>
    </i>
    <i>
      <x v="228"/>
      <x v="230"/>
      <x v="7"/>
    </i>
    <i>
      <x v="229"/>
      <x v="231"/>
      <x v="24"/>
    </i>
    <i>
      <x v="230"/>
      <x v="232"/>
      <x v="38"/>
    </i>
    <i>
      <x v="231"/>
      <x v="233"/>
      <x v="29"/>
    </i>
    <i>
      <x v="232"/>
      <x v="236"/>
      <x v="23"/>
    </i>
    <i>
      <x v="233"/>
      <x v="234"/>
      <x v="29"/>
    </i>
    <i>
      <x v="234"/>
      <x v="235"/>
      <x v="21"/>
    </i>
    <i>
      <x v="235"/>
      <x v="237"/>
      <x v="35"/>
    </i>
    <i>
      <x v="236"/>
      <x v="238"/>
      <x v="9"/>
    </i>
    <i>
      <x v="237"/>
      <x v="239"/>
      <x v="21"/>
    </i>
    <i>
      <x v="238"/>
      <x v="240"/>
      <x v="1"/>
    </i>
    <i>
      <x v="239"/>
      <x v="241"/>
      <x v="27"/>
    </i>
    <i>
      <x v="240"/>
      <x v="242"/>
      <x v="20"/>
    </i>
    <i>
      <x v="241"/>
      <x v="243"/>
      <x v="6"/>
    </i>
    <i>
      <x v="242"/>
      <x v="244"/>
      <x v="36"/>
    </i>
    <i>
      <x v="243"/>
      <x v="245"/>
      <x v="29"/>
    </i>
    <i>
      <x v="244"/>
      <x v="246"/>
      <x v="11"/>
    </i>
    <i>
      <x v="245"/>
      <x v="247"/>
      <x v="25"/>
    </i>
    <i>
      <x v="246"/>
      <x v="248"/>
      <x v="36"/>
    </i>
    <i>
      <x v="247"/>
      <x v="249"/>
      <x v="1"/>
    </i>
    <i>
      <x v="248"/>
      <x v="250"/>
      <x v="22"/>
    </i>
    <i>
      <x v="249"/>
      <x v="251"/>
      <x v="5"/>
    </i>
    <i>
      <x v="250"/>
      <x v="252"/>
      <x v="36"/>
    </i>
    <i>
      <x v="251"/>
      <x v="253"/>
      <x v="7"/>
    </i>
    <i>
      <x v="252"/>
      <x v="254"/>
      <x v="34"/>
    </i>
    <i>
      <x v="253"/>
      <x v="255"/>
      <x v="22"/>
    </i>
    <i>
      <x v="254"/>
      <x v="256"/>
      <x v="39"/>
    </i>
    <i>
      <x v="255"/>
      <x v="257"/>
      <x v="8"/>
    </i>
    <i>
      <x v="256"/>
      <x v="258"/>
      <x v="22"/>
    </i>
    <i>
      <x v="257"/>
      <x v="259"/>
      <x v="31"/>
    </i>
    <i>
      <x v="258"/>
      <x v="260"/>
      <x v="4"/>
    </i>
    <i>
      <x v="259"/>
      <x v="261"/>
      <x v="22"/>
    </i>
    <i>
      <x v="260"/>
      <x v="262"/>
      <x v="17"/>
    </i>
    <i>
      <x v="261"/>
      <x v="263"/>
      <x v="5"/>
    </i>
    <i>
      <x v="262"/>
      <x v="264"/>
      <x v="7"/>
    </i>
    <i>
      <x v="263"/>
      <x v="265"/>
      <x v="21"/>
    </i>
    <i>
      <x v="264"/>
      <x v="266"/>
      <x v="33"/>
    </i>
    <i>
      <x v="265"/>
      <x v="267"/>
      <x v="22"/>
    </i>
    <i>
      <x v="266"/>
      <x v="268"/>
      <x v="29"/>
    </i>
    <i>
      <x v="267"/>
      <x v="269"/>
      <x v="28"/>
    </i>
    <i>
      <x v="268"/>
      <x v="270"/>
      <x v="5"/>
    </i>
    <i>
      <x v="269"/>
      <x v="271"/>
      <x v="3"/>
    </i>
    <i>
      <x v="270"/>
      <x v="272"/>
      <x v="24"/>
    </i>
    <i>
      <x v="271"/>
      <x v="273"/>
      <x v="2"/>
    </i>
    <i>
      <x v="272"/>
      <x v="274"/>
      <x v="13"/>
    </i>
    <i>
      <x v="273"/>
      <x v="275"/>
      <x v="35"/>
    </i>
    <i>
      <x v="274"/>
      <x v="276"/>
      <x v="24"/>
    </i>
    <i>
      <x v="275"/>
      <x v="277"/>
      <x v="10"/>
    </i>
    <i>
      <x v="276"/>
      <x v="278"/>
      <x v="30"/>
    </i>
    <i>
      <x v="277"/>
      <x v="279"/>
      <x v="38"/>
    </i>
    <i>
      <x v="278"/>
      <x v="280"/>
      <x v="36"/>
    </i>
    <i>
      <x v="279"/>
      <x v="281"/>
      <x v="29"/>
    </i>
    <i>
      <x v="280"/>
      <x v="282"/>
      <x v="18"/>
    </i>
    <i>
      <x v="281"/>
      <x v="283"/>
      <x v="21"/>
    </i>
    <i>
      <x v="282"/>
      <x v="284"/>
      <x v="38"/>
    </i>
    <i>
      <x v="283"/>
      <x v="285"/>
      <x v="31"/>
    </i>
    <i>
      <x v="284"/>
      <x v="286"/>
      <x v="11"/>
    </i>
    <i>
      <x v="285"/>
      <x v="287"/>
      <x v="35"/>
    </i>
    <i>
      <x v="286"/>
      <x v="288"/>
      <x v="7"/>
    </i>
    <i>
      <x v="287"/>
      <x v="289"/>
      <x v="24"/>
    </i>
    <i>
      <x v="288"/>
      <x v="290"/>
      <x v="28"/>
    </i>
    <i>
      <x v="289"/>
      <x v="291"/>
      <x v="27"/>
    </i>
    <i>
      <x v="290"/>
      <x v="292"/>
      <x v="36"/>
    </i>
    <i>
      <x v="291"/>
      <x v="293"/>
      <x v="15"/>
    </i>
    <i>
      <x v="292"/>
      <x v="294"/>
      <x v="13"/>
    </i>
    <i>
      <x v="293"/>
      <x v="295"/>
      <x v="35"/>
    </i>
    <i>
      <x v="294"/>
      <x v="296"/>
      <x v="1"/>
    </i>
    <i>
      <x v="295"/>
      <x v="297"/>
      <x v="29"/>
    </i>
    <i>
      <x v="296"/>
      <x v="298"/>
      <x v="39"/>
    </i>
    <i>
      <x v="297"/>
      <x v="299"/>
      <x v="14"/>
    </i>
    <i>
      <x v="298"/>
      <x v="300"/>
      <x v="19"/>
    </i>
    <i>
      <x v="299"/>
      <x v="301"/>
      <x v="12"/>
    </i>
    <i>
      <x v="300"/>
      <x v="302"/>
      <x v="14"/>
    </i>
    <i>
      <x v="301"/>
      <x v="303"/>
      <x v="4"/>
    </i>
    <i>
      <x v="302"/>
      <x v="304"/>
      <x v="7"/>
    </i>
    <i>
      <x v="303"/>
      <x v="305"/>
      <x v="25"/>
    </i>
    <i>
      <x v="304"/>
      <x v="306"/>
      <x v="4"/>
    </i>
    <i>
      <x v="305"/>
      <x v="307"/>
      <x v="15"/>
    </i>
    <i>
      <x v="306"/>
      <x v="308"/>
      <x v="14"/>
    </i>
    <i>
      <x v="307"/>
      <x v="309"/>
      <x v="12"/>
    </i>
    <i>
      <x v="308"/>
      <x v="310"/>
      <x v="37"/>
    </i>
    <i>
      <x v="309"/>
      <x v="311"/>
      <x v="1"/>
    </i>
    <i>
      <x v="310"/>
      <x v="312"/>
      <x v="7"/>
    </i>
    <i>
      <x v="311"/>
      <x v="313"/>
      <x v="30"/>
    </i>
    <i>
      <x v="312"/>
      <x v="314"/>
      <x v="12"/>
    </i>
    <i>
      <x v="313"/>
      <x v="315"/>
      <x v="15"/>
    </i>
    <i>
      <x v="314"/>
      <x v="316"/>
      <x v="27"/>
    </i>
    <i>
      <x v="315"/>
      <x v="317"/>
      <x v="7"/>
    </i>
    <i>
      <x v="316"/>
      <x v="318"/>
      <x v="42"/>
    </i>
    <i>
      <x v="317"/>
      <x v="319"/>
      <x v="42"/>
    </i>
    <i>
      <x v="318"/>
      <x v="320"/>
      <x v="42"/>
    </i>
    <i>
      <x v="319"/>
      <x v="321"/>
      <x v="13"/>
    </i>
    <i>
      <x v="320"/>
      <x v="322"/>
      <x v="26"/>
    </i>
    <i>
      <x v="321"/>
      <x v="323"/>
      <x v="5"/>
    </i>
    <i>
      <x v="322"/>
      <x v="324"/>
      <x v="9"/>
    </i>
    <i>
      <x v="323"/>
      <x v="325"/>
      <x v="27"/>
    </i>
    <i>
      <x v="324"/>
      <x v="326"/>
      <x v="36"/>
    </i>
    <i>
      <x v="325"/>
      <x v="327"/>
      <x v="1"/>
    </i>
    <i>
      <x v="326"/>
      <x v="328"/>
      <x v="15"/>
    </i>
    <i>
      <x v="327"/>
      <x v="329"/>
      <x v="21"/>
    </i>
    <i>
      <x v="328"/>
      <x v="330"/>
      <x v="9"/>
    </i>
    <i>
      <x v="329"/>
      <x v="331"/>
      <x v="17"/>
    </i>
    <i>
      <x v="330"/>
      <x v="332"/>
      <x v="40"/>
    </i>
    <i>
      <x v="331"/>
      <x v="333"/>
      <x v="36"/>
    </i>
    <i>
      <x v="332"/>
      <x v="334"/>
      <x v="42"/>
    </i>
    <i>
      <x v="333"/>
      <x v="335"/>
      <x v="21"/>
    </i>
    <i>
      <x v="334"/>
      <x v="336"/>
      <x v="10"/>
    </i>
    <i>
      <x v="335"/>
      <x v="337"/>
      <x v="7"/>
    </i>
    <i>
      <x v="336"/>
      <x v="339"/>
      <x v="29"/>
    </i>
    <i>
      <x v="337"/>
      <x v="338"/>
      <x v="42"/>
    </i>
    <i>
      <x v="338"/>
      <x v="340"/>
      <x v="12"/>
    </i>
    <i>
      <x v="339"/>
      <x v="341"/>
      <x v="9"/>
    </i>
    <i>
      <x v="340"/>
      <x v="342"/>
      <x v="36"/>
    </i>
    <i>
      <x v="341"/>
      <x v="343"/>
      <x v="36"/>
    </i>
    <i>
      <x v="342"/>
      <x v="344"/>
      <x v="2"/>
    </i>
    <i>
      <x v="343"/>
      <x v="346"/>
      <x v="33"/>
    </i>
    <i>
      <x v="344"/>
      <x v="345"/>
      <x v="4"/>
    </i>
    <i>
      <x v="345"/>
      <x v="347"/>
      <x v="4"/>
    </i>
    <i>
      <x v="346"/>
      <x v="348"/>
      <x v="37"/>
    </i>
    <i>
      <x v="347"/>
      <x v="349"/>
      <x v="42"/>
    </i>
    <i>
      <x v="348"/>
      <x v="350"/>
      <x v="34"/>
    </i>
    <i>
      <x v="349"/>
      <x v="351"/>
      <x v="18"/>
    </i>
    <i>
      <x v="350"/>
      <x v="352"/>
      <x v="30"/>
    </i>
    <i>
      <x v="351"/>
      <x v="353"/>
      <x v="42"/>
    </i>
    <i>
      <x v="352"/>
      <x v="354"/>
      <x v="10"/>
    </i>
    <i>
      <x v="353"/>
      <x v="355"/>
      <x v="1"/>
    </i>
    <i>
      <x v="354"/>
      <x v="357"/>
      <x v="38"/>
    </i>
    <i>
      <x v="355"/>
      <x v="356"/>
      <x v="37"/>
    </i>
    <i>
      <x v="356"/>
      <x v="358"/>
      <x v="11"/>
    </i>
    <i>
      <x v="357"/>
      <x v="359"/>
      <x v="18"/>
    </i>
    <i>
      <x v="358"/>
      <x v="360"/>
      <x v="17"/>
    </i>
    <i>
      <x v="359"/>
      <x v="361"/>
      <x v="1"/>
    </i>
    <i>
      <x v="360"/>
      <x v="362"/>
      <x v="9"/>
    </i>
    <i>
      <x v="361"/>
      <x v="363"/>
      <x v="9"/>
    </i>
    <i>
      <x v="362"/>
      <x v="364"/>
      <x v="14"/>
    </i>
    <i>
      <x v="363"/>
      <x v="365"/>
      <x v="28"/>
    </i>
    <i>
      <x v="364"/>
      <x v="366"/>
      <x v="36"/>
    </i>
    <i>
      <x v="365"/>
      <x v="367"/>
      <x v="42"/>
    </i>
    <i>
      <x v="366"/>
      <x v="368"/>
      <x v="36"/>
    </i>
    <i>
      <x v="367"/>
      <x v="369"/>
      <x v="36"/>
    </i>
    <i>
      <x v="368"/>
      <x v="370"/>
      <x v="22"/>
    </i>
    <i>
      <x v="369"/>
      <x v="371"/>
      <x v="21"/>
    </i>
    <i>
      <x v="370"/>
      <x v="372"/>
      <x v="42"/>
    </i>
    <i>
      <x v="371"/>
      <x v="373"/>
      <x v="17"/>
    </i>
    <i>
      <x v="372"/>
      <x v="374"/>
      <x v="36"/>
    </i>
    <i>
      <x v="373"/>
      <x v="375"/>
      <x v="1"/>
    </i>
    <i>
      <x v="374"/>
      <x v="376"/>
      <x v="1"/>
    </i>
    <i>
      <x v="375"/>
      <x v="379"/>
      <x v="36"/>
    </i>
    <i>
      <x v="376"/>
      <x v="377"/>
      <x v="12"/>
    </i>
    <i>
      <x v="377"/>
      <x v="378"/>
      <x v="16"/>
    </i>
    <i>
      <x v="378"/>
      <x v="380"/>
      <x v="36"/>
    </i>
    <i>
      <x v="379"/>
      <x v="381"/>
      <x v="11"/>
    </i>
    <i>
      <x v="380"/>
      <x v="382"/>
      <x v="27"/>
    </i>
    <i>
      <x v="381"/>
      <x v="383"/>
      <x v="27"/>
    </i>
    <i>
      <x v="382"/>
      <x v="384"/>
      <x v="10"/>
    </i>
    <i>
      <x v="383"/>
      <x v="385"/>
      <x v="36"/>
    </i>
    <i>
      <x v="384"/>
      <x v="386"/>
      <x v="15"/>
    </i>
    <i>
      <x v="385"/>
      <x v="387"/>
      <x v="42"/>
    </i>
    <i>
      <x v="386"/>
      <x v="388"/>
      <x v="11"/>
    </i>
    <i>
      <x v="387"/>
      <x v="389"/>
      <x v="31"/>
    </i>
    <i>
      <x v="388"/>
      <x v="390"/>
      <x v="27"/>
    </i>
    <i>
      <x v="389"/>
      <x v="391"/>
      <x v="1"/>
    </i>
    <i>
      <x v="390"/>
      <x v="392"/>
      <x v="27"/>
    </i>
    <i>
      <x v="391"/>
      <x v="394"/>
      <x v="21"/>
    </i>
    <i>
      <x v="392"/>
      <x v="393"/>
      <x v="1"/>
    </i>
    <i>
      <x v="393"/>
      <x v="395"/>
      <x v="1"/>
    </i>
    <i>
      <x v="394"/>
      <x v="396"/>
      <x v="36"/>
    </i>
    <i>
      <x v="395"/>
      <x v="397"/>
      <x v="36"/>
    </i>
    <i>
      <x v="396"/>
      <x v="398"/>
      <x v="21"/>
    </i>
    <i>
      <x v="397"/>
      <x v="399"/>
      <x v="27"/>
    </i>
    <i>
      <x v="398"/>
      <x v="400"/>
      <x v="1"/>
    </i>
    <i>
      <x v="399"/>
      <x v="401"/>
      <x v="27"/>
    </i>
    <i>
      <x v="400"/>
      <x v="402"/>
      <x v="38"/>
    </i>
    <i>
      <x v="401"/>
      <x v="403"/>
      <x v="36"/>
    </i>
    <i>
      <x v="402"/>
      <x v="404"/>
      <x v="5"/>
    </i>
    <i>
      <x v="403"/>
      <x v="405"/>
      <x v="21"/>
    </i>
    <i>
      <x v="404"/>
      <x v="406"/>
      <x v="15"/>
    </i>
    <i>
      <x v="405"/>
      <x v="407"/>
      <x v="19"/>
    </i>
    <i>
      <x v="406"/>
      <x v="408"/>
      <x v="29"/>
    </i>
    <i>
      <x v="407"/>
      <x v="409"/>
      <x v="42"/>
    </i>
    <i>
      <x v="408"/>
      <x v="410"/>
      <x v="24"/>
    </i>
    <i>
      <x v="409"/>
      <x v="411"/>
      <x v="1"/>
    </i>
    <i>
      <x v="410"/>
      <x v="412"/>
      <x v="18"/>
    </i>
    <i>
      <x v="411"/>
      <x v="413"/>
      <x v="7"/>
    </i>
    <i>
      <x v="412"/>
      <x v="414"/>
      <x v="42"/>
    </i>
    <i>
      <x v="413"/>
      <x v="415"/>
      <x v="7"/>
    </i>
    <i>
      <x v="414"/>
      <x v="416"/>
      <x v="28"/>
    </i>
    <i>
      <x v="415"/>
      <x v="417"/>
      <x v="42"/>
    </i>
    <i>
      <x v="416"/>
      <x v="418"/>
      <x v="24"/>
    </i>
    <i>
      <x v="417"/>
      <x v="419"/>
      <x v="18"/>
    </i>
    <i>
      <x v="418"/>
      <x v="420"/>
      <x v="27"/>
    </i>
    <i>
      <x v="419"/>
      <x v="421"/>
      <x v="29"/>
    </i>
    <i>
      <x v="420"/>
      <x v="422"/>
      <x v="12"/>
    </i>
    <i>
      <x v="421"/>
      <x v="423"/>
      <x v="21"/>
    </i>
    <i>
      <x v="422"/>
      <x v="424"/>
      <x v="19"/>
    </i>
    <i>
      <x v="423"/>
      <x v="425"/>
      <x v="34"/>
    </i>
    <i>
      <x v="424"/>
      <x v="426"/>
      <x v="12"/>
    </i>
    <i>
      <x v="425"/>
      <x v="427"/>
      <x v="20"/>
    </i>
    <i>
      <x v="426"/>
      <x v="428"/>
      <x v="20"/>
    </i>
    <i>
      <x v="427"/>
      <x v="429"/>
      <x v="14"/>
    </i>
    <i>
      <x v="428"/>
      <x v="430"/>
      <x v="36"/>
    </i>
    <i>
      <x v="429"/>
      <x v="431"/>
      <x v="28"/>
    </i>
    <i>
      <x v="430"/>
      <x v="432"/>
      <x v="9"/>
    </i>
    <i>
      <x v="431"/>
      <x v="433"/>
      <x v="14"/>
    </i>
    <i>
      <x v="432"/>
      <x v="434"/>
      <x v="28"/>
    </i>
    <i>
      <x v="433"/>
      <x v="435"/>
      <x v="6"/>
    </i>
    <i>
      <x v="434"/>
      <x v="436"/>
      <x v="5"/>
    </i>
    <i>
      <x v="435"/>
      <x v="437"/>
      <x v="7"/>
    </i>
    <i>
      <x v="436"/>
      <x v="438"/>
      <x v="10"/>
    </i>
    <i>
      <x v="437"/>
      <x v="439"/>
      <x v="31"/>
    </i>
    <i>
      <x v="438"/>
      <x v="440"/>
      <x v="9"/>
    </i>
    <i>
      <x v="439"/>
      <x v="441"/>
      <x v="4"/>
    </i>
    <i>
      <x v="440"/>
      <x v="442"/>
      <x v="7"/>
    </i>
    <i>
      <x v="441"/>
      <x v="443"/>
      <x v="30"/>
    </i>
    <i>
      <x v="442"/>
      <x v="444"/>
      <x v="12"/>
    </i>
    <i>
      <x v="443"/>
      <x v="445"/>
      <x v="27"/>
    </i>
    <i>
      <x v="444"/>
      <x v="446"/>
      <x v="33"/>
    </i>
    <i>
      <x v="445"/>
      <x v="447"/>
      <x v="42"/>
    </i>
    <i>
      <x v="446"/>
      <x v="448"/>
      <x v="15"/>
    </i>
    <i>
      <x v="447"/>
      <x v="449"/>
      <x v="15"/>
    </i>
    <i>
      <x v="448"/>
      <x v="450"/>
      <x v="11"/>
    </i>
    <i>
      <x v="449"/>
      <x v="451"/>
      <x v="21"/>
    </i>
    <i>
      <x v="450"/>
      <x v="452"/>
      <x v="42"/>
    </i>
    <i>
      <x v="451"/>
      <x v="453"/>
      <x v="21"/>
    </i>
    <i>
      <x v="452"/>
      <x v="454"/>
      <x v="19"/>
    </i>
    <i>
      <x v="453"/>
      <x v="455"/>
      <x v="13"/>
    </i>
    <i>
      <x v="454"/>
      <x v="456"/>
      <x v="11"/>
    </i>
    <i>
      <x v="455"/>
      <x v="457"/>
      <x v="14"/>
    </i>
    <i>
      <x v="456"/>
      <x v="458"/>
      <x v="36"/>
    </i>
    <i>
      <x v="457"/>
      <x v="459"/>
      <x v="1"/>
    </i>
    <i>
      <x v="458"/>
      <x v="460"/>
      <x v="30"/>
    </i>
    <i>
      <x v="459"/>
      <x v="461"/>
      <x v="34"/>
    </i>
    <i>
      <x v="460"/>
      <x v="462"/>
      <x v="19"/>
    </i>
    <i>
      <x v="461"/>
      <x v="463"/>
      <x v="7"/>
    </i>
    <i>
      <x v="462"/>
      <x v="464"/>
      <x v="9"/>
    </i>
    <i>
      <x v="463"/>
      <x v="465"/>
      <x v="9"/>
    </i>
    <i>
      <x v="464"/>
      <x v="466"/>
      <x v="9"/>
    </i>
    <i>
      <x v="465"/>
      <x v="467"/>
      <x v="9"/>
    </i>
    <i>
      <x v="466"/>
      <x v="468"/>
      <x v="12"/>
    </i>
    <i>
      <x v="467"/>
      <x v="469"/>
      <x v="8"/>
    </i>
    <i>
      <x v="468"/>
      <x v="470"/>
      <x v="27"/>
    </i>
    <i>
      <x v="469"/>
      <x v="471"/>
      <x v="15"/>
    </i>
    <i>
      <x v="470"/>
      <x v="472"/>
      <x v="14"/>
    </i>
    <i>
      <x v="471"/>
      <x v="473"/>
      <x v="15"/>
    </i>
    <i>
      <x v="472"/>
      <x v="474"/>
      <x v="37"/>
    </i>
    <i>
      <x v="473"/>
      <x v="475"/>
      <x v="9"/>
    </i>
    <i>
      <x v="474"/>
      <x v="476"/>
      <x v="14"/>
    </i>
    <i>
      <x v="475"/>
      <x v="477"/>
      <x v="9"/>
    </i>
    <i>
      <x v="476"/>
      <x v="478"/>
      <x v="7"/>
    </i>
    <i>
      <x v="477"/>
      <x v="479"/>
      <x v="29"/>
    </i>
    <i>
      <x v="478"/>
      <x v="480"/>
      <x v="24"/>
    </i>
    <i>
      <x v="479"/>
      <x v="481"/>
      <x v="22"/>
    </i>
    <i>
      <x v="480"/>
      <x v="482"/>
      <x v="3"/>
    </i>
    <i>
      <x v="481"/>
      <x v="483"/>
      <x v="22"/>
    </i>
    <i>
      <x v="482"/>
      <x v="484"/>
      <x v="24"/>
    </i>
    <i>
      <x v="483"/>
      <x v="485"/>
      <x v="27"/>
    </i>
    <i>
      <x v="484"/>
      <x v="486"/>
      <x v="9"/>
    </i>
    <i>
      <x v="485"/>
      <x v="487"/>
      <x v="22"/>
    </i>
    <i>
      <x v="486"/>
      <x v="488"/>
      <x v="40"/>
    </i>
    <i>
      <x v="487"/>
      <x v="489"/>
      <x v="11"/>
    </i>
    <i>
      <x v="488"/>
      <x v="497"/>
      <x v="22"/>
    </i>
    <i>
      <x v="489"/>
      <x v="490"/>
      <x v="24"/>
    </i>
    <i>
      <x v="490"/>
      <x v="491"/>
      <x v="17"/>
    </i>
    <i>
      <x v="491"/>
      <x v="492"/>
      <x v="15"/>
    </i>
    <i>
      <x v="492"/>
      <x v="493"/>
      <x v="6"/>
    </i>
    <i>
      <x v="493"/>
      <x v="494"/>
      <x v="6"/>
    </i>
    <i>
      <x v="494"/>
      <x v="495"/>
      <x v="40"/>
    </i>
    <i>
      <x v="495"/>
      <x v="496"/>
      <x v="42"/>
    </i>
    <i>
      <x v="496"/>
      <x v="498"/>
      <x v="9"/>
    </i>
    <i>
      <x v="497"/>
      <x v="499"/>
      <x v="14"/>
    </i>
    <i>
      <x v="498"/>
      <x v="500"/>
      <x v="12"/>
    </i>
    <i>
      <x v="499"/>
      <x v="501"/>
      <x v="21"/>
    </i>
    <i>
      <x v="500"/>
      <x v="502"/>
      <x v="15"/>
    </i>
    <i>
      <x v="501"/>
      <x v="503"/>
      <x v="1"/>
    </i>
    <i>
      <x v="502"/>
      <x v="504"/>
      <x v="36"/>
    </i>
    <i>
      <x v="503"/>
      <x v="505"/>
      <x v="11"/>
    </i>
    <i>
      <x v="504"/>
      <x v="506"/>
      <x v="33"/>
    </i>
    <i>
      <x v="505"/>
      <x v="507"/>
      <x v="1"/>
    </i>
    <i>
      <x v="506"/>
      <x v="508"/>
      <x v="6"/>
    </i>
    <i>
      <x v="507"/>
      <x v="509"/>
      <x v="35"/>
    </i>
    <i>
      <x v="508"/>
      <x v="510"/>
      <x v="20"/>
    </i>
    <i>
      <x v="509"/>
      <x v="511"/>
      <x v="27"/>
    </i>
    <i>
      <x v="510"/>
      <x v="512"/>
      <x v="9"/>
    </i>
    <i>
      <x v="511"/>
      <x v="513"/>
      <x v="36"/>
    </i>
    <i>
      <x v="512"/>
      <x v="514"/>
      <x v="21"/>
    </i>
    <i>
      <x v="513"/>
      <x v="515"/>
      <x v="16"/>
    </i>
    <i>
      <x v="514"/>
      <x v="516"/>
      <x v="38"/>
    </i>
    <i>
      <x v="515"/>
      <x v="517"/>
      <x v="21"/>
    </i>
    <i>
      <x v="516"/>
      <x v="518"/>
      <x v="4"/>
    </i>
    <i>
      <x v="517"/>
      <x v="519"/>
      <x v="11"/>
    </i>
    <i>
      <x v="518"/>
      <x v="520"/>
      <x v="2"/>
    </i>
    <i>
      <x v="519"/>
      <x v="521"/>
      <x v="27"/>
    </i>
    <i>
      <x v="520"/>
      <x v="522"/>
      <x v="17"/>
    </i>
    <i>
      <x v="521"/>
      <x v="523"/>
      <x v="21"/>
    </i>
    <i>
      <x v="522"/>
      <x v="524"/>
      <x v="25"/>
    </i>
    <i>
      <x v="523"/>
      <x v="525"/>
      <x v="33"/>
    </i>
    <i>
      <x v="524"/>
      <x v="526"/>
      <x v="17"/>
    </i>
    <i>
      <x v="525"/>
      <x v="527"/>
      <x v="6"/>
    </i>
    <i>
      <x v="526"/>
      <x v="528"/>
      <x v="1"/>
    </i>
    <i>
      <x v="527"/>
      <x v="533"/>
      <x v="21"/>
    </i>
    <i>
      <x v="528"/>
      <x v="534"/>
      <x v="31"/>
    </i>
    <i>
      <x v="529"/>
      <x v="530"/>
      <x v="21"/>
    </i>
    <i>
      <x v="530"/>
      <x v="529"/>
      <x v="11"/>
    </i>
    <i>
      <x v="531"/>
      <x v="531"/>
      <x v="11"/>
    </i>
    <i>
      <x v="532"/>
      <x v="532"/>
      <x v="21"/>
    </i>
    <i>
      <x v="533"/>
      <x v="535"/>
      <x v="9"/>
    </i>
    <i>
      <x v="534"/>
      <x v="536"/>
      <x v="40"/>
    </i>
    <i>
      <x v="535"/>
      <x v="537"/>
      <x v="11"/>
    </i>
    <i>
      <x v="536"/>
      <x v="538"/>
      <x v="18"/>
    </i>
    <i>
      <x v="537"/>
      <x v="539"/>
      <x v="12"/>
    </i>
    <i>
      <x v="538"/>
      <x v="540"/>
      <x v="2"/>
    </i>
    <i>
      <x v="539"/>
      <x v="541"/>
      <x v="14"/>
    </i>
    <i>
      <x v="540"/>
      <x v="542"/>
      <x v="9"/>
    </i>
    <i>
      <x v="541"/>
      <x v="543"/>
      <x v="12"/>
    </i>
    <i>
      <x v="542"/>
      <x v="544"/>
      <x v="34"/>
    </i>
    <i>
      <x v="543"/>
      <x v="545"/>
      <x v="14"/>
    </i>
    <i>
      <x v="544"/>
      <x v="546"/>
      <x v="44"/>
    </i>
    <i>
      <x v="545"/>
      <x v="547"/>
      <x v="40"/>
    </i>
    <i>
      <x v="546"/>
      <x v="548"/>
      <x v="3"/>
    </i>
    <i>
      <x v="547"/>
      <x v="549"/>
      <x v="21"/>
    </i>
    <i>
      <x v="548"/>
      <x v="550"/>
      <x v="2"/>
    </i>
    <i>
      <x v="549"/>
      <x v="551"/>
      <x v="21"/>
    </i>
    <i>
      <x v="550"/>
      <x v="552"/>
      <x v="42"/>
    </i>
    <i>
      <x v="551"/>
      <x v="553"/>
      <x v="1"/>
    </i>
    <i>
      <x v="552"/>
      <x v="554"/>
      <x v="11"/>
    </i>
    <i>
      <x v="553"/>
      <x v="555"/>
      <x v="24"/>
    </i>
    <i>
      <x v="554"/>
      <x v="556"/>
      <x v="14"/>
    </i>
    <i>
      <x v="555"/>
      <x v="557"/>
      <x v="2"/>
    </i>
    <i>
      <x v="556"/>
      <x v="558"/>
      <x v="36"/>
    </i>
    <i>
      <x v="557"/>
      <x v="559"/>
      <x v="38"/>
    </i>
    <i>
      <x v="558"/>
      <x v="560"/>
      <x v="39"/>
    </i>
    <i>
      <x v="559"/>
      <x v="561"/>
      <x v="14"/>
    </i>
    <i>
      <x v="560"/>
      <x v="562"/>
      <x v="19"/>
    </i>
    <i>
      <x v="561"/>
      <x v="563"/>
      <x v="8"/>
    </i>
    <i>
      <x v="562"/>
      <x v="564"/>
      <x v="43"/>
    </i>
    <i>
      <x v="563"/>
      <x v="565"/>
      <x v="6"/>
    </i>
    <i>
      <x v="564"/>
      <x v="566"/>
      <x v="27"/>
    </i>
    <i>
      <x v="565"/>
      <x v="567"/>
      <x v="13"/>
    </i>
    <i>
      <x v="566"/>
      <x v="568"/>
      <x v="23"/>
    </i>
    <i>
      <x v="567"/>
      <x v="569"/>
      <x v="2"/>
    </i>
    <i>
      <x v="568"/>
      <x v="570"/>
      <x v="11"/>
    </i>
    <i>
      <x v="569"/>
      <x v="571"/>
      <x v="34"/>
    </i>
    <i>
      <x v="570"/>
      <x v="572"/>
      <x v="8"/>
    </i>
    <i>
      <x v="571"/>
      <x v="573"/>
      <x v="5"/>
    </i>
    <i>
      <x v="572"/>
      <x v="574"/>
      <x v="42"/>
    </i>
    <i>
      <x v="573"/>
      <x v="575"/>
      <x v="11"/>
    </i>
    <i>
      <x v="574"/>
      <x v="577"/>
      <x v="11"/>
    </i>
    <i>
      <x v="575"/>
      <x v="576"/>
      <x v="4"/>
    </i>
    <i>
      <x v="576"/>
      <x v="578"/>
      <x v="11"/>
    </i>
    <i>
      <x v="577"/>
      <x v="579"/>
      <x v="29"/>
    </i>
    <i>
      <x v="578"/>
      <x v="580"/>
      <x v="10"/>
    </i>
    <i>
      <x v="579"/>
      <x v="581"/>
      <x v="14"/>
    </i>
    <i>
      <x v="580"/>
      <x v="582"/>
      <x v="4"/>
    </i>
    <i>
      <x v="581"/>
      <x v="583"/>
      <x v="20"/>
    </i>
    <i>
      <x v="582"/>
      <x v="584"/>
      <x v="21"/>
    </i>
    <i>
      <x v="583"/>
      <x v="585"/>
      <x v="16"/>
    </i>
    <i>
      <x v="584"/>
      <x v="587"/>
      <x v="33"/>
    </i>
    <i>
      <x v="585"/>
      <x v="586"/>
      <x v="21"/>
    </i>
    <i>
      <x v="586"/>
      <x v="588"/>
      <x v="36"/>
    </i>
    <i>
      <x v="587"/>
      <x v="589"/>
      <x v="17"/>
    </i>
    <i>
      <x v="588"/>
      <x v="590"/>
      <x v="39"/>
    </i>
    <i>
      <x v="589"/>
      <x v="591"/>
      <x v="9"/>
    </i>
    <i>
      <x v="590"/>
      <x v="592"/>
      <x v="5"/>
    </i>
    <i>
      <x v="591"/>
      <x v="593"/>
      <x v="30"/>
    </i>
    <i>
      <x v="592"/>
      <x v="594"/>
      <x v="30"/>
    </i>
    <i>
      <x v="593"/>
      <x v="595"/>
      <x v="2"/>
    </i>
    <i>
      <x v="594"/>
      <x v="596"/>
      <x v="42"/>
    </i>
    <i>
      <x v="595"/>
      <x v="597"/>
      <x v="20"/>
    </i>
    <i>
      <x v="596"/>
      <x v="598"/>
      <x v="2"/>
    </i>
    <i>
      <x v="597"/>
      <x v="599"/>
      <x v="30"/>
    </i>
    <i>
      <x v="598"/>
      <x v="600"/>
      <x v="30"/>
    </i>
    <i>
      <x v="599"/>
      <x v="601"/>
      <x v="5"/>
    </i>
    <i>
      <x v="600"/>
      <x v="602"/>
      <x v="22"/>
    </i>
    <i>
      <x v="601"/>
      <x v="603"/>
      <x v="9"/>
    </i>
    <i>
      <x v="602"/>
      <x v="604"/>
      <x v="27"/>
    </i>
    <i>
      <x v="603"/>
      <x v="605"/>
      <x v="20"/>
    </i>
    <i>
      <x v="604"/>
      <x v="606"/>
      <x v="14"/>
    </i>
    <i>
      <x v="605"/>
      <x v="607"/>
      <x v="5"/>
    </i>
    <i>
      <x v="606"/>
      <x v="608"/>
      <x v="9"/>
    </i>
    <i>
      <x v="607"/>
      <x v="609"/>
      <x v="10"/>
    </i>
    <i>
      <x v="608"/>
      <x v="610"/>
      <x v="13"/>
    </i>
    <i>
      <x v="609"/>
      <x v="611"/>
      <x v="27"/>
    </i>
    <i>
      <x v="610"/>
      <x v="612"/>
      <x v="19"/>
    </i>
    <i>
      <x v="611"/>
      <x v="613"/>
      <x v="3"/>
    </i>
    <i>
      <x v="612"/>
      <x v="614"/>
      <x v="17"/>
    </i>
    <i>
      <x v="613"/>
      <x v="615"/>
      <x v="14"/>
    </i>
    <i>
      <x v="614"/>
      <x v="616"/>
      <x v="21"/>
    </i>
    <i>
      <x v="615"/>
      <x v="617"/>
      <x v="28"/>
    </i>
    <i>
      <x v="616"/>
      <x v="618"/>
      <x v="15"/>
    </i>
    <i>
      <x v="617"/>
      <x v="619"/>
      <x v="1"/>
    </i>
    <i>
      <x v="618"/>
      <x v="620"/>
      <x v="12"/>
    </i>
    <i>
      <x v="619"/>
      <x v="621"/>
      <x v="21"/>
    </i>
    <i>
      <x v="620"/>
      <x v="622"/>
      <x v="36"/>
    </i>
    <i>
      <x v="621"/>
      <x v="623"/>
      <x v="23"/>
    </i>
    <i>
      <x v="622"/>
      <x v="624"/>
      <x v="7"/>
    </i>
    <i>
      <x v="623"/>
      <x v="625"/>
      <x v="36"/>
    </i>
    <i>
      <x v="624"/>
      <x v="626"/>
      <x v="36"/>
    </i>
    <i>
      <x v="625"/>
      <x v="627"/>
      <x v="21"/>
    </i>
    <i>
      <x v="626"/>
      <x v="628"/>
      <x v="15"/>
    </i>
    <i>
      <x v="627"/>
      <x v="629"/>
      <x v="36"/>
    </i>
    <i>
      <x v="628"/>
      <x v="630"/>
      <x v="42"/>
    </i>
    <i>
      <x v="629"/>
      <x v="631"/>
      <x v="37"/>
    </i>
    <i>
      <x v="630"/>
      <x v="632"/>
      <x v="12"/>
    </i>
    <i>
      <x v="631"/>
      <x v="633"/>
      <x v="28"/>
    </i>
    <i>
      <x v="632"/>
      <x v="634"/>
      <x v="2"/>
    </i>
    <i>
      <x v="633"/>
      <x v="635"/>
      <x v="39"/>
    </i>
    <i>
      <x v="634"/>
      <x v="636"/>
      <x v="35"/>
    </i>
    <i>
      <x v="635"/>
      <x v="637"/>
      <x v="15"/>
    </i>
    <i>
      <x v="636"/>
      <x v="638"/>
      <x v="37"/>
    </i>
    <i>
      <x v="637"/>
      <x v="639"/>
      <x v="10"/>
    </i>
    <i>
      <x v="638"/>
      <x v="640"/>
      <x v="30"/>
    </i>
    <i>
      <x v="639"/>
      <x v="641"/>
      <x v="21"/>
    </i>
    <i>
      <x v="640"/>
      <x v="642"/>
      <x v="20"/>
    </i>
    <i>
      <x v="641"/>
      <x v="643"/>
      <x v="42"/>
    </i>
    <i>
      <x v="642"/>
      <x v="644"/>
      <x v="12"/>
    </i>
    <i>
      <x v="643"/>
      <x v="133"/>
      <x v="27"/>
    </i>
    <i>
      <x v="644"/>
      <x v="174"/>
      <x v="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tables/table1.xml><?xml version="1.0" encoding="utf-8"?>
<table xmlns="http://schemas.openxmlformats.org/spreadsheetml/2006/main" id="4" name="tab_Municípios" displayName="tab_Municípios" ref="E1:H646" totalsRowShown="0">
  <autoFilter ref="E1:H646"/>
  <tableColumns count="4">
    <tableColumn id="1" name="GeoCodigo"/>
    <tableColumn id="2" name="Município"/>
    <tableColumn id="3" name="ID_Agência"/>
    <tableColumn id="4" name="GeoCodigo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_Geral" displayName="tab_Geral" ref="A1:T646" totalsRowShown="0" headerRowDxfId="40" dataDxfId="39">
  <autoFilter ref="A1:T646"/>
  <sortState ref="A2:T646">
    <sortCondition ref="G1:G646"/>
  </sortState>
  <tableColumns count="20">
    <tableColumn id="1" name="ID" dataDxfId="38"/>
    <tableColumn id="2" name="GeoCodigo" dataDxfId="37"/>
    <tableColumn id="3" name="Hifen" dataDxfId="36">
      <calculatedColumnFormula>IF(ISERR(FIND("-",tab_Geral[[#This Row],[Municípios]],1)),"","Têm Hifen")</calculatedColumnFormula>
    </tableColumn>
    <tableColumn id="4" name="Registrado" dataDxfId="35">
      <calculatedColumnFormula>IF(tab_Geral[[#This Row],[Informação 3]]&lt;&gt;"","","Não Registrado")</calculatedColumnFormula>
    </tableColumn>
    <tableColumn id="5" name="Bate o Nome 1?" dataDxfId="34">
      <calculatedColumnFormula>IF(tab_Geral[[#This Row],[Municípios]]=tab_Geral[[#This Row],[Informação 1]],"","Não!, Erro!")</calculatedColumnFormula>
    </tableColumn>
    <tableColumn id="6" name="Bate o Nome 2?" dataDxfId="33">
      <calculatedColumnFormula>IF(tab_Geral[[#This Row],[Municípios]]=tab_Geral[[#This Row],[Município]],"","Não!, Erro!")</calculatedColumnFormula>
    </tableColumn>
    <tableColumn id="7" name="Município" dataDxfId="32">
      <calculatedColumnFormula>VLOOKUP(tab_Geral[[#This Row],[GeoCodigo]],tab_CETESB[],2,FALSE)</calculatedColumnFormula>
    </tableColumn>
    <tableColumn id="8" name="ID_Agência" dataDxfId="31">
      <calculatedColumnFormula>VLOOKUP(tab_Geral[[#This Row],[Informação 3]],tab_AgênciaAmbiental,10,FALSE)</calculatedColumnFormula>
    </tableColumn>
    <tableColumn id="9" name="Municípios" dataDxfId="30"/>
    <tableColumn id="10" name="Informação 1" dataDxfId="29" dataCellStyle="Hiperlink"/>
    <tableColumn id="11" name="Informação 2" dataDxfId="28"/>
    <tableColumn id="12" name="Informação 3" dataDxfId="27"/>
    <tableColumn id="13" name="Informação 4" dataDxfId="26"/>
    <tableColumn id="14" name="Informação 5" dataDxfId="25"/>
    <tableColumn id="15" name="Informação 6" dataDxfId="24"/>
    <tableColumn id="16" name="Informação 7" dataDxfId="23"/>
    <tableColumn id="17" name="Informação 8" dataDxfId="22"/>
    <tableColumn id="18" name="Informação 9" dataDxfId="21"/>
    <tableColumn id="19" name="Informação 10" dataDxfId="20"/>
    <tableColumn id="20" name="Informação 11" dataDxfId="19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id="5" name="tab_CETESB" displayName="tab_CETESB" ref="A1:L646" totalsRowShown="0" headerRowDxfId="18" dataDxfId="16" headerRowBorderDxfId="17" tableBorderDxfId="15">
  <autoFilter ref="A1:L646"/>
  <tableColumns count="12">
    <tableColumn id="1" name="GeoCodigo" dataDxfId="14"/>
    <tableColumn id="2" name="Município" dataDxfId="13"/>
    <tableColumn id="3" name="ID_Agência" dataDxfId="12"/>
    <tableColumn id="4" name="AgênciaAmbiental" dataDxfId="11">
      <calculatedColumnFormula>VLOOKUP($C2,tab_Agências[],2,FALSE)</calculatedColumnFormula>
    </tableColumn>
    <tableColumn id="5" name="Endereço" dataDxfId="10">
      <calculatedColumnFormula>VLOOKUP($C2,tab_Agências[],3,FALSE)</calculatedColumnFormula>
    </tableColumn>
    <tableColumn id="6" name="Bairro" dataDxfId="9">
      <calculatedColumnFormula>VLOOKUP($C2,tab_Agências[],4,FALSE)</calculatedColumnFormula>
    </tableColumn>
    <tableColumn id="7" name="CEP" dataDxfId="8">
      <calculatedColumnFormula>VLOOKUP($C2,tab_Agências[],5,FALSE)</calculatedColumnFormula>
    </tableColumn>
    <tableColumn id="8" name="MunSede" dataDxfId="7">
      <calculatedColumnFormula>VLOOKUP($C2,tab_Agências[],6,FALSE)</calculatedColumnFormula>
    </tableColumn>
    <tableColumn id="9" name="EndereçoCompleto" dataDxfId="6">
      <calculatedColumnFormula>VLOOKUP($C2,tab_Agências[],7,FALSE)</calculatedColumnFormula>
    </tableColumn>
    <tableColumn id="10" name="Telefone" dataDxfId="5">
      <calculatedColumnFormula>VLOOKUP($C2,tab_Agências[],8,FALSE)</calculatedColumnFormula>
    </tableColumn>
    <tableColumn id="11" name="Fax" dataDxfId="4">
      <calculatedColumnFormula>VLOOKUP($C2,tab_Agências[],9,FALSE)</calculatedColumnFormula>
    </tableColumn>
    <tableColumn id="12" name="Email" dataDxfId="3">
      <calculatedColumnFormula>VLOOKUP($C2,tab_Agências[],10,FALSE)</calculatedColumnFormula>
    </tableColumn>
  </tableColumns>
  <tableStyleInfo name="TableStyleMedium11" showFirstColumn="0" showLastColumn="0" showRowStripes="1" showColumnStripes="0"/>
</table>
</file>

<file path=xl/tables/table4.xml><?xml version="1.0" encoding="utf-8"?>
<table xmlns="http://schemas.openxmlformats.org/spreadsheetml/2006/main" id="3" name="tab_Agências" displayName="tab_Agências" ref="A1:K44" totalsRowShown="0">
  <autoFilter ref="A1:K44"/>
  <tableColumns count="11">
    <tableColumn id="1" name="ID_Agência" dataDxfId="2"/>
    <tableColumn id="2" name="AgênciaAmbiental"/>
    <tableColumn id="3" name="Endereço"/>
    <tableColumn id="4" name="Bairro"/>
    <tableColumn id="5" name="CEP"/>
    <tableColumn id="6" name="MunSede"/>
    <tableColumn id="7" name="EndereçoCompleto">
      <calculatedColumnFormula>C2&amp;" - "&amp;D2&amp;", "&amp;F2&amp;", "&amp;E2</calculatedColumnFormula>
    </tableColumn>
    <tableColumn id="8" name="Telefone"/>
    <tableColumn id="9" name="Fax"/>
    <tableColumn id="10" name="Email"/>
    <tableColumn id="11" name="ID_Agência2"/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id="9" name="tab_MunLicenciador" displayName="tab_MunLicenciador" ref="A1:E47" totalsRowShown="0">
  <autoFilter ref="A1:E47"/>
  <tableColumns count="5">
    <tableColumn id="1" name="GeoCodigo"/>
    <tableColumn id="2" name="Sequência"/>
    <tableColumn id="3" name="Município Licenciador"/>
    <tableColumn id="4" name="Classificação Impacto Ambiental" dataDxfId="1"/>
    <tableColumn id="5" name="Publicação no DOESP" dataDxfId="0"/>
  </tableColumns>
  <tableStyleInfo name="TableStyleMedium5" showFirstColumn="0" showLastColumn="0" showRowStripes="1" showColumnStripes="0"/>
</table>
</file>

<file path=xl/tables/table6.xml><?xml version="1.0" encoding="utf-8"?>
<table xmlns="http://schemas.openxmlformats.org/spreadsheetml/2006/main" id="1" name="tab_Departamentos" displayName="tab_Departamentos" ref="A1:B6" totalsRowShown="0">
  <autoFilter ref="A1:B6"/>
  <tableColumns count="2">
    <tableColumn id="1" name="ID_Departamento"/>
    <tableColumn id="2" name="Departamento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://www.ambiente.sp.gov.br/consema/licenciamento-ambiental-municipal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hyperlink" Target="http://licenciamento.cetesb.sp.gov.br/municipioss.asp?muni=CAPIVARI" TargetMode="External"/><Relationship Id="rId299" Type="http://schemas.openxmlformats.org/officeDocument/2006/relationships/hyperlink" Target="http://licenciamento.cetesb.sp.gov.br/municipioss.asp?muni=LIND%C3%93IA" TargetMode="External"/><Relationship Id="rId21" Type="http://schemas.openxmlformats.org/officeDocument/2006/relationships/hyperlink" Target="http://licenciamento.cetesb.sp.gov.br/municipioss.asp?muni=AM%C3%89RICO%20DE%20CAMPOS" TargetMode="External"/><Relationship Id="rId63" Type="http://schemas.openxmlformats.org/officeDocument/2006/relationships/hyperlink" Target="http://licenciamento.cetesb.sp.gov.br/municipioss.asp?muni=BARUERI" TargetMode="External"/><Relationship Id="rId159" Type="http://schemas.openxmlformats.org/officeDocument/2006/relationships/hyperlink" Target="http://licenciamento.cetesb.sp.gov.br/municipioss.asp?muni=DUARTINA" TargetMode="External"/><Relationship Id="rId324" Type="http://schemas.openxmlformats.org/officeDocument/2006/relationships/hyperlink" Target="http://licenciamento.cetesb.sp.gov.br/municipioss.asp?muni=MAT%C3%83O" TargetMode="External"/><Relationship Id="rId366" Type="http://schemas.openxmlformats.org/officeDocument/2006/relationships/hyperlink" Target="http://licenciamento.cetesb.sp.gov.br/municipioss.asp?muni=NOVA%20GUATAPORANGA" TargetMode="External"/><Relationship Id="rId531" Type="http://schemas.openxmlformats.org/officeDocument/2006/relationships/hyperlink" Target="http://licenciamento.cetesb.sp.gov.br/municipioss.asp?muni=S%C3%83O%20BERNARDO%20DO%20CAMPO" TargetMode="External"/><Relationship Id="rId573" Type="http://schemas.openxmlformats.org/officeDocument/2006/relationships/hyperlink" Target="http://licenciamento.cetesb.sp.gov.br/municipioss.asp?muni=TABO%C3%83O%20DA%20SERRA" TargetMode="External"/><Relationship Id="rId629" Type="http://schemas.openxmlformats.org/officeDocument/2006/relationships/hyperlink" Target="http://licenciamento.cetesb.sp.gov.br/municipioss.asp?muni=EMBU%20DAS%20ARTES" TargetMode="External"/><Relationship Id="rId170" Type="http://schemas.openxmlformats.org/officeDocument/2006/relationships/hyperlink" Target="http://licenciamento.cetesb.sp.gov.br/municipioss.asp?muni=ESTIVA%20GERBI" TargetMode="External"/><Relationship Id="rId226" Type="http://schemas.openxmlformats.org/officeDocument/2006/relationships/hyperlink" Target="http://licenciamento.cetesb.sp.gov.br/municipioss.asp?muni=IGUAPE" TargetMode="External"/><Relationship Id="rId433" Type="http://schemas.openxmlformats.org/officeDocument/2006/relationships/hyperlink" Target="http://licenciamento.cetesb.sp.gov.br/municipioss.asp?muni=PLANALTO" TargetMode="External"/><Relationship Id="rId268" Type="http://schemas.openxmlformats.org/officeDocument/2006/relationships/hyperlink" Target="http://licenciamento.cetesb.sp.gov.br/municipioss.asp?muni=ITUPEVA" TargetMode="External"/><Relationship Id="rId475" Type="http://schemas.openxmlformats.org/officeDocument/2006/relationships/hyperlink" Target="http://licenciamento.cetesb.sp.gov.br/municipioss.asp?muni=RIBEIR%C3%83O%20GRANDE" TargetMode="External"/><Relationship Id="rId640" Type="http://schemas.openxmlformats.org/officeDocument/2006/relationships/hyperlink" Target="http://licenciamento.cetesb.sp.gov.br/municipioss.asp?muni=ARCO-%C3%8DRIS" TargetMode="External"/><Relationship Id="rId32" Type="http://schemas.openxmlformats.org/officeDocument/2006/relationships/hyperlink" Target="http://licenciamento.cetesb.sp.gov.br/municipioss.asp?muni=ARA%C3%87OIABA%20DA%20SERRA" TargetMode="External"/><Relationship Id="rId74" Type="http://schemas.openxmlformats.org/officeDocument/2006/relationships/hyperlink" Target="http://licenciamento.cetesb.sp.gov.br/municipioss.asp?muni=BOCAINA" TargetMode="External"/><Relationship Id="rId128" Type="http://schemas.openxmlformats.org/officeDocument/2006/relationships/hyperlink" Target="http://licenciamento.cetesb.sp.gov.br/municipioss.asp?muni=CERQUILHO" TargetMode="External"/><Relationship Id="rId335" Type="http://schemas.openxmlformats.org/officeDocument/2006/relationships/hyperlink" Target="http://licenciamento.cetesb.sp.gov.br/municipioss.asp?muni=MIRASSOL" TargetMode="External"/><Relationship Id="rId377" Type="http://schemas.openxmlformats.org/officeDocument/2006/relationships/hyperlink" Target="http://licenciamento.cetesb.sp.gov.br/municipioss.asp?muni=ORIENTE" TargetMode="External"/><Relationship Id="rId500" Type="http://schemas.openxmlformats.org/officeDocument/2006/relationships/hyperlink" Target="http://licenciamento.cetesb.sp.gov.br/municipioss.asp?muni=SANDOVALINA" TargetMode="External"/><Relationship Id="rId542" Type="http://schemas.openxmlformats.org/officeDocument/2006/relationships/hyperlink" Target="http://licenciamento.cetesb.sp.gov.br/municipioss.asp?muni=S%C3%83O%20JOS%C3%89%20DO%20RIO%20PRETO" TargetMode="External"/><Relationship Id="rId584" Type="http://schemas.openxmlformats.org/officeDocument/2006/relationships/hyperlink" Target="http://licenciamento.cetesb.sp.gov.br/municipioss.asp?muni=TAQUARITUBA" TargetMode="External"/><Relationship Id="rId5" Type="http://schemas.openxmlformats.org/officeDocument/2006/relationships/hyperlink" Target="http://licenciamento.cetesb.sp.gov.br/municipioss.asp?muni=%C3%81GUAS%20DE%20LIND%C3%93IA" TargetMode="External"/><Relationship Id="rId181" Type="http://schemas.openxmlformats.org/officeDocument/2006/relationships/hyperlink" Target="http://licenciamento.cetesb.sp.gov.br/municipioss.asp?muni=FRANCA" TargetMode="External"/><Relationship Id="rId237" Type="http://schemas.openxmlformats.org/officeDocument/2006/relationships/hyperlink" Target="http://licenciamento.cetesb.sp.gov.br/municipioss.asp?muni=IPIGU%C3%81" TargetMode="External"/><Relationship Id="rId402" Type="http://schemas.openxmlformats.org/officeDocument/2006/relationships/hyperlink" Target="http://licenciamento.cetesb.sp.gov.br/municipioss.asp?muni=PAULIST%C3%82NIA" TargetMode="External"/><Relationship Id="rId279" Type="http://schemas.openxmlformats.org/officeDocument/2006/relationships/hyperlink" Target="http://licenciamento.cetesb.sp.gov.br/municipioss.asp?muni=JARDIN%C3%93POLIS" TargetMode="External"/><Relationship Id="rId444" Type="http://schemas.openxmlformats.org/officeDocument/2006/relationships/hyperlink" Target="http://licenciamento.cetesb.sp.gov.br/municipioss.asp?muni=PORTO%20FELIZ" TargetMode="External"/><Relationship Id="rId486" Type="http://schemas.openxmlformats.org/officeDocument/2006/relationships/hyperlink" Target="http://licenciamento.cetesb.sp.gov.br/municipioss.asp?muni=ROSANA" TargetMode="External"/><Relationship Id="rId43" Type="http://schemas.openxmlformats.org/officeDocument/2006/relationships/hyperlink" Target="http://licenciamento.cetesb.sp.gov.br/municipioss.asp?muni=ARUJ%C3%81" TargetMode="External"/><Relationship Id="rId139" Type="http://schemas.openxmlformats.org/officeDocument/2006/relationships/hyperlink" Target="http://licenciamento.cetesb.sp.gov.br/municipioss.asp?muni=CORONEL%20MACEDO" TargetMode="External"/><Relationship Id="rId290" Type="http://schemas.openxmlformats.org/officeDocument/2006/relationships/hyperlink" Target="http://licenciamento.cetesb.sp.gov.br/municipioss.asp?muni=JUQUI%C3%81" TargetMode="External"/><Relationship Id="rId304" Type="http://schemas.openxmlformats.org/officeDocument/2006/relationships/hyperlink" Target="http://licenciamento.cetesb.sp.gov.br/municipioss.asp?muni=LUC%C3%89LIA" TargetMode="External"/><Relationship Id="rId346" Type="http://schemas.openxmlformats.org/officeDocument/2006/relationships/hyperlink" Target="http://licenciamento.cetesb.sp.gov.br/municipioss.asp?muni=MONTE%20CASTELO" TargetMode="External"/><Relationship Id="rId388" Type="http://schemas.openxmlformats.org/officeDocument/2006/relationships/hyperlink" Target="http://licenciamento.cetesb.sp.gov.br/municipioss.asp?muni=PALMARES%20PAULISTA" TargetMode="External"/><Relationship Id="rId511" Type="http://schemas.openxmlformats.org/officeDocument/2006/relationships/hyperlink" Target="http://licenciamento.cetesb.sp.gov.br/municipioss.asp?muni=SANTA%20ISABEL" TargetMode="External"/><Relationship Id="rId553" Type="http://schemas.openxmlformats.org/officeDocument/2006/relationships/hyperlink" Target="http://licenciamento.cetesb.sp.gov.br/municipioss.asp?muni=S%C3%83O%20SIM%C3%83O" TargetMode="External"/><Relationship Id="rId609" Type="http://schemas.openxmlformats.org/officeDocument/2006/relationships/hyperlink" Target="http://licenciamento.cetesb.sp.gov.br/municipioss.asp?muni=UNI%C3%83O%20PAULISTA" TargetMode="External"/><Relationship Id="rId85" Type="http://schemas.openxmlformats.org/officeDocument/2006/relationships/hyperlink" Target="http://licenciamento.cetesb.sp.gov.br/municipioss.asp?muni=BRA%C3%9ANA" TargetMode="External"/><Relationship Id="rId150" Type="http://schemas.openxmlformats.org/officeDocument/2006/relationships/hyperlink" Target="http://licenciamento.cetesb.sp.gov.br/municipioss.asp?muni=DESCALVADO" TargetMode="External"/><Relationship Id="rId192" Type="http://schemas.openxmlformats.org/officeDocument/2006/relationships/hyperlink" Target="http://licenciamento.cetesb.sp.gov.br/municipioss.asp?muni=GUAI%C3%87ARA" TargetMode="External"/><Relationship Id="rId206" Type="http://schemas.openxmlformats.org/officeDocument/2006/relationships/hyperlink" Target="http://licenciamento.cetesb.sp.gov.br/municipioss.asp?muni=GUARUJ%C3%81" TargetMode="External"/><Relationship Id="rId413" Type="http://schemas.openxmlformats.org/officeDocument/2006/relationships/hyperlink" Target="http://licenciamento.cetesb.sp.gov.br/municipioss.asp?muni=PEREIRAS" TargetMode="External"/><Relationship Id="rId595" Type="http://schemas.openxmlformats.org/officeDocument/2006/relationships/hyperlink" Target="http://licenciamento.cetesb.sp.gov.br/municipioss.asp?muni=TORRE%20DE%20PEDRA" TargetMode="External"/><Relationship Id="rId248" Type="http://schemas.openxmlformats.org/officeDocument/2006/relationships/hyperlink" Target="http://licenciamento.cetesb.sp.gov.br/municipioss.asp?muni=ITA%C3%93CA" TargetMode="External"/><Relationship Id="rId455" Type="http://schemas.openxmlformats.org/officeDocument/2006/relationships/hyperlink" Target="http://licenciamento.cetesb.sp.gov.br/municipioss.asp?muni=PRESIDENTE%20PRUDENTE" TargetMode="External"/><Relationship Id="rId497" Type="http://schemas.openxmlformats.org/officeDocument/2006/relationships/hyperlink" Target="http://licenciamento.cetesb.sp.gov.br/municipioss.asp?muni=SALTO" TargetMode="External"/><Relationship Id="rId620" Type="http://schemas.openxmlformats.org/officeDocument/2006/relationships/hyperlink" Target="http://licenciamento.cetesb.sp.gov.br/municipioss.asp?muni=VINHEDO" TargetMode="External"/><Relationship Id="rId12" Type="http://schemas.openxmlformats.org/officeDocument/2006/relationships/hyperlink" Target="http://licenciamento.cetesb.sp.gov.br/municipioss.asp?muni=ALTIN%C3%93POLIS" TargetMode="External"/><Relationship Id="rId108" Type="http://schemas.openxmlformats.org/officeDocument/2006/relationships/hyperlink" Target="http://licenciamento.cetesb.sp.gov.br/municipioss.asp?muni=CAMPOS%20DO%20JORD%C3%83O" TargetMode="External"/><Relationship Id="rId315" Type="http://schemas.openxmlformats.org/officeDocument/2006/relationships/hyperlink" Target="http://licenciamento.cetesb.sp.gov.br/municipioss.asp?muni=MAIRIPOR%C3%83" TargetMode="External"/><Relationship Id="rId357" Type="http://schemas.openxmlformats.org/officeDocument/2006/relationships/hyperlink" Target="http://licenciamento.cetesb.sp.gov.br/municipioss.asp?muni=NEVES%20PAULISTA" TargetMode="External"/><Relationship Id="rId522" Type="http://schemas.openxmlformats.org/officeDocument/2006/relationships/hyperlink" Target="http://licenciamento.cetesb.sp.gov.br/municipioss.asp?muni=SANTO%20ANT%C3%94NIO%20DA%20ALEGRIA" TargetMode="External"/><Relationship Id="rId54" Type="http://schemas.openxmlformats.org/officeDocument/2006/relationships/hyperlink" Target="http://licenciamento.cetesb.sp.gov.br/municipioss.asp?muni=BANANAL" TargetMode="External"/><Relationship Id="rId96" Type="http://schemas.openxmlformats.org/officeDocument/2006/relationships/hyperlink" Target="http://licenciamento.cetesb.sp.gov.br/municipioss.asp?muni=CACONDE" TargetMode="External"/><Relationship Id="rId161" Type="http://schemas.openxmlformats.org/officeDocument/2006/relationships/hyperlink" Target="http://licenciamento.cetesb.sp.gov.br/municipioss.asp?muni=ECHAPOR%C3%83" TargetMode="External"/><Relationship Id="rId217" Type="http://schemas.openxmlformats.org/officeDocument/2006/relationships/hyperlink" Target="http://licenciamento.cetesb.sp.gov.br/municipioss.asp?muni=IBIR%C3%81" TargetMode="External"/><Relationship Id="rId399" Type="http://schemas.openxmlformats.org/officeDocument/2006/relationships/hyperlink" Target="http://licenciamento.cetesb.sp.gov.br/municipioss.asp?muni=PATROC%C3%8DNIO%20PAULISTA" TargetMode="External"/><Relationship Id="rId564" Type="http://schemas.openxmlformats.org/officeDocument/2006/relationships/hyperlink" Target="http://licenciamento.cetesb.sp.gov.br/municipioss.asp?muni=SILVEIRAS" TargetMode="External"/><Relationship Id="rId259" Type="http://schemas.openxmlformats.org/officeDocument/2006/relationships/hyperlink" Target="http://licenciamento.cetesb.sp.gov.br/municipioss.asp?muni=ITAQUAQUECETUBA" TargetMode="External"/><Relationship Id="rId424" Type="http://schemas.openxmlformats.org/officeDocument/2006/relationships/hyperlink" Target="http://licenciamento.cetesb.sp.gov.br/municipioss.asp?muni=PIRACICABA" TargetMode="External"/><Relationship Id="rId466" Type="http://schemas.openxmlformats.org/officeDocument/2006/relationships/hyperlink" Target="http://licenciamento.cetesb.sp.gov.br/municipioss.asp?muni=REGIN%C3%93POLIS" TargetMode="External"/><Relationship Id="rId631" Type="http://schemas.openxmlformats.org/officeDocument/2006/relationships/hyperlink" Target="http://licenciamento.cetesb.sp.gov.br/municipioss.asp?muni=FLOR%C3%8DNEA" TargetMode="External"/><Relationship Id="rId23" Type="http://schemas.openxmlformats.org/officeDocument/2006/relationships/hyperlink" Target="http://licenciamento.cetesb.sp.gov.br/municipioss.asp?muni=ANAL%C3%82NDIA" TargetMode="External"/><Relationship Id="rId119" Type="http://schemas.openxmlformats.org/officeDocument/2006/relationships/hyperlink" Target="http://licenciamento.cetesb.sp.gov.br/municipioss.asp?muni=CARAPICU%C3%8DBA" TargetMode="External"/><Relationship Id="rId270" Type="http://schemas.openxmlformats.org/officeDocument/2006/relationships/hyperlink" Target="http://licenciamento.cetesb.sp.gov.br/municipioss.asp?muni=JABORANDI" TargetMode="External"/><Relationship Id="rId326" Type="http://schemas.openxmlformats.org/officeDocument/2006/relationships/hyperlink" Target="http://licenciamento.cetesb.sp.gov.br/municipioss.asp?muni=MENDON%C3%87A" TargetMode="External"/><Relationship Id="rId533" Type="http://schemas.openxmlformats.org/officeDocument/2006/relationships/hyperlink" Target="http://licenciamento.cetesb.sp.gov.br/municipioss.asp?muni=S%C3%83O%20CARLOS" TargetMode="External"/><Relationship Id="rId65" Type="http://schemas.openxmlformats.org/officeDocument/2006/relationships/hyperlink" Target="http://licenciamento.cetesb.sp.gov.br/municipioss.asp?muni=BATATAIS" TargetMode="External"/><Relationship Id="rId130" Type="http://schemas.openxmlformats.org/officeDocument/2006/relationships/hyperlink" Target="http://licenciamento.cetesb.sp.gov.br/municipioss.asp?muni=CHARQUEADA" TargetMode="External"/><Relationship Id="rId368" Type="http://schemas.openxmlformats.org/officeDocument/2006/relationships/hyperlink" Target="http://licenciamento.cetesb.sp.gov.br/municipioss.asp?muni=NOVA%20LUZIT%C3%82NIA" TargetMode="External"/><Relationship Id="rId575" Type="http://schemas.openxmlformats.org/officeDocument/2006/relationships/hyperlink" Target="http://licenciamento.cetesb.sp.gov.br/municipioss.asp?muni=TAGUA%C3%8D" TargetMode="External"/><Relationship Id="rId172" Type="http://schemas.openxmlformats.org/officeDocument/2006/relationships/hyperlink" Target="http://licenciamento.cetesb.sp.gov.br/municipioss.asp?muni=EUCLIDES%20DA%20CUNHA%20PAULISTA" TargetMode="External"/><Relationship Id="rId228" Type="http://schemas.openxmlformats.org/officeDocument/2006/relationships/hyperlink" Target="http://licenciamento.cetesb.sp.gov.br/municipioss.asp?muni=ILHA%20SOLTEIRA" TargetMode="External"/><Relationship Id="rId435" Type="http://schemas.openxmlformats.org/officeDocument/2006/relationships/hyperlink" Target="http://licenciamento.cetesb.sp.gov.br/municipioss.asp?muni=PO%C3%81" TargetMode="External"/><Relationship Id="rId477" Type="http://schemas.openxmlformats.org/officeDocument/2006/relationships/hyperlink" Target="http://licenciamento.cetesb.sp.gov.br/municipioss.asp?muni=RIBEIR%C3%83O%20PRETO" TargetMode="External"/><Relationship Id="rId600" Type="http://schemas.openxmlformats.org/officeDocument/2006/relationships/hyperlink" Target="http://licenciamento.cetesb.sp.gov.br/municipioss.asp?muni=TUIUTI" TargetMode="External"/><Relationship Id="rId642" Type="http://schemas.openxmlformats.org/officeDocument/2006/relationships/hyperlink" Target="http://licenciamento.cetesb.sp.gov.br/municipioss.asp?muni=PARIQUERA-A%C3%87U" TargetMode="External"/><Relationship Id="rId281" Type="http://schemas.openxmlformats.org/officeDocument/2006/relationships/hyperlink" Target="http://licenciamento.cetesb.sp.gov.br/municipioss.asp?muni=JA%C3%9A" TargetMode="External"/><Relationship Id="rId337" Type="http://schemas.openxmlformats.org/officeDocument/2006/relationships/hyperlink" Target="http://licenciamento.cetesb.sp.gov.br/municipioss.asp?muni=MOCOCA" TargetMode="External"/><Relationship Id="rId502" Type="http://schemas.openxmlformats.org/officeDocument/2006/relationships/hyperlink" Target="http://licenciamento.cetesb.sp.gov.br/municipioss.asp?muni=SANTA%20ALBERTINA" TargetMode="External"/><Relationship Id="rId34" Type="http://schemas.openxmlformats.org/officeDocument/2006/relationships/hyperlink" Target="http://licenciamento.cetesb.sp.gov.br/municipioss.asp?muni=ARANDU" TargetMode="External"/><Relationship Id="rId76" Type="http://schemas.openxmlformats.org/officeDocument/2006/relationships/hyperlink" Target="http://licenciamento.cetesb.sp.gov.br/municipioss.asp?muni=BOITUVA" TargetMode="External"/><Relationship Id="rId141" Type="http://schemas.openxmlformats.org/officeDocument/2006/relationships/hyperlink" Target="http://licenciamento.cetesb.sp.gov.br/municipioss.asp?muni=COSM%C3%93POLIS" TargetMode="External"/><Relationship Id="rId379" Type="http://schemas.openxmlformats.org/officeDocument/2006/relationships/hyperlink" Target="http://licenciamento.cetesb.sp.gov.br/municipioss.asp?muni=ORL%C3%82NDIA" TargetMode="External"/><Relationship Id="rId544" Type="http://schemas.openxmlformats.org/officeDocument/2006/relationships/hyperlink" Target="http://licenciamento.cetesb.sp.gov.br/municipioss.asp?muni=S%C3%83O%20LOUREN%C3%87O%20DA%20SERRA" TargetMode="External"/><Relationship Id="rId586" Type="http://schemas.openxmlformats.org/officeDocument/2006/relationships/hyperlink" Target="http://licenciamento.cetesb.sp.gov.br/municipioss.asp?muni=TARABAI" TargetMode="External"/><Relationship Id="rId7" Type="http://schemas.openxmlformats.org/officeDocument/2006/relationships/hyperlink" Target="http://licenciamento.cetesb.sp.gov.br/municipioss.asp?muni=%C3%81GUAS%20DE%20S%C3%83O%20PEDRO" TargetMode="External"/><Relationship Id="rId183" Type="http://schemas.openxmlformats.org/officeDocument/2006/relationships/hyperlink" Target="http://licenciamento.cetesb.sp.gov.br/municipioss.asp?muni=FRANCO%20DA%20ROCHA" TargetMode="External"/><Relationship Id="rId239" Type="http://schemas.openxmlformats.org/officeDocument/2006/relationships/hyperlink" Target="http://licenciamento.cetesb.sp.gov.br/municipioss.asp?muni=IPU%C3%83" TargetMode="External"/><Relationship Id="rId390" Type="http://schemas.openxmlformats.org/officeDocument/2006/relationships/hyperlink" Target="http://licenciamento.cetesb.sp.gov.br/municipioss.asp?muni=PANORAMA" TargetMode="External"/><Relationship Id="rId404" Type="http://schemas.openxmlformats.org/officeDocument/2006/relationships/hyperlink" Target="http://licenciamento.cetesb.sp.gov.br/municipioss.asp?muni=PEDERNEIRAS" TargetMode="External"/><Relationship Id="rId446" Type="http://schemas.openxmlformats.org/officeDocument/2006/relationships/hyperlink" Target="http://licenciamento.cetesb.sp.gov.br/municipioss.asp?muni=POTIM" TargetMode="External"/><Relationship Id="rId611" Type="http://schemas.openxmlformats.org/officeDocument/2006/relationships/hyperlink" Target="http://licenciamento.cetesb.sp.gov.br/municipioss.asp?muni=URU" TargetMode="External"/><Relationship Id="rId250" Type="http://schemas.openxmlformats.org/officeDocument/2006/relationships/hyperlink" Target="http://licenciamento.cetesb.sp.gov.br/municipioss.asp?muni=ITAPETININGA" TargetMode="External"/><Relationship Id="rId292" Type="http://schemas.openxmlformats.org/officeDocument/2006/relationships/hyperlink" Target="http://licenciamento.cetesb.sp.gov.br/municipioss.asp?muni=LAGOINHA" TargetMode="External"/><Relationship Id="rId306" Type="http://schemas.openxmlformats.org/officeDocument/2006/relationships/hyperlink" Target="http://licenciamento.cetesb.sp.gov.br/municipioss.asp?muni=LU%C3%8DS%20ANT%C3%94NIO" TargetMode="External"/><Relationship Id="rId488" Type="http://schemas.openxmlformats.org/officeDocument/2006/relationships/hyperlink" Target="http://licenciamento.cetesb.sp.gov.br/municipioss.asp?muni=RUBI%C3%81CEA" TargetMode="External"/><Relationship Id="rId45" Type="http://schemas.openxmlformats.org/officeDocument/2006/relationships/hyperlink" Target="http://licenciamento.cetesb.sp.gov.br/municipioss.asp?muni=ASSIS" TargetMode="External"/><Relationship Id="rId87" Type="http://schemas.openxmlformats.org/officeDocument/2006/relationships/hyperlink" Target="http://licenciamento.cetesb.sp.gov.br/municipioss.asp?muni=BRODOWSKI" TargetMode="External"/><Relationship Id="rId110" Type="http://schemas.openxmlformats.org/officeDocument/2006/relationships/hyperlink" Target="http://licenciamento.cetesb.sp.gov.br/municipioss.asp?muni=CANAN%C3%89IA" TargetMode="External"/><Relationship Id="rId348" Type="http://schemas.openxmlformats.org/officeDocument/2006/relationships/hyperlink" Target="http://licenciamento.cetesb.sp.gov.br/municipioss.asp?muni=MONTEIRO%20LOBATO" TargetMode="External"/><Relationship Id="rId513" Type="http://schemas.openxmlformats.org/officeDocument/2006/relationships/hyperlink" Target="http://licenciamento.cetesb.sp.gov.br/municipioss.asp?muni=SANTA%20MARIA%20DA%20SERRA" TargetMode="External"/><Relationship Id="rId555" Type="http://schemas.openxmlformats.org/officeDocument/2006/relationships/hyperlink" Target="http://licenciamento.cetesb.sp.gov.br/municipioss.asp?muni=SARAPU%C3%8D" TargetMode="External"/><Relationship Id="rId597" Type="http://schemas.openxmlformats.org/officeDocument/2006/relationships/hyperlink" Target="http://licenciamento.cetesb.sp.gov.br/municipioss.asp?muni=TRABIJU" TargetMode="External"/><Relationship Id="rId152" Type="http://schemas.openxmlformats.org/officeDocument/2006/relationships/hyperlink" Target="http://licenciamento.cetesb.sp.gov.br/municipioss.asp?muni=DIRCE%20REIS" TargetMode="External"/><Relationship Id="rId194" Type="http://schemas.openxmlformats.org/officeDocument/2006/relationships/hyperlink" Target="http://licenciamento.cetesb.sp.gov.br/municipioss.asp?muni=GUA%C3%8DRA" TargetMode="External"/><Relationship Id="rId208" Type="http://schemas.openxmlformats.org/officeDocument/2006/relationships/hyperlink" Target="http://licenciamento.cetesb.sp.gov.br/municipioss.asp?muni=GUATAPAR%C3%81" TargetMode="External"/><Relationship Id="rId415" Type="http://schemas.openxmlformats.org/officeDocument/2006/relationships/hyperlink" Target="http://licenciamento.cetesb.sp.gov.br/municipioss.asp?muni=PIACATU" TargetMode="External"/><Relationship Id="rId457" Type="http://schemas.openxmlformats.org/officeDocument/2006/relationships/hyperlink" Target="http://licenciamento.cetesb.sp.gov.br/municipioss.asp?muni=QUADRA" TargetMode="External"/><Relationship Id="rId622" Type="http://schemas.openxmlformats.org/officeDocument/2006/relationships/hyperlink" Target="http://licenciamento.cetesb.sp.gov.br/municipioss.asp?muni=VISTA%20ALEGRE%20DO%20ALTO" TargetMode="External"/><Relationship Id="rId261" Type="http://schemas.openxmlformats.org/officeDocument/2006/relationships/hyperlink" Target="http://licenciamento.cetesb.sp.gov.br/municipioss.asp?muni=ITARIRI" TargetMode="External"/><Relationship Id="rId499" Type="http://schemas.openxmlformats.org/officeDocument/2006/relationships/hyperlink" Target="http://licenciamento.cetesb.sp.gov.br/municipioss.asp?muni=SALTO%20GRANDE" TargetMode="External"/><Relationship Id="rId14" Type="http://schemas.openxmlformats.org/officeDocument/2006/relationships/hyperlink" Target="http://licenciamento.cetesb.sp.gov.br/municipioss.asp?muni=ALUM%C3%8DNIO" TargetMode="External"/><Relationship Id="rId56" Type="http://schemas.openxmlformats.org/officeDocument/2006/relationships/hyperlink" Target="http://licenciamento.cetesb.sp.gov.br/municipioss.asp?muni=BARBOSA" TargetMode="External"/><Relationship Id="rId317" Type="http://schemas.openxmlformats.org/officeDocument/2006/relationships/hyperlink" Target="http://licenciamento.cetesb.sp.gov.br/municipioss.asp?muni=MARAB%C3%81%20PAULISTA" TargetMode="External"/><Relationship Id="rId359" Type="http://schemas.openxmlformats.org/officeDocument/2006/relationships/hyperlink" Target="http://licenciamento.cetesb.sp.gov.br/municipioss.asp?muni=NIPO%C3%83" TargetMode="External"/><Relationship Id="rId524" Type="http://schemas.openxmlformats.org/officeDocument/2006/relationships/hyperlink" Target="http://licenciamento.cetesb.sp.gov.br/municipioss.asp?muni=SANTO%20ANT%C3%94NIO%20DO%20ARACANGU%C3%81" TargetMode="External"/><Relationship Id="rId566" Type="http://schemas.openxmlformats.org/officeDocument/2006/relationships/hyperlink" Target="http://licenciamento.cetesb.sp.gov.br/municipioss.asp?muni=SOROCABA" TargetMode="External"/><Relationship Id="rId98" Type="http://schemas.openxmlformats.org/officeDocument/2006/relationships/hyperlink" Target="http://licenciamento.cetesb.sp.gov.br/municipioss.asp?muni=CAIABU" TargetMode="External"/><Relationship Id="rId121" Type="http://schemas.openxmlformats.org/officeDocument/2006/relationships/hyperlink" Target="http://licenciamento.cetesb.sp.gov.br/municipioss.asp?muni=CASA%20BRANCA" TargetMode="External"/><Relationship Id="rId163" Type="http://schemas.openxmlformats.org/officeDocument/2006/relationships/hyperlink" Target="http://licenciamento.cetesb.sp.gov.br/municipioss.asp?muni=ELIAS%20FAUSTO" TargetMode="External"/><Relationship Id="rId219" Type="http://schemas.openxmlformats.org/officeDocument/2006/relationships/hyperlink" Target="http://licenciamento.cetesb.sp.gov.br/municipioss.asp?muni=IBITINGA" TargetMode="External"/><Relationship Id="rId370" Type="http://schemas.openxmlformats.org/officeDocument/2006/relationships/hyperlink" Target="http://licenciamento.cetesb.sp.gov.br/municipioss.asp?muni=NOVAIS" TargetMode="External"/><Relationship Id="rId426" Type="http://schemas.openxmlformats.org/officeDocument/2006/relationships/hyperlink" Target="http://licenciamento.cetesb.sp.gov.br/municipioss.asp?muni=PIRAJU%C3%8D" TargetMode="External"/><Relationship Id="rId633" Type="http://schemas.openxmlformats.org/officeDocument/2006/relationships/hyperlink" Target="http://licenciamento.cetesb.sp.gov.br/municipioss.asp?muni=MOGI%20DAS%20CRUZES" TargetMode="External"/><Relationship Id="rId230" Type="http://schemas.openxmlformats.org/officeDocument/2006/relationships/hyperlink" Target="http://licenciamento.cetesb.sp.gov.br/municipioss.asp?muni=INDAIATUBA" TargetMode="External"/><Relationship Id="rId468" Type="http://schemas.openxmlformats.org/officeDocument/2006/relationships/hyperlink" Target="http://licenciamento.cetesb.sp.gov.br/municipioss.asp?muni=RESTINGA" TargetMode="External"/><Relationship Id="rId25" Type="http://schemas.openxmlformats.org/officeDocument/2006/relationships/hyperlink" Target="http://licenciamento.cetesb.sp.gov.br/municipioss.asp?muni=ANGATUBA" TargetMode="External"/><Relationship Id="rId67" Type="http://schemas.openxmlformats.org/officeDocument/2006/relationships/hyperlink" Target="http://licenciamento.cetesb.sp.gov.br/municipioss.asp?muni=BEBEDOURO" TargetMode="External"/><Relationship Id="rId272" Type="http://schemas.openxmlformats.org/officeDocument/2006/relationships/hyperlink" Target="http://licenciamento.cetesb.sp.gov.br/municipioss.asp?muni=JACARE%C3%8D" TargetMode="External"/><Relationship Id="rId328" Type="http://schemas.openxmlformats.org/officeDocument/2006/relationships/hyperlink" Target="http://licenciamento.cetesb.sp.gov.br/municipioss.asp?muni=MES%C3%93POLIS" TargetMode="External"/><Relationship Id="rId535" Type="http://schemas.openxmlformats.org/officeDocument/2006/relationships/hyperlink" Target="http://licenciamento.cetesb.sp.gov.br/municipioss.asp?muni=S%C3%83O%20JO%C3%83O%20DA%20BOA%20VISTA" TargetMode="External"/><Relationship Id="rId577" Type="http://schemas.openxmlformats.org/officeDocument/2006/relationships/hyperlink" Target="http://licenciamento.cetesb.sp.gov.br/municipioss.asp?muni=TAI%C3%9AVA" TargetMode="External"/><Relationship Id="rId132" Type="http://schemas.openxmlformats.org/officeDocument/2006/relationships/hyperlink" Target="http://licenciamento.cetesb.sp.gov.br/municipioss.asp?muni=CLEMENTINA" TargetMode="External"/><Relationship Id="rId174" Type="http://schemas.openxmlformats.org/officeDocument/2006/relationships/hyperlink" Target="http://licenciamento.cetesb.sp.gov.br/municipioss.asp?muni=FERNANDO%20PRESTES" TargetMode="External"/><Relationship Id="rId381" Type="http://schemas.openxmlformats.org/officeDocument/2006/relationships/hyperlink" Target="http://licenciamento.cetesb.sp.gov.br/municipioss.asp?muni=OSCAR%20BRESSANE" TargetMode="External"/><Relationship Id="rId602" Type="http://schemas.openxmlformats.org/officeDocument/2006/relationships/hyperlink" Target="http://licenciamento.cetesb.sp.gov.br/municipioss.asp?muni=TUPI%20PAULISTA" TargetMode="External"/><Relationship Id="rId241" Type="http://schemas.openxmlformats.org/officeDocument/2006/relationships/hyperlink" Target="http://licenciamento.cetesb.sp.gov.br/municipioss.asp?muni=IRAPU%C3%83" TargetMode="External"/><Relationship Id="rId437" Type="http://schemas.openxmlformats.org/officeDocument/2006/relationships/hyperlink" Target="http://licenciamento.cetesb.sp.gov.br/municipioss.asp?muni=POMP%C3%89IA" TargetMode="External"/><Relationship Id="rId479" Type="http://schemas.openxmlformats.org/officeDocument/2006/relationships/hyperlink" Target="http://licenciamento.cetesb.sp.gov.br/municipioss.asp?muni=RINC%C3%83O" TargetMode="External"/><Relationship Id="rId644" Type="http://schemas.openxmlformats.org/officeDocument/2006/relationships/printerSettings" Target="../printerSettings/printerSettings1.bin"/><Relationship Id="rId36" Type="http://schemas.openxmlformats.org/officeDocument/2006/relationships/hyperlink" Target="http://licenciamento.cetesb.sp.gov.br/municipioss.asp?muni=ARARAQUARA" TargetMode="External"/><Relationship Id="rId283" Type="http://schemas.openxmlformats.org/officeDocument/2006/relationships/hyperlink" Target="http://licenciamento.cetesb.sp.gov.br/municipioss.asp?muni=JOAN%C3%93POLIS" TargetMode="External"/><Relationship Id="rId339" Type="http://schemas.openxmlformats.org/officeDocument/2006/relationships/hyperlink" Target="http://licenciamento.cetesb.sp.gov.br/municipioss.asp?muni=MOMBUCA" TargetMode="External"/><Relationship Id="rId490" Type="http://schemas.openxmlformats.org/officeDocument/2006/relationships/hyperlink" Target="http://licenciamento.cetesb.sp.gov.br/municipioss.asp?muni=SABINO" TargetMode="External"/><Relationship Id="rId504" Type="http://schemas.openxmlformats.org/officeDocument/2006/relationships/hyperlink" Target="http://licenciamento.cetesb.sp.gov.br/municipioss.asp?muni=SANTA%20CRUZ%20DA%20CONCEI%C3%87%C3%83O" TargetMode="External"/><Relationship Id="rId546" Type="http://schemas.openxmlformats.org/officeDocument/2006/relationships/hyperlink" Target="http://licenciamento.cetesb.sp.gov.br/municipioss.asp?muni=S%C3%83O%20MANUEL" TargetMode="External"/><Relationship Id="rId78" Type="http://schemas.openxmlformats.org/officeDocument/2006/relationships/hyperlink" Target="http://licenciamento.cetesb.sp.gov.br/municipioss.asp?muni=BOM%20SUCESSO%20DE%20ITARAR%C3%89" TargetMode="External"/><Relationship Id="rId101" Type="http://schemas.openxmlformats.org/officeDocument/2006/relationships/hyperlink" Target="http://licenciamento.cetesb.sp.gov.br/municipioss.asp?muni=CAJAMAR" TargetMode="External"/><Relationship Id="rId143" Type="http://schemas.openxmlformats.org/officeDocument/2006/relationships/hyperlink" Target="http://licenciamento.cetesb.sp.gov.br/municipioss.asp?muni=COTIA" TargetMode="External"/><Relationship Id="rId185" Type="http://schemas.openxmlformats.org/officeDocument/2006/relationships/hyperlink" Target="http://licenciamento.cetesb.sp.gov.br/municipioss.asp?muni=G%C3%81LIA" TargetMode="External"/><Relationship Id="rId350" Type="http://schemas.openxmlformats.org/officeDocument/2006/relationships/hyperlink" Target="http://licenciamento.cetesb.sp.gov.br/municipioss.asp?muni=MORUNGABA" TargetMode="External"/><Relationship Id="rId406" Type="http://schemas.openxmlformats.org/officeDocument/2006/relationships/hyperlink" Target="http://licenciamento.cetesb.sp.gov.br/municipioss.asp?muni=PEDRAN%C3%93POLIS" TargetMode="External"/><Relationship Id="rId588" Type="http://schemas.openxmlformats.org/officeDocument/2006/relationships/hyperlink" Target="http://licenciamento.cetesb.sp.gov.br/municipioss.asp?muni=TATU%C3%8D" TargetMode="External"/><Relationship Id="rId9" Type="http://schemas.openxmlformats.org/officeDocument/2006/relationships/hyperlink" Target="http://licenciamento.cetesb.sp.gov.br/municipioss.asp?muni=ALAMBARI" TargetMode="External"/><Relationship Id="rId210" Type="http://schemas.openxmlformats.org/officeDocument/2006/relationships/hyperlink" Target="http://licenciamento.cetesb.sp.gov.br/municipioss.asp?muni=HERCUL%C3%82NDIA" TargetMode="External"/><Relationship Id="rId392" Type="http://schemas.openxmlformats.org/officeDocument/2006/relationships/hyperlink" Target="http://licenciamento.cetesb.sp.gov.br/municipioss.asp?muni=PARAIBUNA" TargetMode="External"/><Relationship Id="rId448" Type="http://schemas.openxmlformats.org/officeDocument/2006/relationships/hyperlink" Target="http://licenciamento.cetesb.sp.gov.br/municipioss.asp?muni=PRACINHA" TargetMode="External"/><Relationship Id="rId613" Type="http://schemas.openxmlformats.org/officeDocument/2006/relationships/hyperlink" Target="http://licenciamento.cetesb.sp.gov.br/municipioss.asp?muni=VALENTIM%20GENTIL" TargetMode="External"/><Relationship Id="rId252" Type="http://schemas.openxmlformats.org/officeDocument/2006/relationships/hyperlink" Target="http://licenciamento.cetesb.sp.gov.br/municipioss.asp?muni=ITAPEVI" TargetMode="External"/><Relationship Id="rId294" Type="http://schemas.openxmlformats.org/officeDocument/2006/relationships/hyperlink" Target="http://licenciamento.cetesb.sp.gov.br/municipioss.asp?muni=LAV%C3%8DNIA" TargetMode="External"/><Relationship Id="rId308" Type="http://schemas.openxmlformats.org/officeDocument/2006/relationships/hyperlink" Target="http://licenciamento.cetesb.sp.gov.br/municipioss.asp?muni=LUP%C3%89RCIO" TargetMode="External"/><Relationship Id="rId515" Type="http://schemas.openxmlformats.org/officeDocument/2006/relationships/hyperlink" Target="http://licenciamento.cetesb.sp.gov.br/municipioss.asp?muni=SANTA%20RITA%20DO%20PASSA%20QUATRO" TargetMode="External"/><Relationship Id="rId47" Type="http://schemas.openxmlformats.org/officeDocument/2006/relationships/hyperlink" Target="http://licenciamento.cetesb.sp.gov.br/municipioss.asp?muni=AURIFLAMA" TargetMode="External"/><Relationship Id="rId89" Type="http://schemas.openxmlformats.org/officeDocument/2006/relationships/hyperlink" Target="http://licenciamento.cetesb.sp.gov.br/municipioss.asp?muni=BURI" TargetMode="External"/><Relationship Id="rId112" Type="http://schemas.openxmlformats.org/officeDocument/2006/relationships/hyperlink" Target="http://licenciamento.cetesb.sp.gov.br/municipioss.asp?muni=C%C3%82NDIDO%20MOTA" TargetMode="External"/><Relationship Id="rId154" Type="http://schemas.openxmlformats.org/officeDocument/2006/relationships/hyperlink" Target="http://licenciamento.cetesb.sp.gov.br/municipioss.asp?muni=DOBRADA" TargetMode="External"/><Relationship Id="rId361" Type="http://schemas.openxmlformats.org/officeDocument/2006/relationships/hyperlink" Target="http://licenciamento.cetesb.sp.gov.br/municipioss.asp?muni=NOVA%20CAMPINA" TargetMode="External"/><Relationship Id="rId557" Type="http://schemas.openxmlformats.org/officeDocument/2006/relationships/hyperlink" Target="http://licenciamento.cetesb.sp.gov.br/municipioss.asp?muni=SEBASTIAN%C3%93POLIS%20DO%20SUL" TargetMode="External"/><Relationship Id="rId599" Type="http://schemas.openxmlformats.org/officeDocument/2006/relationships/hyperlink" Target="http://licenciamento.cetesb.sp.gov.br/municipioss.asp?muni=TR%C3%8AS%20FRONTEIRAS" TargetMode="External"/><Relationship Id="rId196" Type="http://schemas.openxmlformats.org/officeDocument/2006/relationships/hyperlink" Target="http://licenciamento.cetesb.sp.gov.br/municipioss.asp?muni=GUAPIARA" TargetMode="External"/><Relationship Id="rId417" Type="http://schemas.openxmlformats.org/officeDocument/2006/relationships/hyperlink" Target="http://licenciamento.cetesb.sp.gov.br/municipioss.asp?muni=PILAR%20DO%20SUL" TargetMode="External"/><Relationship Id="rId459" Type="http://schemas.openxmlformats.org/officeDocument/2006/relationships/hyperlink" Target="http://licenciamento.cetesb.sp.gov.br/municipioss.asp?muni=QUEIROZ" TargetMode="External"/><Relationship Id="rId624" Type="http://schemas.openxmlformats.org/officeDocument/2006/relationships/hyperlink" Target="http://licenciamento.cetesb.sp.gov.br/municipioss.asp?muni=VOTORANTIM" TargetMode="External"/><Relationship Id="rId16" Type="http://schemas.openxmlformats.org/officeDocument/2006/relationships/hyperlink" Target="http://licenciamento.cetesb.sp.gov.br/municipioss.asp?muni=%C3%81LVARES%20MACHADO" TargetMode="External"/><Relationship Id="rId221" Type="http://schemas.openxmlformats.org/officeDocument/2006/relationships/hyperlink" Target="http://licenciamento.cetesb.sp.gov.br/municipioss.asp?muni=IC%C3%89M" TargetMode="External"/><Relationship Id="rId263" Type="http://schemas.openxmlformats.org/officeDocument/2006/relationships/hyperlink" Target="http://licenciamento.cetesb.sp.gov.br/municipioss.asp?muni=ITATINGA" TargetMode="External"/><Relationship Id="rId319" Type="http://schemas.openxmlformats.org/officeDocument/2006/relationships/hyperlink" Target="http://licenciamento.cetesb.sp.gov.br/municipioss.asp?muni=MARAPOAMA" TargetMode="External"/><Relationship Id="rId470" Type="http://schemas.openxmlformats.org/officeDocument/2006/relationships/hyperlink" Target="http://licenciamento.cetesb.sp.gov.br/municipioss.asp?muni=RIBEIR%C3%83O%20BONITO" TargetMode="External"/><Relationship Id="rId526" Type="http://schemas.openxmlformats.org/officeDocument/2006/relationships/hyperlink" Target="http://licenciamento.cetesb.sp.gov.br/municipioss.asp?muni=SANTO%20ANT%C3%94NIO%20DO%20PINHAL" TargetMode="External"/><Relationship Id="rId58" Type="http://schemas.openxmlformats.org/officeDocument/2006/relationships/hyperlink" Target="http://licenciamento.cetesb.sp.gov.br/municipioss.asp?muni=BARRA%20BONITA" TargetMode="External"/><Relationship Id="rId123" Type="http://schemas.openxmlformats.org/officeDocument/2006/relationships/hyperlink" Target="http://licenciamento.cetesb.sp.gov.br/municipioss.asp?muni=CASTILHO" TargetMode="External"/><Relationship Id="rId330" Type="http://schemas.openxmlformats.org/officeDocument/2006/relationships/hyperlink" Target="http://licenciamento.cetesb.sp.gov.br/municipioss.asp?muni=MINEIROS%20DO%20TIET%C3%8A" TargetMode="External"/><Relationship Id="rId568" Type="http://schemas.openxmlformats.org/officeDocument/2006/relationships/hyperlink" Target="http://licenciamento.cetesb.sp.gov.br/municipioss.asp?muni=SUMAR%C3%89" TargetMode="External"/><Relationship Id="rId165" Type="http://schemas.openxmlformats.org/officeDocument/2006/relationships/hyperlink" Target="http://licenciamento.cetesb.sp.gov.br/municipioss.asp?muni=EMBA%C3%9ABA" TargetMode="External"/><Relationship Id="rId372" Type="http://schemas.openxmlformats.org/officeDocument/2006/relationships/hyperlink" Target="http://licenciamento.cetesb.sp.gov.br/municipioss.asp?muni=NUPORANGA" TargetMode="External"/><Relationship Id="rId428" Type="http://schemas.openxmlformats.org/officeDocument/2006/relationships/hyperlink" Target="http://licenciamento.cetesb.sp.gov.br/municipioss.asp?muni=PIRAPORA%20DO%20BOM%20JESUS" TargetMode="External"/><Relationship Id="rId635" Type="http://schemas.openxmlformats.org/officeDocument/2006/relationships/hyperlink" Target="http://licenciamento.cetesb.sp.gov.br/municipioss.asp?muni=SANTA%20B%C3%81RBARA%20D%C2%B4OESTE" TargetMode="External"/><Relationship Id="rId232" Type="http://schemas.openxmlformats.org/officeDocument/2006/relationships/hyperlink" Target="http://licenciamento.cetesb.sp.gov.br/municipioss.asp?muni=INDIAPOR%C3%83" TargetMode="External"/><Relationship Id="rId274" Type="http://schemas.openxmlformats.org/officeDocument/2006/relationships/hyperlink" Target="http://licenciamento.cetesb.sp.gov.br/municipioss.asp?muni=JACUPIRANGA" TargetMode="External"/><Relationship Id="rId481" Type="http://schemas.openxmlformats.org/officeDocument/2006/relationships/hyperlink" Target="http://licenciamento.cetesb.sp.gov.br/municipioss.asp?muni=RIO%20CLARO" TargetMode="External"/><Relationship Id="rId27" Type="http://schemas.openxmlformats.org/officeDocument/2006/relationships/hyperlink" Target="http://licenciamento.cetesb.sp.gov.br/municipioss.asp?muni=ANHUMAS" TargetMode="External"/><Relationship Id="rId69" Type="http://schemas.openxmlformats.org/officeDocument/2006/relationships/hyperlink" Target="http://licenciamento.cetesb.sp.gov.br/municipioss.asp?muni=BERNARDINO%20DE%20CAMPOS" TargetMode="External"/><Relationship Id="rId134" Type="http://schemas.openxmlformats.org/officeDocument/2006/relationships/hyperlink" Target="http://licenciamento.cetesb.sp.gov.br/municipioss.asp?muni=COL%C3%94MBIA" TargetMode="External"/><Relationship Id="rId537" Type="http://schemas.openxmlformats.org/officeDocument/2006/relationships/hyperlink" Target="http://licenciamento.cetesb.sp.gov.br/municipioss.asp?muni=S%C3%83O%20JO%C3%83O%20DE%20IRACEMA" TargetMode="External"/><Relationship Id="rId579" Type="http://schemas.openxmlformats.org/officeDocument/2006/relationships/hyperlink" Target="http://licenciamento.cetesb.sp.gov.br/municipioss.asp?muni=TANABI" TargetMode="External"/><Relationship Id="rId80" Type="http://schemas.openxmlformats.org/officeDocument/2006/relationships/hyperlink" Target="http://licenciamento.cetesb.sp.gov.br/municipioss.asp?muni=BORAC%C3%89IA" TargetMode="External"/><Relationship Id="rId176" Type="http://schemas.openxmlformats.org/officeDocument/2006/relationships/hyperlink" Target="http://licenciamento.cetesb.sp.gov.br/municipioss.asp?muni=FERN%C3%83O" TargetMode="External"/><Relationship Id="rId341" Type="http://schemas.openxmlformats.org/officeDocument/2006/relationships/hyperlink" Target="http://licenciamento.cetesb.sp.gov.br/municipioss.asp?muni=MONGAGU%C3%81" TargetMode="External"/><Relationship Id="rId383" Type="http://schemas.openxmlformats.org/officeDocument/2006/relationships/hyperlink" Target="http://licenciamento.cetesb.sp.gov.br/municipioss.asp?muni=OURINHOS" TargetMode="External"/><Relationship Id="rId439" Type="http://schemas.openxmlformats.org/officeDocument/2006/relationships/hyperlink" Target="http://licenciamento.cetesb.sp.gov.br/municipioss.asp?muni=PONTAL" TargetMode="External"/><Relationship Id="rId590" Type="http://schemas.openxmlformats.org/officeDocument/2006/relationships/hyperlink" Target="http://licenciamento.cetesb.sp.gov.br/municipioss.asp?muni=TEJUP%C3%81" TargetMode="External"/><Relationship Id="rId604" Type="http://schemas.openxmlformats.org/officeDocument/2006/relationships/hyperlink" Target="http://licenciamento.cetesb.sp.gov.br/municipioss.asp?muni=TURMALINA" TargetMode="External"/><Relationship Id="rId201" Type="http://schemas.openxmlformats.org/officeDocument/2006/relationships/hyperlink" Target="http://licenciamento.cetesb.sp.gov.br/municipioss.asp?muni=GUARARAPES" TargetMode="External"/><Relationship Id="rId243" Type="http://schemas.openxmlformats.org/officeDocument/2006/relationships/hyperlink" Target="http://licenciamento.cetesb.sp.gov.br/municipioss.asp?muni=ITABER%C3%81" TargetMode="External"/><Relationship Id="rId285" Type="http://schemas.openxmlformats.org/officeDocument/2006/relationships/hyperlink" Target="http://licenciamento.cetesb.sp.gov.br/municipioss.asp?muni=JOS%C3%89%20BONIF%C3%81CIO" TargetMode="External"/><Relationship Id="rId450" Type="http://schemas.openxmlformats.org/officeDocument/2006/relationships/hyperlink" Target="http://licenciamento.cetesb.sp.gov.br/municipioss.asp?muni=PRAIA%20GRANDE" TargetMode="External"/><Relationship Id="rId506" Type="http://schemas.openxmlformats.org/officeDocument/2006/relationships/hyperlink" Target="http://licenciamento.cetesb.sp.gov.br/municipioss.asp?muni=SANTA%20CRUZ%20DAS%20PALMEIRAS" TargetMode="External"/><Relationship Id="rId38" Type="http://schemas.openxmlformats.org/officeDocument/2006/relationships/hyperlink" Target="http://licenciamento.cetesb.sp.gov.br/municipioss.asp?muni=AREALVA" TargetMode="External"/><Relationship Id="rId103" Type="http://schemas.openxmlformats.org/officeDocument/2006/relationships/hyperlink" Target="http://licenciamento.cetesb.sp.gov.br/municipioss.asp?muni=CAJOBI" TargetMode="External"/><Relationship Id="rId310" Type="http://schemas.openxmlformats.org/officeDocument/2006/relationships/hyperlink" Target="http://licenciamento.cetesb.sp.gov.br/municipioss.asp?muni=MACATUBA" TargetMode="External"/><Relationship Id="rId492" Type="http://schemas.openxmlformats.org/officeDocument/2006/relationships/hyperlink" Target="http://licenciamento.cetesb.sp.gov.br/municipioss.asp?muni=SALES" TargetMode="External"/><Relationship Id="rId548" Type="http://schemas.openxmlformats.org/officeDocument/2006/relationships/hyperlink" Target="http://licenciamento.cetesb.sp.gov.br/municipioss.asp?muni=S%C3%83O%20PEDRO" TargetMode="External"/><Relationship Id="rId91" Type="http://schemas.openxmlformats.org/officeDocument/2006/relationships/hyperlink" Target="http://licenciamento.cetesb.sp.gov.br/municipioss.asp?muni=BURITIZAL" TargetMode="External"/><Relationship Id="rId145" Type="http://schemas.openxmlformats.org/officeDocument/2006/relationships/hyperlink" Target="http://licenciamento.cetesb.sp.gov.br/municipioss.asp?muni=CRISTAIS%20PAULISTA" TargetMode="External"/><Relationship Id="rId187" Type="http://schemas.openxmlformats.org/officeDocument/2006/relationships/hyperlink" Target="http://licenciamento.cetesb.sp.gov.br/municipioss.asp?muni=GAST%C3%83O%20VIDIGAL" TargetMode="External"/><Relationship Id="rId352" Type="http://schemas.openxmlformats.org/officeDocument/2006/relationships/hyperlink" Target="http://licenciamento.cetesb.sp.gov.br/municipioss.asp?muni=MURUTINGA%20DO%20SUL" TargetMode="External"/><Relationship Id="rId394" Type="http://schemas.openxmlformats.org/officeDocument/2006/relationships/hyperlink" Target="http://licenciamento.cetesb.sp.gov.br/municipioss.asp?muni=PARANAPANEMA" TargetMode="External"/><Relationship Id="rId408" Type="http://schemas.openxmlformats.org/officeDocument/2006/relationships/hyperlink" Target="http://licenciamento.cetesb.sp.gov.br/municipioss.asp?muni=PEDREIRA" TargetMode="External"/><Relationship Id="rId615" Type="http://schemas.openxmlformats.org/officeDocument/2006/relationships/hyperlink" Target="http://licenciamento.cetesb.sp.gov.br/municipioss.asp?muni=VALPARA%C3%8DSO" TargetMode="External"/><Relationship Id="rId1" Type="http://schemas.openxmlformats.org/officeDocument/2006/relationships/hyperlink" Target="http://licenciamento.cetesb.sp.gov.br/municipioss.asp?muni=ADAMANTINA" TargetMode="External"/><Relationship Id="rId212" Type="http://schemas.openxmlformats.org/officeDocument/2006/relationships/hyperlink" Target="http://licenciamento.cetesb.sp.gov.br/municipioss.asp?muni=HORTOL%C3%82NDIA" TargetMode="External"/><Relationship Id="rId233" Type="http://schemas.openxmlformats.org/officeDocument/2006/relationships/hyperlink" Target="http://licenciamento.cetesb.sp.gov.br/municipioss.asp?muni=IN%C3%9ABIA%20PAULISTA" TargetMode="External"/><Relationship Id="rId254" Type="http://schemas.openxmlformats.org/officeDocument/2006/relationships/hyperlink" Target="http://licenciamento.cetesb.sp.gov.br/municipioss.asp?muni=ITAPIRAPU%C3%83%20PAULISTA" TargetMode="External"/><Relationship Id="rId440" Type="http://schemas.openxmlformats.org/officeDocument/2006/relationships/hyperlink" Target="http://licenciamento.cetesb.sp.gov.br/municipioss.asp?muni=PONTALINDA" TargetMode="External"/><Relationship Id="rId28" Type="http://schemas.openxmlformats.org/officeDocument/2006/relationships/hyperlink" Target="http://licenciamento.cetesb.sp.gov.br/municipioss.asp?muni=APARECIDA" TargetMode="External"/><Relationship Id="rId49" Type="http://schemas.openxmlformats.org/officeDocument/2006/relationships/hyperlink" Target="http://licenciamento.cetesb.sp.gov.br/municipioss.asp?muni=AVANHANDAVA" TargetMode="External"/><Relationship Id="rId114" Type="http://schemas.openxmlformats.org/officeDocument/2006/relationships/hyperlink" Target="http://licenciamento.cetesb.sp.gov.br/municipioss.asp?muni=CANITAR" TargetMode="External"/><Relationship Id="rId275" Type="http://schemas.openxmlformats.org/officeDocument/2006/relationships/hyperlink" Target="http://licenciamento.cetesb.sp.gov.br/municipioss.asp?muni=JAGUARI%C3%9ANA" TargetMode="External"/><Relationship Id="rId296" Type="http://schemas.openxmlformats.org/officeDocument/2006/relationships/hyperlink" Target="http://licenciamento.cetesb.sp.gov.br/municipioss.asp?muni=LEME" TargetMode="External"/><Relationship Id="rId300" Type="http://schemas.openxmlformats.org/officeDocument/2006/relationships/hyperlink" Target="http://licenciamento.cetesb.sp.gov.br/municipioss.asp?muni=LINS" TargetMode="External"/><Relationship Id="rId461" Type="http://schemas.openxmlformats.org/officeDocument/2006/relationships/hyperlink" Target="http://licenciamento.cetesb.sp.gov.br/municipioss.asp?muni=QUINTANA" TargetMode="External"/><Relationship Id="rId482" Type="http://schemas.openxmlformats.org/officeDocument/2006/relationships/hyperlink" Target="http://licenciamento.cetesb.sp.gov.br/municipioss.asp?muni=RIO%20DAS%20PEDRAS" TargetMode="External"/><Relationship Id="rId517" Type="http://schemas.openxmlformats.org/officeDocument/2006/relationships/hyperlink" Target="http://licenciamento.cetesb.sp.gov.br/municipioss.asp?muni=SANTA%20SALETE" TargetMode="External"/><Relationship Id="rId538" Type="http://schemas.openxmlformats.org/officeDocument/2006/relationships/hyperlink" Target="http://licenciamento.cetesb.sp.gov.br/municipioss.asp?muni=S%C3%83O%20JOAQUIM%20DA%20BARRA" TargetMode="External"/><Relationship Id="rId559" Type="http://schemas.openxmlformats.org/officeDocument/2006/relationships/hyperlink" Target="http://licenciamento.cetesb.sp.gov.br/municipioss.asp?muni=SERRA%20NEGRA" TargetMode="External"/><Relationship Id="rId60" Type="http://schemas.openxmlformats.org/officeDocument/2006/relationships/hyperlink" Target="http://licenciamento.cetesb.sp.gov.br/municipioss.asp?muni=BARRA%20DO%20TURVO" TargetMode="External"/><Relationship Id="rId81" Type="http://schemas.openxmlformats.org/officeDocument/2006/relationships/hyperlink" Target="http://licenciamento.cetesb.sp.gov.br/municipioss.asp?muni=BORBOREMA" TargetMode="External"/><Relationship Id="rId135" Type="http://schemas.openxmlformats.org/officeDocument/2006/relationships/hyperlink" Target="http://licenciamento.cetesb.sp.gov.br/municipioss.asp?muni=CONCHAL" TargetMode="External"/><Relationship Id="rId156" Type="http://schemas.openxmlformats.org/officeDocument/2006/relationships/hyperlink" Target="http://licenciamento.cetesb.sp.gov.br/municipioss.asp?muni=DOLCIN%C3%93POLIS" TargetMode="External"/><Relationship Id="rId177" Type="http://schemas.openxmlformats.org/officeDocument/2006/relationships/hyperlink" Target="http://licenciamento.cetesb.sp.gov.br/municipioss.asp?muni=FERRAZ%20DE%20VASCONCELOS" TargetMode="External"/><Relationship Id="rId198" Type="http://schemas.openxmlformats.org/officeDocument/2006/relationships/hyperlink" Target="http://licenciamento.cetesb.sp.gov.br/municipioss.asp?muni=GUARA%C3%87A%C3%8D" TargetMode="External"/><Relationship Id="rId321" Type="http://schemas.openxmlformats.org/officeDocument/2006/relationships/hyperlink" Target="http://licenciamento.cetesb.sp.gov.br/municipioss.asp?muni=MAR%C3%8DLIA" TargetMode="External"/><Relationship Id="rId342" Type="http://schemas.openxmlformats.org/officeDocument/2006/relationships/hyperlink" Target="http://licenciamento.cetesb.sp.gov.br/municipioss.asp?muni=MONTE%20ALEGRE%20DO%20SUL" TargetMode="External"/><Relationship Id="rId363" Type="http://schemas.openxmlformats.org/officeDocument/2006/relationships/hyperlink" Target="http://licenciamento.cetesb.sp.gov.br/municipioss.asp?muni=NOVA%20CASTILHO" TargetMode="External"/><Relationship Id="rId384" Type="http://schemas.openxmlformats.org/officeDocument/2006/relationships/hyperlink" Target="http://licenciamento.cetesb.sp.gov.br/municipioss.asp?muni=OURO%20VERDE" TargetMode="External"/><Relationship Id="rId419" Type="http://schemas.openxmlformats.org/officeDocument/2006/relationships/hyperlink" Target="http://licenciamento.cetesb.sp.gov.br/municipioss.asp?muni=PINDORAMA" TargetMode="External"/><Relationship Id="rId570" Type="http://schemas.openxmlformats.org/officeDocument/2006/relationships/hyperlink" Target="http://licenciamento.cetesb.sp.gov.br/municipioss.asp?muni=SUZANO" TargetMode="External"/><Relationship Id="rId591" Type="http://schemas.openxmlformats.org/officeDocument/2006/relationships/hyperlink" Target="http://licenciamento.cetesb.sp.gov.br/municipioss.asp?muni=TEODORO%20SAMPAIO" TargetMode="External"/><Relationship Id="rId605" Type="http://schemas.openxmlformats.org/officeDocument/2006/relationships/hyperlink" Target="http://licenciamento.cetesb.sp.gov.br/municipioss.asp?muni=UBARANA" TargetMode="External"/><Relationship Id="rId626" Type="http://schemas.openxmlformats.org/officeDocument/2006/relationships/hyperlink" Target="http://licenciamento.cetesb.sp.gov.br/municipioss.asp?muni=ZACARIAS" TargetMode="External"/><Relationship Id="rId202" Type="http://schemas.openxmlformats.org/officeDocument/2006/relationships/hyperlink" Target="http://licenciamento.cetesb.sp.gov.br/municipioss.asp?muni=GUARAREMA" TargetMode="External"/><Relationship Id="rId223" Type="http://schemas.openxmlformats.org/officeDocument/2006/relationships/hyperlink" Target="http://licenciamento.cetesb.sp.gov.br/municipioss.asp?muni=IGARA%C3%87U%20DO%20TIET%C3%8A" TargetMode="External"/><Relationship Id="rId244" Type="http://schemas.openxmlformats.org/officeDocument/2006/relationships/hyperlink" Target="http://licenciamento.cetesb.sp.gov.br/municipioss.asp?muni=ITA%C3%8D" TargetMode="External"/><Relationship Id="rId430" Type="http://schemas.openxmlformats.org/officeDocument/2006/relationships/hyperlink" Target="http://licenciamento.cetesb.sp.gov.br/municipioss.asp?muni=PIRASSUNUNGA" TargetMode="External"/><Relationship Id="rId18" Type="http://schemas.openxmlformats.org/officeDocument/2006/relationships/hyperlink" Target="http://licenciamento.cetesb.sp.gov.br/municipioss.asp?muni=ALVINL%C3%82NDIA" TargetMode="External"/><Relationship Id="rId39" Type="http://schemas.openxmlformats.org/officeDocument/2006/relationships/hyperlink" Target="http://licenciamento.cetesb.sp.gov.br/municipioss.asp?muni=AREIAS" TargetMode="External"/><Relationship Id="rId265" Type="http://schemas.openxmlformats.org/officeDocument/2006/relationships/hyperlink" Target="http://licenciamento.cetesb.sp.gov.br/municipioss.asp?muni=ITIRAPU%C3%83" TargetMode="External"/><Relationship Id="rId286" Type="http://schemas.openxmlformats.org/officeDocument/2006/relationships/hyperlink" Target="http://licenciamento.cetesb.sp.gov.br/municipioss.asp?muni=J%C3%9ALIO%20MESQUITA" TargetMode="External"/><Relationship Id="rId451" Type="http://schemas.openxmlformats.org/officeDocument/2006/relationships/hyperlink" Target="http://licenciamento.cetesb.sp.gov.br/municipioss.asp?muni=PRAT%C3%82NIA" TargetMode="External"/><Relationship Id="rId472" Type="http://schemas.openxmlformats.org/officeDocument/2006/relationships/hyperlink" Target="http://licenciamento.cetesb.sp.gov.br/municipioss.asp?muni=RIBEIR%C3%83O%20CORRENTE" TargetMode="External"/><Relationship Id="rId493" Type="http://schemas.openxmlformats.org/officeDocument/2006/relationships/hyperlink" Target="http://licenciamento.cetesb.sp.gov.br/municipioss.asp?muni=SALES%20OLIVEIRA" TargetMode="External"/><Relationship Id="rId507" Type="http://schemas.openxmlformats.org/officeDocument/2006/relationships/hyperlink" Target="http://licenciamento.cetesb.sp.gov.br/municipioss.asp?muni=SANTA%20CRUZ%20DO%20RIO%20PARDO" TargetMode="External"/><Relationship Id="rId528" Type="http://schemas.openxmlformats.org/officeDocument/2006/relationships/hyperlink" Target="http://licenciamento.cetesb.sp.gov.br/municipioss.asp?muni=SANT%C3%93POLIS%20DO%20AGUAPE%C3%8D" TargetMode="External"/><Relationship Id="rId549" Type="http://schemas.openxmlformats.org/officeDocument/2006/relationships/hyperlink" Target="http://licenciamento.cetesb.sp.gov.br/municipioss.asp?muni=S%C3%83O%20PEDRO%20DO%20TURVO" TargetMode="External"/><Relationship Id="rId50" Type="http://schemas.openxmlformats.org/officeDocument/2006/relationships/hyperlink" Target="http://licenciamento.cetesb.sp.gov.br/municipioss.asp?muni=AVAR%C3%89" TargetMode="External"/><Relationship Id="rId104" Type="http://schemas.openxmlformats.org/officeDocument/2006/relationships/hyperlink" Target="http://licenciamento.cetesb.sp.gov.br/municipioss.asp?muni=CAJURU" TargetMode="External"/><Relationship Id="rId125" Type="http://schemas.openxmlformats.org/officeDocument/2006/relationships/hyperlink" Target="http://licenciamento.cetesb.sp.gov.br/municipioss.asp?muni=CATIGU%C3%81" TargetMode="External"/><Relationship Id="rId146" Type="http://schemas.openxmlformats.org/officeDocument/2006/relationships/hyperlink" Target="http://licenciamento.cetesb.sp.gov.br/municipioss.asp?muni=CRUZ%C3%81LIA" TargetMode="External"/><Relationship Id="rId167" Type="http://schemas.openxmlformats.org/officeDocument/2006/relationships/hyperlink" Target="http://licenciamento.cetesb.sp.gov.br/municipioss.asp?muni=ENGENHEIRO%20COELHO" TargetMode="External"/><Relationship Id="rId188" Type="http://schemas.openxmlformats.org/officeDocument/2006/relationships/hyperlink" Target="http://licenciamento.cetesb.sp.gov.br/municipioss.asp?muni=GAVI%C3%83O%20PEIXOTO" TargetMode="External"/><Relationship Id="rId311" Type="http://schemas.openxmlformats.org/officeDocument/2006/relationships/hyperlink" Target="http://licenciamento.cetesb.sp.gov.br/municipioss.asp?muni=MACAUBAL" TargetMode="External"/><Relationship Id="rId332" Type="http://schemas.openxmlformats.org/officeDocument/2006/relationships/hyperlink" Target="http://licenciamento.cetesb.sp.gov.br/municipioss.asp?muni=MIRACATU" TargetMode="External"/><Relationship Id="rId353" Type="http://schemas.openxmlformats.org/officeDocument/2006/relationships/hyperlink" Target="http://licenciamento.cetesb.sp.gov.br/municipioss.asp?muni=NANTES" TargetMode="External"/><Relationship Id="rId374" Type="http://schemas.openxmlformats.org/officeDocument/2006/relationships/hyperlink" Target="http://licenciamento.cetesb.sp.gov.br/municipioss.asp?muni=%C3%93LEO" TargetMode="External"/><Relationship Id="rId395" Type="http://schemas.openxmlformats.org/officeDocument/2006/relationships/hyperlink" Target="http://licenciamento.cetesb.sp.gov.br/municipioss.asp?muni=PARANAPU%C3%83" TargetMode="External"/><Relationship Id="rId409" Type="http://schemas.openxmlformats.org/officeDocument/2006/relationships/hyperlink" Target="http://licenciamento.cetesb.sp.gov.br/municipioss.asp?muni=PEDRINHAS%20PAULISTA" TargetMode="External"/><Relationship Id="rId560" Type="http://schemas.openxmlformats.org/officeDocument/2006/relationships/hyperlink" Target="http://licenciamento.cetesb.sp.gov.br/municipioss.asp?muni=SERRANA" TargetMode="External"/><Relationship Id="rId581" Type="http://schemas.openxmlformats.org/officeDocument/2006/relationships/hyperlink" Target="http://licenciamento.cetesb.sp.gov.br/municipioss.asp?muni=TAPIRATIBA" TargetMode="External"/><Relationship Id="rId71" Type="http://schemas.openxmlformats.org/officeDocument/2006/relationships/hyperlink" Target="http://licenciamento.cetesb.sp.gov.br/municipioss.asp?muni=BILAC" TargetMode="External"/><Relationship Id="rId92" Type="http://schemas.openxmlformats.org/officeDocument/2006/relationships/hyperlink" Target="http://licenciamento.cetesb.sp.gov.br/municipioss.asp?muni=CABR%C3%81LIA%20PAULISTA" TargetMode="External"/><Relationship Id="rId213" Type="http://schemas.openxmlformats.org/officeDocument/2006/relationships/hyperlink" Target="http://licenciamento.cetesb.sp.gov.br/municipioss.asp?muni=IACANGA" TargetMode="External"/><Relationship Id="rId234" Type="http://schemas.openxmlformats.org/officeDocument/2006/relationships/hyperlink" Target="http://licenciamento.cetesb.sp.gov.br/municipioss.asp?muni=IPAUSSU" TargetMode="External"/><Relationship Id="rId420" Type="http://schemas.openxmlformats.org/officeDocument/2006/relationships/hyperlink" Target="http://licenciamento.cetesb.sp.gov.br/municipioss.asp?muni=PINHALZINHO" TargetMode="External"/><Relationship Id="rId616" Type="http://schemas.openxmlformats.org/officeDocument/2006/relationships/hyperlink" Target="http://licenciamento.cetesb.sp.gov.br/municipioss.asp?muni=VARGEM%20GRANDE%20DO%20SUL" TargetMode="External"/><Relationship Id="rId637" Type="http://schemas.openxmlformats.org/officeDocument/2006/relationships/hyperlink" Target="http://licenciamento.cetesb.sp.gov.br/municipioss.asp?muni=SANTA%20RITA%20D%C2%B4OESTE" TargetMode="External"/><Relationship Id="rId2" Type="http://schemas.openxmlformats.org/officeDocument/2006/relationships/hyperlink" Target="http://licenciamento.cetesb.sp.gov.br/municipioss.asp?muni=ADOLFO" TargetMode="External"/><Relationship Id="rId29" Type="http://schemas.openxmlformats.org/officeDocument/2006/relationships/hyperlink" Target="http://licenciamento.cetesb.sp.gov.br/municipioss.asp?muni=APIA%C3%8D" TargetMode="External"/><Relationship Id="rId255" Type="http://schemas.openxmlformats.org/officeDocument/2006/relationships/hyperlink" Target="http://licenciamento.cetesb.sp.gov.br/municipioss.asp?muni=IT%C3%81POLIS" TargetMode="External"/><Relationship Id="rId276" Type="http://schemas.openxmlformats.org/officeDocument/2006/relationships/hyperlink" Target="http://licenciamento.cetesb.sp.gov.br/municipioss.asp?muni=JALES" TargetMode="External"/><Relationship Id="rId297" Type="http://schemas.openxmlformats.org/officeDocument/2006/relationships/hyperlink" Target="http://licenciamento.cetesb.sp.gov.br/municipioss.asp?muni=LEN%C3%87%C3%93IS%20PAULISTA" TargetMode="External"/><Relationship Id="rId441" Type="http://schemas.openxmlformats.org/officeDocument/2006/relationships/hyperlink" Target="http://licenciamento.cetesb.sp.gov.br/municipioss.asp?muni=PONTES%20GESTAL" TargetMode="External"/><Relationship Id="rId462" Type="http://schemas.openxmlformats.org/officeDocument/2006/relationships/hyperlink" Target="http://licenciamento.cetesb.sp.gov.br/municipioss.asp?muni=RAFARD" TargetMode="External"/><Relationship Id="rId483" Type="http://schemas.openxmlformats.org/officeDocument/2006/relationships/hyperlink" Target="http://licenciamento.cetesb.sp.gov.br/municipioss.asp?muni=RIO%20GRANDE%20DA%20SERRA" TargetMode="External"/><Relationship Id="rId518" Type="http://schemas.openxmlformats.org/officeDocument/2006/relationships/hyperlink" Target="http://licenciamento.cetesb.sp.gov.br/municipioss.asp?muni=SANTANA%20DA%20PONTE%20PENSA" TargetMode="External"/><Relationship Id="rId539" Type="http://schemas.openxmlformats.org/officeDocument/2006/relationships/hyperlink" Target="http://licenciamento.cetesb.sp.gov.br/municipioss.asp?muni=S%C3%83O%20JOS%C3%89%20DA%20BELA%20VISTA" TargetMode="External"/><Relationship Id="rId40" Type="http://schemas.openxmlformats.org/officeDocument/2006/relationships/hyperlink" Target="http://licenciamento.cetesb.sp.gov.br/municipioss.asp?muni=AREI%C3%93POLIS" TargetMode="External"/><Relationship Id="rId115" Type="http://schemas.openxmlformats.org/officeDocument/2006/relationships/hyperlink" Target="http://licenciamento.cetesb.sp.gov.br/municipioss.asp?muni=CAP%C3%83O%20BONITO" TargetMode="External"/><Relationship Id="rId136" Type="http://schemas.openxmlformats.org/officeDocument/2006/relationships/hyperlink" Target="http://licenciamento.cetesb.sp.gov.br/municipioss.asp?muni=CONCHAS" TargetMode="External"/><Relationship Id="rId157" Type="http://schemas.openxmlformats.org/officeDocument/2006/relationships/hyperlink" Target="http://licenciamento.cetesb.sp.gov.br/municipioss.asp?muni=DOURADO" TargetMode="External"/><Relationship Id="rId178" Type="http://schemas.openxmlformats.org/officeDocument/2006/relationships/hyperlink" Target="http://licenciamento.cetesb.sp.gov.br/municipioss.asp?muni=FLORA%20RICA" TargetMode="External"/><Relationship Id="rId301" Type="http://schemas.openxmlformats.org/officeDocument/2006/relationships/hyperlink" Target="http://licenciamento.cetesb.sp.gov.br/municipioss.asp?muni=LORENA" TargetMode="External"/><Relationship Id="rId322" Type="http://schemas.openxmlformats.org/officeDocument/2006/relationships/hyperlink" Target="http://licenciamento.cetesb.sp.gov.br/municipioss.asp?muni=MARIN%C3%93POLIS" TargetMode="External"/><Relationship Id="rId343" Type="http://schemas.openxmlformats.org/officeDocument/2006/relationships/hyperlink" Target="http://licenciamento.cetesb.sp.gov.br/municipioss.asp?muni=MONTE%20ALTO" TargetMode="External"/><Relationship Id="rId364" Type="http://schemas.openxmlformats.org/officeDocument/2006/relationships/hyperlink" Target="http://licenciamento.cetesb.sp.gov.br/municipioss.asp?muni=NOVA%20EUROPA" TargetMode="External"/><Relationship Id="rId550" Type="http://schemas.openxmlformats.org/officeDocument/2006/relationships/hyperlink" Target="http://licenciamento.cetesb.sp.gov.br/municipioss.asp?muni=S%C3%83O%20ROQUE" TargetMode="External"/><Relationship Id="rId61" Type="http://schemas.openxmlformats.org/officeDocument/2006/relationships/hyperlink" Target="http://licenciamento.cetesb.sp.gov.br/municipioss.asp?muni=BARRETOS" TargetMode="External"/><Relationship Id="rId82" Type="http://schemas.openxmlformats.org/officeDocument/2006/relationships/hyperlink" Target="http://licenciamento.cetesb.sp.gov.br/municipioss.asp?muni=BOREBI" TargetMode="External"/><Relationship Id="rId199" Type="http://schemas.openxmlformats.org/officeDocument/2006/relationships/hyperlink" Target="http://licenciamento.cetesb.sp.gov.br/municipioss.asp?muni=GUARACI" TargetMode="External"/><Relationship Id="rId203" Type="http://schemas.openxmlformats.org/officeDocument/2006/relationships/hyperlink" Target="http://licenciamento.cetesb.sp.gov.br/municipioss.asp?muni=GUARATINGUET%C3%81" TargetMode="External"/><Relationship Id="rId385" Type="http://schemas.openxmlformats.org/officeDocument/2006/relationships/hyperlink" Target="http://licenciamento.cetesb.sp.gov.br/municipioss.asp?muni=OUROESTE" TargetMode="External"/><Relationship Id="rId571" Type="http://schemas.openxmlformats.org/officeDocument/2006/relationships/hyperlink" Target="http://licenciamento.cetesb.sp.gov.br/municipioss.asp?muni=TABAPU%C3%83" TargetMode="External"/><Relationship Id="rId592" Type="http://schemas.openxmlformats.org/officeDocument/2006/relationships/hyperlink" Target="http://licenciamento.cetesb.sp.gov.br/municipioss.asp?muni=TERRA%20ROXA" TargetMode="External"/><Relationship Id="rId606" Type="http://schemas.openxmlformats.org/officeDocument/2006/relationships/hyperlink" Target="http://licenciamento.cetesb.sp.gov.br/municipioss.asp?muni=UBATUBA" TargetMode="External"/><Relationship Id="rId627" Type="http://schemas.openxmlformats.org/officeDocument/2006/relationships/hyperlink" Target="http://licenciamento.cetesb.sp.gov.br/municipioss.asp?muni=APARECIDA%20D%60OESTE" TargetMode="External"/><Relationship Id="rId19" Type="http://schemas.openxmlformats.org/officeDocument/2006/relationships/hyperlink" Target="http://licenciamento.cetesb.sp.gov.br/municipioss.asp?muni=AMERICANA" TargetMode="External"/><Relationship Id="rId224" Type="http://schemas.openxmlformats.org/officeDocument/2006/relationships/hyperlink" Target="http://licenciamento.cetesb.sp.gov.br/municipioss.asp?muni=IGARAPAVA" TargetMode="External"/><Relationship Id="rId245" Type="http://schemas.openxmlformats.org/officeDocument/2006/relationships/hyperlink" Target="http://licenciamento.cetesb.sp.gov.br/municipioss.asp?muni=ITAJOBI" TargetMode="External"/><Relationship Id="rId266" Type="http://schemas.openxmlformats.org/officeDocument/2006/relationships/hyperlink" Target="http://licenciamento.cetesb.sp.gov.br/municipioss.asp?muni=ITOBI" TargetMode="External"/><Relationship Id="rId287" Type="http://schemas.openxmlformats.org/officeDocument/2006/relationships/hyperlink" Target="http://licenciamento.cetesb.sp.gov.br/municipioss.asp?muni=JUMIRIM" TargetMode="External"/><Relationship Id="rId410" Type="http://schemas.openxmlformats.org/officeDocument/2006/relationships/hyperlink" Target="http://licenciamento.cetesb.sp.gov.br/municipioss.asp?muni=PEDRO%20DE%20TOLEDO" TargetMode="External"/><Relationship Id="rId431" Type="http://schemas.openxmlformats.org/officeDocument/2006/relationships/hyperlink" Target="http://licenciamento.cetesb.sp.gov.br/municipioss.asp?muni=PIRATININGA" TargetMode="External"/><Relationship Id="rId452" Type="http://schemas.openxmlformats.org/officeDocument/2006/relationships/hyperlink" Target="http://licenciamento.cetesb.sp.gov.br/municipioss.asp?muni=PRESIDENTE%20ALVES" TargetMode="External"/><Relationship Id="rId473" Type="http://schemas.openxmlformats.org/officeDocument/2006/relationships/hyperlink" Target="http://licenciamento.cetesb.sp.gov.br/municipioss.asp?muni=RIBEIR%C3%83O%20DO%20SUL" TargetMode="External"/><Relationship Id="rId494" Type="http://schemas.openxmlformats.org/officeDocument/2006/relationships/hyperlink" Target="http://licenciamento.cetesb.sp.gov.br/municipioss.asp?muni=SALES%C3%93POLIS" TargetMode="External"/><Relationship Id="rId508" Type="http://schemas.openxmlformats.org/officeDocument/2006/relationships/hyperlink" Target="http://licenciamento.cetesb.sp.gov.br/municipioss.asp?muni=SANTA%20ERNESTINA" TargetMode="External"/><Relationship Id="rId529" Type="http://schemas.openxmlformats.org/officeDocument/2006/relationships/hyperlink" Target="http://licenciamento.cetesb.sp.gov.br/municipioss.asp?muni=SANTOS" TargetMode="External"/><Relationship Id="rId30" Type="http://schemas.openxmlformats.org/officeDocument/2006/relationships/hyperlink" Target="http://licenciamento.cetesb.sp.gov.br/municipioss.asp?muni=ARA%C3%87ARIGUAMA" TargetMode="External"/><Relationship Id="rId105" Type="http://schemas.openxmlformats.org/officeDocument/2006/relationships/hyperlink" Target="http://licenciamento.cetesb.sp.gov.br/municipioss.asp?muni=CAMPINA%20DO%20MONTE%20ALEGRE" TargetMode="External"/><Relationship Id="rId126" Type="http://schemas.openxmlformats.org/officeDocument/2006/relationships/hyperlink" Target="http://licenciamento.cetesb.sp.gov.br/municipioss.asp?muni=CEDRAL" TargetMode="External"/><Relationship Id="rId147" Type="http://schemas.openxmlformats.org/officeDocument/2006/relationships/hyperlink" Target="http://licenciamento.cetesb.sp.gov.br/municipioss.asp?muni=CRUZEIRO" TargetMode="External"/><Relationship Id="rId168" Type="http://schemas.openxmlformats.org/officeDocument/2006/relationships/hyperlink" Target="http://licenciamento.cetesb.sp.gov.br/municipioss.asp?muni=ESP%C3%8DRITO%20SANTO%20DO%20PINHAL" TargetMode="External"/><Relationship Id="rId312" Type="http://schemas.openxmlformats.org/officeDocument/2006/relationships/hyperlink" Target="http://licenciamento.cetesb.sp.gov.br/municipioss.asp?muni=MACED%C3%94NIA" TargetMode="External"/><Relationship Id="rId333" Type="http://schemas.openxmlformats.org/officeDocument/2006/relationships/hyperlink" Target="http://licenciamento.cetesb.sp.gov.br/municipioss.asp?muni=MIRAND%C3%93POLIS" TargetMode="External"/><Relationship Id="rId354" Type="http://schemas.openxmlformats.org/officeDocument/2006/relationships/hyperlink" Target="http://licenciamento.cetesb.sp.gov.br/municipioss.asp?muni=NARANDIBA" TargetMode="External"/><Relationship Id="rId540" Type="http://schemas.openxmlformats.org/officeDocument/2006/relationships/hyperlink" Target="http://licenciamento.cetesb.sp.gov.br/municipioss.asp?muni=S%C3%83O%20JOS%C3%89%20DO%20BARREIRO" TargetMode="External"/><Relationship Id="rId51" Type="http://schemas.openxmlformats.org/officeDocument/2006/relationships/hyperlink" Target="http://licenciamento.cetesb.sp.gov.br/municipioss.asp?muni=BADY%20BASSITT" TargetMode="External"/><Relationship Id="rId72" Type="http://schemas.openxmlformats.org/officeDocument/2006/relationships/hyperlink" Target="http://licenciamento.cetesb.sp.gov.br/municipioss.asp?muni=BIRIGUI" TargetMode="External"/><Relationship Id="rId93" Type="http://schemas.openxmlformats.org/officeDocument/2006/relationships/hyperlink" Target="http://licenciamento.cetesb.sp.gov.br/municipioss.asp?muni=CABRE%C3%9AVA" TargetMode="External"/><Relationship Id="rId189" Type="http://schemas.openxmlformats.org/officeDocument/2006/relationships/hyperlink" Target="http://licenciamento.cetesb.sp.gov.br/municipioss.asp?muni=GENERAL%20SALGADO" TargetMode="External"/><Relationship Id="rId375" Type="http://schemas.openxmlformats.org/officeDocument/2006/relationships/hyperlink" Target="http://licenciamento.cetesb.sp.gov.br/municipioss.asp?muni=OL%C3%8DMPIA" TargetMode="External"/><Relationship Id="rId396" Type="http://schemas.openxmlformats.org/officeDocument/2006/relationships/hyperlink" Target="http://licenciamento.cetesb.sp.gov.br/municipioss.asp?muni=PARAPU%C3%83" TargetMode="External"/><Relationship Id="rId561" Type="http://schemas.openxmlformats.org/officeDocument/2006/relationships/hyperlink" Target="http://licenciamento.cetesb.sp.gov.br/municipioss.asp?muni=SERT%C3%83OZINHO" TargetMode="External"/><Relationship Id="rId582" Type="http://schemas.openxmlformats.org/officeDocument/2006/relationships/hyperlink" Target="http://licenciamento.cetesb.sp.gov.br/municipioss.asp?muni=TAQUARAL" TargetMode="External"/><Relationship Id="rId617" Type="http://schemas.openxmlformats.org/officeDocument/2006/relationships/hyperlink" Target="http://licenciamento.cetesb.sp.gov.br/municipioss.asp?muni=VARGEM%20GRANDE%20PAULISTA" TargetMode="External"/><Relationship Id="rId638" Type="http://schemas.openxmlformats.org/officeDocument/2006/relationships/hyperlink" Target="http://licenciamento.cetesb.sp.gov.br/municipioss.asp?muni=S%C3%83O%20JO%C3%83O%20DO%20PAU%20D%C2%B4ALHO" TargetMode="External"/><Relationship Id="rId3" Type="http://schemas.openxmlformats.org/officeDocument/2006/relationships/hyperlink" Target="http://licenciamento.cetesb.sp.gov.br/municipioss.asp?muni=AGUA%C3%8D" TargetMode="External"/><Relationship Id="rId214" Type="http://schemas.openxmlformats.org/officeDocument/2006/relationships/hyperlink" Target="http://licenciamento.cetesb.sp.gov.br/municipioss.asp?muni=IACRI" TargetMode="External"/><Relationship Id="rId235" Type="http://schemas.openxmlformats.org/officeDocument/2006/relationships/hyperlink" Target="http://licenciamento.cetesb.sp.gov.br/municipioss.asp?muni=IPER%C3%93" TargetMode="External"/><Relationship Id="rId256" Type="http://schemas.openxmlformats.org/officeDocument/2006/relationships/hyperlink" Target="http://licenciamento.cetesb.sp.gov.br/municipioss.asp?muni=ITAPORANGA" TargetMode="External"/><Relationship Id="rId277" Type="http://schemas.openxmlformats.org/officeDocument/2006/relationships/hyperlink" Target="http://licenciamento.cetesb.sp.gov.br/municipioss.asp?muni=JAMBEIRO" TargetMode="External"/><Relationship Id="rId298" Type="http://schemas.openxmlformats.org/officeDocument/2006/relationships/hyperlink" Target="http://licenciamento.cetesb.sp.gov.br/municipioss.asp?muni=LIMEIRA" TargetMode="External"/><Relationship Id="rId400" Type="http://schemas.openxmlformats.org/officeDocument/2006/relationships/hyperlink" Target="http://licenciamento.cetesb.sp.gov.br/municipioss.asp?muni=PAULIC%C3%89IA" TargetMode="External"/><Relationship Id="rId421" Type="http://schemas.openxmlformats.org/officeDocument/2006/relationships/hyperlink" Target="http://licenciamento.cetesb.sp.gov.br/municipioss.asp?muni=PIQUEROBI" TargetMode="External"/><Relationship Id="rId442" Type="http://schemas.openxmlformats.org/officeDocument/2006/relationships/hyperlink" Target="http://licenciamento.cetesb.sp.gov.br/municipioss.asp?muni=POPULINA" TargetMode="External"/><Relationship Id="rId463" Type="http://schemas.openxmlformats.org/officeDocument/2006/relationships/hyperlink" Target="http://licenciamento.cetesb.sp.gov.br/municipioss.asp?muni=RANCHARIA" TargetMode="External"/><Relationship Id="rId484" Type="http://schemas.openxmlformats.org/officeDocument/2006/relationships/hyperlink" Target="http://licenciamento.cetesb.sp.gov.br/municipioss.asp?muni=RIOL%C3%82NDIA" TargetMode="External"/><Relationship Id="rId519" Type="http://schemas.openxmlformats.org/officeDocument/2006/relationships/hyperlink" Target="http://licenciamento.cetesb.sp.gov.br/municipioss.asp?muni=SANTANA%20DE%20PARNA%C3%8DBA" TargetMode="External"/><Relationship Id="rId116" Type="http://schemas.openxmlformats.org/officeDocument/2006/relationships/hyperlink" Target="http://licenciamento.cetesb.sp.gov.br/municipioss.asp?muni=CAPELA%20DO%20ALTO" TargetMode="External"/><Relationship Id="rId137" Type="http://schemas.openxmlformats.org/officeDocument/2006/relationships/hyperlink" Target="http://licenciamento.cetesb.sp.gov.br/municipioss.asp?muni=CORDEIR%C3%93POLIS" TargetMode="External"/><Relationship Id="rId158" Type="http://schemas.openxmlformats.org/officeDocument/2006/relationships/hyperlink" Target="http://licenciamento.cetesb.sp.gov.br/municipioss.asp?muni=DRACENA" TargetMode="External"/><Relationship Id="rId302" Type="http://schemas.openxmlformats.org/officeDocument/2006/relationships/hyperlink" Target="http://licenciamento.cetesb.sp.gov.br/municipioss.asp?muni=LOURDES" TargetMode="External"/><Relationship Id="rId323" Type="http://schemas.openxmlformats.org/officeDocument/2006/relationships/hyperlink" Target="http://licenciamento.cetesb.sp.gov.br/municipioss.asp?muni=MARTIN%C3%93POLIS" TargetMode="External"/><Relationship Id="rId344" Type="http://schemas.openxmlformats.org/officeDocument/2006/relationships/hyperlink" Target="http://licenciamento.cetesb.sp.gov.br/municipioss.asp?muni=MONTE%20APRAZ%C3%8DVEL" TargetMode="External"/><Relationship Id="rId530" Type="http://schemas.openxmlformats.org/officeDocument/2006/relationships/hyperlink" Target="http://licenciamento.cetesb.sp.gov.br/municipioss.asp?muni=S%C3%83O%20BENTO%20DO%20SAPUCA%C3%8D" TargetMode="External"/><Relationship Id="rId20" Type="http://schemas.openxmlformats.org/officeDocument/2006/relationships/hyperlink" Target="http://licenciamento.cetesb.sp.gov.br/municipioss.asp?muni=AM%C3%89RICO%20BRASILIENSE" TargetMode="External"/><Relationship Id="rId41" Type="http://schemas.openxmlformats.org/officeDocument/2006/relationships/hyperlink" Target="http://licenciamento.cetesb.sp.gov.br/municipioss.asp?muni=ARIRANHA" TargetMode="External"/><Relationship Id="rId62" Type="http://schemas.openxmlformats.org/officeDocument/2006/relationships/hyperlink" Target="http://licenciamento.cetesb.sp.gov.br/municipioss.asp?muni=BARRINHA" TargetMode="External"/><Relationship Id="rId83" Type="http://schemas.openxmlformats.org/officeDocument/2006/relationships/hyperlink" Target="http://licenciamento.cetesb.sp.gov.br/municipioss.asp?muni=BOTUCATU" TargetMode="External"/><Relationship Id="rId179" Type="http://schemas.openxmlformats.org/officeDocument/2006/relationships/hyperlink" Target="http://licenciamento.cetesb.sp.gov.br/municipioss.asp?muni=FLOREAL" TargetMode="External"/><Relationship Id="rId365" Type="http://schemas.openxmlformats.org/officeDocument/2006/relationships/hyperlink" Target="http://licenciamento.cetesb.sp.gov.br/municipioss.asp?muni=NOVA%20GRANADA" TargetMode="External"/><Relationship Id="rId386" Type="http://schemas.openxmlformats.org/officeDocument/2006/relationships/hyperlink" Target="http://licenciamento.cetesb.sp.gov.br/municipioss.asp?muni=PACAEMBU" TargetMode="External"/><Relationship Id="rId551" Type="http://schemas.openxmlformats.org/officeDocument/2006/relationships/hyperlink" Target="http://licenciamento.cetesb.sp.gov.br/municipioss.asp?muni=S%C3%83O%20SEBASTI%C3%83O" TargetMode="External"/><Relationship Id="rId572" Type="http://schemas.openxmlformats.org/officeDocument/2006/relationships/hyperlink" Target="http://licenciamento.cetesb.sp.gov.br/municipioss.asp?muni=TABATINGA" TargetMode="External"/><Relationship Id="rId593" Type="http://schemas.openxmlformats.org/officeDocument/2006/relationships/hyperlink" Target="http://licenciamento.cetesb.sp.gov.br/municipioss.asp?muni=TIET%C3%8A" TargetMode="External"/><Relationship Id="rId607" Type="http://schemas.openxmlformats.org/officeDocument/2006/relationships/hyperlink" Target="http://licenciamento.cetesb.sp.gov.br/municipioss.asp?muni=UBIRAJARA" TargetMode="External"/><Relationship Id="rId628" Type="http://schemas.openxmlformats.org/officeDocument/2006/relationships/hyperlink" Target="http://licenciamento.cetesb.sp.gov.br/municipioss.asp?muni=BIRITIBA%20MIRIM" TargetMode="External"/><Relationship Id="rId190" Type="http://schemas.openxmlformats.org/officeDocument/2006/relationships/hyperlink" Target="http://licenciamento.cetesb.sp.gov.br/municipioss.asp?muni=GETULINA" TargetMode="External"/><Relationship Id="rId204" Type="http://schemas.openxmlformats.org/officeDocument/2006/relationships/hyperlink" Target="http://licenciamento.cetesb.sp.gov.br/municipioss.asp?muni=GUARE%C3%8D" TargetMode="External"/><Relationship Id="rId225" Type="http://schemas.openxmlformats.org/officeDocument/2006/relationships/hyperlink" Target="http://licenciamento.cetesb.sp.gov.br/municipioss.asp?muni=IGARAT%C3%81" TargetMode="External"/><Relationship Id="rId246" Type="http://schemas.openxmlformats.org/officeDocument/2006/relationships/hyperlink" Target="http://licenciamento.cetesb.sp.gov.br/municipioss.asp?muni=ITAJU" TargetMode="External"/><Relationship Id="rId267" Type="http://schemas.openxmlformats.org/officeDocument/2006/relationships/hyperlink" Target="http://licenciamento.cetesb.sp.gov.br/municipioss.asp?muni=ITU" TargetMode="External"/><Relationship Id="rId288" Type="http://schemas.openxmlformats.org/officeDocument/2006/relationships/hyperlink" Target="http://licenciamento.cetesb.sp.gov.br/municipioss.asp?muni=JUNDIA%C3%8D" TargetMode="External"/><Relationship Id="rId411" Type="http://schemas.openxmlformats.org/officeDocument/2006/relationships/hyperlink" Target="http://licenciamento.cetesb.sp.gov.br/municipioss.asp?muni=PEN%C3%81POLIS" TargetMode="External"/><Relationship Id="rId432" Type="http://schemas.openxmlformats.org/officeDocument/2006/relationships/hyperlink" Target="http://licenciamento.cetesb.sp.gov.br/municipioss.asp?muni=PITANGUEIRAS" TargetMode="External"/><Relationship Id="rId453" Type="http://schemas.openxmlformats.org/officeDocument/2006/relationships/hyperlink" Target="http://licenciamento.cetesb.sp.gov.br/municipioss.asp?muni=PRESIDENTE%20BERNARDES" TargetMode="External"/><Relationship Id="rId474" Type="http://schemas.openxmlformats.org/officeDocument/2006/relationships/hyperlink" Target="http://licenciamento.cetesb.sp.gov.br/municipioss.asp?muni=RIBEIR%C3%83O%20DOS%20%C3%8DNDIOS" TargetMode="External"/><Relationship Id="rId509" Type="http://schemas.openxmlformats.org/officeDocument/2006/relationships/hyperlink" Target="http://licenciamento.cetesb.sp.gov.br/municipioss.asp?muni=SANTA%20F%C3%89%20DO%20SUL" TargetMode="External"/><Relationship Id="rId106" Type="http://schemas.openxmlformats.org/officeDocument/2006/relationships/hyperlink" Target="http://licenciamento.cetesb.sp.gov.br/municipioss.asp?muni=CAMPINAS" TargetMode="External"/><Relationship Id="rId127" Type="http://schemas.openxmlformats.org/officeDocument/2006/relationships/hyperlink" Target="http://licenciamento.cetesb.sp.gov.br/municipioss.asp?muni=CERQUEIRA%20C%C3%89SAR" TargetMode="External"/><Relationship Id="rId313" Type="http://schemas.openxmlformats.org/officeDocument/2006/relationships/hyperlink" Target="http://licenciamento.cetesb.sp.gov.br/municipioss.asp?muni=MAGDA" TargetMode="External"/><Relationship Id="rId495" Type="http://schemas.openxmlformats.org/officeDocument/2006/relationships/hyperlink" Target="http://licenciamento.cetesb.sp.gov.br/municipioss.asp?muni=SALMOUR%C3%83O" TargetMode="External"/><Relationship Id="rId10" Type="http://schemas.openxmlformats.org/officeDocument/2006/relationships/hyperlink" Target="http://licenciamento.cetesb.sp.gov.br/municipioss.asp?muni=ALFREDO%20MARCONDES" TargetMode="External"/><Relationship Id="rId31" Type="http://schemas.openxmlformats.org/officeDocument/2006/relationships/hyperlink" Target="http://licenciamento.cetesb.sp.gov.br/municipioss.asp?muni=ARA%C3%87ATUBA" TargetMode="External"/><Relationship Id="rId52" Type="http://schemas.openxmlformats.org/officeDocument/2006/relationships/hyperlink" Target="http://licenciamento.cetesb.sp.gov.br/municipioss.asp?muni=BALBINOS" TargetMode="External"/><Relationship Id="rId73" Type="http://schemas.openxmlformats.org/officeDocument/2006/relationships/hyperlink" Target="http://licenciamento.cetesb.sp.gov.br/municipioss.asp?muni=BOA%20ESPERAN%C3%87A%20DO%20SUL" TargetMode="External"/><Relationship Id="rId94" Type="http://schemas.openxmlformats.org/officeDocument/2006/relationships/hyperlink" Target="http://licenciamento.cetesb.sp.gov.br/municipioss.asp?muni=CA%C3%87APAVA" TargetMode="External"/><Relationship Id="rId148" Type="http://schemas.openxmlformats.org/officeDocument/2006/relationships/hyperlink" Target="http://licenciamento.cetesb.sp.gov.br/municipioss.asp?muni=CUBAT%C3%83O" TargetMode="External"/><Relationship Id="rId169" Type="http://schemas.openxmlformats.org/officeDocument/2006/relationships/hyperlink" Target="http://licenciamento.cetesb.sp.gov.br/municipioss.asp?muni=ESP%C3%8DRITO%20SANTO%20DO%20TURVO" TargetMode="External"/><Relationship Id="rId334" Type="http://schemas.openxmlformats.org/officeDocument/2006/relationships/hyperlink" Target="http://licenciamento.cetesb.sp.gov.br/municipioss.asp?muni=MIRANTE%20DO%20PARANAPANEMA" TargetMode="External"/><Relationship Id="rId355" Type="http://schemas.openxmlformats.org/officeDocument/2006/relationships/hyperlink" Target="http://licenciamento.cetesb.sp.gov.br/municipioss.asp?muni=NATIVIDADE%20DA%20SERRA" TargetMode="External"/><Relationship Id="rId376" Type="http://schemas.openxmlformats.org/officeDocument/2006/relationships/hyperlink" Target="http://licenciamento.cetesb.sp.gov.br/municipioss.asp?muni=ONDA%20VERDE" TargetMode="External"/><Relationship Id="rId397" Type="http://schemas.openxmlformats.org/officeDocument/2006/relationships/hyperlink" Target="http://licenciamento.cetesb.sp.gov.br/municipioss.asp?muni=PARDINHO" TargetMode="External"/><Relationship Id="rId520" Type="http://schemas.openxmlformats.org/officeDocument/2006/relationships/hyperlink" Target="http://licenciamento.cetesb.sp.gov.br/municipioss.asp?muni=SANTO%20ANAST%C3%81CIO" TargetMode="External"/><Relationship Id="rId541" Type="http://schemas.openxmlformats.org/officeDocument/2006/relationships/hyperlink" Target="http://licenciamento.cetesb.sp.gov.br/municipioss.asp?muni=S%C3%83O%20JOS%C3%89%20DO%20RIO%20PARDO" TargetMode="External"/><Relationship Id="rId562" Type="http://schemas.openxmlformats.org/officeDocument/2006/relationships/hyperlink" Target="http://licenciamento.cetesb.sp.gov.br/municipioss.asp?muni=SETE%20BARRAS" TargetMode="External"/><Relationship Id="rId583" Type="http://schemas.openxmlformats.org/officeDocument/2006/relationships/hyperlink" Target="http://licenciamento.cetesb.sp.gov.br/municipioss.asp?muni=TAQUARITINGA" TargetMode="External"/><Relationship Id="rId618" Type="http://schemas.openxmlformats.org/officeDocument/2006/relationships/hyperlink" Target="http://licenciamento.cetesb.sp.gov.br/municipioss.asp?muni=V%C3%81RZEA%20PAULISTA" TargetMode="External"/><Relationship Id="rId639" Type="http://schemas.openxmlformats.org/officeDocument/2006/relationships/hyperlink" Target="http://licenciamento.cetesb.sp.gov.br/municipioss.asp?muni=VARGEM" TargetMode="External"/><Relationship Id="rId4" Type="http://schemas.openxmlformats.org/officeDocument/2006/relationships/hyperlink" Target="http://licenciamento.cetesb.sp.gov.br/municipioss.asp?muni=%C3%81GUAS%20DA%20PRATA" TargetMode="External"/><Relationship Id="rId180" Type="http://schemas.openxmlformats.org/officeDocument/2006/relationships/hyperlink" Target="http://licenciamento.cetesb.sp.gov.br/municipioss.asp?muni=FL%C3%93RIDA%20PAULISTA" TargetMode="External"/><Relationship Id="rId215" Type="http://schemas.openxmlformats.org/officeDocument/2006/relationships/hyperlink" Target="http://licenciamento.cetesb.sp.gov.br/municipioss.asp?muni=IARAS" TargetMode="External"/><Relationship Id="rId236" Type="http://schemas.openxmlformats.org/officeDocument/2006/relationships/hyperlink" Target="http://licenciamento.cetesb.sp.gov.br/municipioss.asp?muni=IPE%C3%9ANA" TargetMode="External"/><Relationship Id="rId257" Type="http://schemas.openxmlformats.org/officeDocument/2006/relationships/hyperlink" Target="http://licenciamento.cetesb.sp.gov.br/municipioss.asp?muni=ITAPU%C3%8D" TargetMode="External"/><Relationship Id="rId278" Type="http://schemas.openxmlformats.org/officeDocument/2006/relationships/hyperlink" Target="http://licenciamento.cetesb.sp.gov.br/municipioss.asp?muni=JANDIRA" TargetMode="External"/><Relationship Id="rId401" Type="http://schemas.openxmlformats.org/officeDocument/2006/relationships/hyperlink" Target="http://licenciamento.cetesb.sp.gov.br/municipioss.asp?muni=PAUL%C3%8DNIA" TargetMode="External"/><Relationship Id="rId422" Type="http://schemas.openxmlformats.org/officeDocument/2006/relationships/hyperlink" Target="http://licenciamento.cetesb.sp.gov.br/municipioss.asp?muni=PIQUETE" TargetMode="External"/><Relationship Id="rId443" Type="http://schemas.openxmlformats.org/officeDocument/2006/relationships/hyperlink" Target="http://licenciamento.cetesb.sp.gov.br/municipioss.asp?muni=PORANGABA" TargetMode="External"/><Relationship Id="rId464" Type="http://schemas.openxmlformats.org/officeDocument/2006/relationships/hyperlink" Target="http://licenciamento.cetesb.sp.gov.br/municipioss.asp?muni=REDEN%C3%87%C3%83O%20DA%20SERRA" TargetMode="External"/><Relationship Id="rId303" Type="http://schemas.openxmlformats.org/officeDocument/2006/relationships/hyperlink" Target="http://licenciamento.cetesb.sp.gov.br/municipioss.asp?muni=LOUVEIRA" TargetMode="External"/><Relationship Id="rId485" Type="http://schemas.openxmlformats.org/officeDocument/2006/relationships/hyperlink" Target="http://licenciamento.cetesb.sp.gov.br/municipioss.asp?muni=RIVERSUL" TargetMode="External"/><Relationship Id="rId42" Type="http://schemas.openxmlformats.org/officeDocument/2006/relationships/hyperlink" Target="http://licenciamento.cetesb.sp.gov.br/municipioss.asp?muni=ARTUR%20NOGUEIRA" TargetMode="External"/><Relationship Id="rId84" Type="http://schemas.openxmlformats.org/officeDocument/2006/relationships/hyperlink" Target="http://licenciamento.cetesb.sp.gov.br/municipioss.asp?muni=BRAGAN%C3%87A%20PAULISTA" TargetMode="External"/><Relationship Id="rId138" Type="http://schemas.openxmlformats.org/officeDocument/2006/relationships/hyperlink" Target="http://licenciamento.cetesb.sp.gov.br/municipioss.asp?muni=COROADOS" TargetMode="External"/><Relationship Id="rId345" Type="http://schemas.openxmlformats.org/officeDocument/2006/relationships/hyperlink" Target="http://licenciamento.cetesb.sp.gov.br/municipioss.asp?muni=MONTE%20AZUL%20PAULISTA" TargetMode="External"/><Relationship Id="rId387" Type="http://schemas.openxmlformats.org/officeDocument/2006/relationships/hyperlink" Target="http://licenciamento.cetesb.sp.gov.br/municipioss.asp?muni=PALESTINA" TargetMode="External"/><Relationship Id="rId510" Type="http://schemas.openxmlformats.org/officeDocument/2006/relationships/hyperlink" Target="http://licenciamento.cetesb.sp.gov.br/municipioss.asp?muni=SANTA%20GERTRUDES" TargetMode="External"/><Relationship Id="rId552" Type="http://schemas.openxmlformats.org/officeDocument/2006/relationships/hyperlink" Target="http://licenciamento.cetesb.sp.gov.br/municipioss.asp?muni=S%C3%83O%20SEBASTI%C3%83O%20DA%20GRAMA" TargetMode="External"/><Relationship Id="rId594" Type="http://schemas.openxmlformats.org/officeDocument/2006/relationships/hyperlink" Target="http://licenciamento.cetesb.sp.gov.br/municipioss.asp?muni=TIMBURI" TargetMode="External"/><Relationship Id="rId608" Type="http://schemas.openxmlformats.org/officeDocument/2006/relationships/hyperlink" Target="http://licenciamento.cetesb.sp.gov.br/municipioss.asp?muni=UCHOA" TargetMode="External"/><Relationship Id="rId191" Type="http://schemas.openxmlformats.org/officeDocument/2006/relationships/hyperlink" Target="http://licenciamento.cetesb.sp.gov.br/municipioss.asp?muni=GLIC%C3%89RIO" TargetMode="External"/><Relationship Id="rId205" Type="http://schemas.openxmlformats.org/officeDocument/2006/relationships/hyperlink" Target="http://licenciamento.cetesb.sp.gov.br/municipioss.asp?muni=GUARIBA" TargetMode="External"/><Relationship Id="rId247" Type="http://schemas.openxmlformats.org/officeDocument/2006/relationships/hyperlink" Target="http://licenciamento.cetesb.sp.gov.br/municipioss.asp?muni=ITANHA%C3%89M" TargetMode="External"/><Relationship Id="rId412" Type="http://schemas.openxmlformats.org/officeDocument/2006/relationships/hyperlink" Target="http://licenciamento.cetesb.sp.gov.br/municipioss.asp?muni=PEREIRA%20BARRETO" TargetMode="External"/><Relationship Id="rId107" Type="http://schemas.openxmlformats.org/officeDocument/2006/relationships/hyperlink" Target="http://licenciamento.cetesb.sp.gov.br/municipioss.asp?muni=CAMPO%20LIMPO%20PAULISTA" TargetMode="External"/><Relationship Id="rId289" Type="http://schemas.openxmlformats.org/officeDocument/2006/relationships/hyperlink" Target="http://licenciamento.cetesb.sp.gov.br/municipioss.asp?muni=JUNQUEIR%C3%93POLIS" TargetMode="External"/><Relationship Id="rId454" Type="http://schemas.openxmlformats.org/officeDocument/2006/relationships/hyperlink" Target="http://licenciamento.cetesb.sp.gov.br/municipioss.asp?muni=PRESIDENTE%20EPIT%C3%81CIO" TargetMode="External"/><Relationship Id="rId496" Type="http://schemas.openxmlformats.org/officeDocument/2006/relationships/hyperlink" Target="http://licenciamento.cetesb.sp.gov.br/municipioss.asp?muni=SALTINHO" TargetMode="External"/><Relationship Id="rId11" Type="http://schemas.openxmlformats.org/officeDocument/2006/relationships/hyperlink" Target="http://licenciamento.cetesb.sp.gov.br/municipioss.asp?muni=ALTAIR" TargetMode="External"/><Relationship Id="rId53" Type="http://schemas.openxmlformats.org/officeDocument/2006/relationships/hyperlink" Target="http://licenciamento.cetesb.sp.gov.br/municipioss.asp?muni=B%C3%81LSAMO" TargetMode="External"/><Relationship Id="rId149" Type="http://schemas.openxmlformats.org/officeDocument/2006/relationships/hyperlink" Target="http://licenciamento.cetesb.sp.gov.br/municipioss.asp?muni=CUNHA" TargetMode="External"/><Relationship Id="rId314" Type="http://schemas.openxmlformats.org/officeDocument/2006/relationships/hyperlink" Target="http://licenciamento.cetesb.sp.gov.br/municipioss.asp?muni=MAIRINQUE" TargetMode="External"/><Relationship Id="rId356" Type="http://schemas.openxmlformats.org/officeDocument/2006/relationships/hyperlink" Target="http://licenciamento.cetesb.sp.gov.br/municipioss.asp?muni=NAZAR%C3%89%20PAULISTA" TargetMode="External"/><Relationship Id="rId398" Type="http://schemas.openxmlformats.org/officeDocument/2006/relationships/hyperlink" Target="http://licenciamento.cetesb.sp.gov.br/municipioss.asp?muni=PARISI" TargetMode="External"/><Relationship Id="rId521" Type="http://schemas.openxmlformats.org/officeDocument/2006/relationships/hyperlink" Target="http://licenciamento.cetesb.sp.gov.br/municipioss.asp?muni=SANTO%20ANDR%C3%89" TargetMode="External"/><Relationship Id="rId563" Type="http://schemas.openxmlformats.org/officeDocument/2006/relationships/hyperlink" Target="http://licenciamento.cetesb.sp.gov.br/municipioss.asp?muni=SEVER%C3%8DNIA" TargetMode="External"/><Relationship Id="rId619" Type="http://schemas.openxmlformats.org/officeDocument/2006/relationships/hyperlink" Target="http://licenciamento.cetesb.sp.gov.br/municipioss.asp?muni=VERA%20CRUZ" TargetMode="External"/><Relationship Id="rId95" Type="http://schemas.openxmlformats.org/officeDocument/2006/relationships/hyperlink" Target="http://licenciamento.cetesb.sp.gov.br/municipioss.asp?muni=CACHOEIRA%20PAULISTA" TargetMode="External"/><Relationship Id="rId160" Type="http://schemas.openxmlformats.org/officeDocument/2006/relationships/hyperlink" Target="http://licenciamento.cetesb.sp.gov.br/municipioss.asp?muni=DUMONT" TargetMode="External"/><Relationship Id="rId216" Type="http://schemas.openxmlformats.org/officeDocument/2006/relationships/hyperlink" Target="http://licenciamento.cetesb.sp.gov.br/municipioss.asp?muni=IBAT%C3%89" TargetMode="External"/><Relationship Id="rId423" Type="http://schemas.openxmlformats.org/officeDocument/2006/relationships/hyperlink" Target="http://licenciamento.cetesb.sp.gov.br/municipioss.asp?muni=PIRACAIA" TargetMode="External"/><Relationship Id="rId258" Type="http://schemas.openxmlformats.org/officeDocument/2006/relationships/hyperlink" Target="http://licenciamento.cetesb.sp.gov.br/municipioss.asp?muni=ITAPURA" TargetMode="External"/><Relationship Id="rId465" Type="http://schemas.openxmlformats.org/officeDocument/2006/relationships/hyperlink" Target="http://licenciamento.cetesb.sp.gov.br/municipioss.asp?muni=REGENTE%20FEIJ%C3%93" TargetMode="External"/><Relationship Id="rId630" Type="http://schemas.openxmlformats.org/officeDocument/2006/relationships/hyperlink" Target="http://licenciamento.cetesb.sp.gov.br/municipioss.asp?muni=ESTRELA%20D%60OESTE" TargetMode="External"/><Relationship Id="rId22" Type="http://schemas.openxmlformats.org/officeDocument/2006/relationships/hyperlink" Target="http://licenciamento.cetesb.sp.gov.br/municipioss.asp?muni=AMPARO" TargetMode="External"/><Relationship Id="rId64" Type="http://schemas.openxmlformats.org/officeDocument/2006/relationships/hyperlink" Target="http://licenciamento.cetesb.sp.gov.br/municipioss.asp?muni=BASTOS" TargetMode="External"/><Relationship Id="rId118" Type="http://schemas.openxmlformats.org/officeDocument/2006/relationships/hyperlink" Target="http://licenciamento.cetesb.sp.gov.br/municipioss.asp?muni=CARAGUATATUBA" TargetMode="External"/><Relationship Id="rId325" Type="http://schemas.openxmlformats.org/officeDocument/2006/relationships/hyperlink" Target="http://licenciamento.cetesb.sp.gov.br/municipioss.asp?muni=MAU%C3%81" TargetMode="External"/><Relationship Id="rId367" Type="http://schemas.openxmlformats.org/officeDocument/2006/relationships/hyperlink" Target="http://licenciamento.cetesb.sp.gov.br/municipioss.asp?muni=NOVA%20INDEPEND%C3%8ANCIA" TargetMode="External"/><Relationship Id="rId532" Type="http://schemas.openxmlformats.org/officeDocument/2006/relationships/hyperlink" Target="http://licenciamento.cetesb.sp.gov.br/municipioss.asp?muni=S%C3%83O%20CAETANO%20DO%20SUL" TargetMode="External"/><Relationship Id="rId574" Type="http://schemas.openxmlformats.org/officeDocument/2006/relationships/hyperlink" Target="http://licenciamento.cetesb.sp.gov.br/municipioss.asp?muni=TACIBA" TargetMode="External"/><Relationship Id="rId171" Type="http://schemas.openxmlformats.org/officeDocument/2006/relationships/hyperlink" Target="http://licenciamento.cetesb.sp.gov.br/municipioss.asp?muni=ESTRELA%20DO%20NORTE" TargetMode="External"/><Relationship Id="rId227" Type="http://schemas.openxmlformats.org/officeDocument/2006/relationships/hyperlink" Target="http://licenciamento.cetesb.sp.gov.br/municipioss.asp?muni=ILHA%20COMPRIDA" TargetMode="External"/><Relationship Id="rId269" Type="http://schemas.openxmlformats.org/officeDocument/2006/relationships/hyperlink" Target="http://licenciamento.cetesb.sp.gov.br/municipioss.asp?muni=ITUVERAVA" TargetMode="External"/><Relationship Id="rId434" Type="http://schemas.openxmlformats.org/officeDocument/2006/relationships/hyperlink" Target="http://licenciamento.cetesb.sp.gov.br/municipioss.asp?muni=PLATINA" TargetMode="External"/><Relationship Id="rId476" Type="http://schemas.openxmlformats.org/officeDocument/2006/relationships/hyperlink" Target="http://licenciamento.cetesb.sp.gov.br/municipioss.asp?muni=RIBEIR%C3%83O%20PIRES" TargetMode="External"/><Relationship Id="rId641" Type="http://schemas.openxmlformats.org/officeDocument/2006/relationships/hyperlink" Target="http://licenciamento.cetesb.sp.gov.br/municipioss.asp?muni=EMBU-GUA%C3%87U" TargetMode="External"/><Relationship Id="rId33" Type="http://schemas.openxmlformats.org/officeDocument/2006/relationships/hyperlink" Target="http://licenciamento.cetesb.sp.gov.br/municipioss.asp?muni=ARAMINA" TargetMode="External"/><Relationship Id="rId129" Type="http://schemas.openxmlformats.org/officeDocument/2006/relationships/hyperlink" Target="http://licenciamento.cetesb.sp.gov.br/municipioss.asp?muni=CES%C3%81RIO%20LANGE" TargetMode="External"/><Relationship Id="rId280" Type="http://schemas.openxmlformats.org/officeDocument/2006/relationships/hyperlink" Target="http://licenciamento.cetesb.sp.gov.br/municipioss.asp?muni=JARINU" TargetMode="External"/><Relationship Id="rId336" Type="http://schemas.openxmlformats.org/officeDocument/2006/relationships/hyperlink" Target="http://licenciamento.cetesb.sp.gov.br/municipioss.asp?muni=MIRASSOL%C3%82NDIA" TargetMode="External"/><Relationship Id="rId501" Type="http://schemas.openxmlformats.org/officeDocument/2006/relationships/hyperlink" Target="http://licenciamento.cetesb.sp.gov.br/municipioss.asp?muni=SANTA%20AD%C3%89LIA" TargetMode="External"/><Relationship Id="rId543" Type="http://schemas.openxmlformats.org/officeDocument/2006/relationships/hyperlink" Target="http://licenciamento.cetesb.sp.gov.br/municipioss.asp?muni=S%C3%83O%20JOS%C3%89%20DOS%20CAMPOS" TargetMode="External"/><Relationship Id="rId75" Type="http://schemas.openxmlformats.org/officeDocument/2006/relationships/hyperlink" Target="http://licenciamento.cetesb.sp.gov.br/municipioss.asp?muni=BOFETE" TargetMode="External"/><Relationship Id="rId140" Type="http://schemas.openxmlformats.org/officeDocument/2006/relationships/hyperlink" Target="http://licenciamento.cetesb.sp.gov.br/municipioss.asp?muni=CORUMBATA%C3%8D" TargetMode="External"/><Relationship Id="rId182" Type="http://schemas.openxmlformats.org/officeDocument/2006/relationships/hyperlink" Target="http://licenciamento.cetesb.sp.gov.br/municipioss.asp?muni=FRANCISCO%20MORATO" TargetMode="External"/><Relationship Id="rId378" Type="http://schemas.openxmlformats.org/officeDocument/2006/relationships/hyperlink" Target="http://licenciamento.cetesb.sp.gov.br/municipioss.asp?muni=ORINDI%C3%9AVA" TargetMode="External"/><Relationship Id="rId403" Type="http://schemas.openxmlformats.org/officeDocument/2006/relationships/hyperlink" Target="http://licenciamento.cetesb.sp.gov.br/municipioss.asp?muni=PAULO%20DE%20FARIA" TargetMode="External"/><Relationship Id="rId585" Type="http://schemas.openxmlformats.org/officeDocument/2006/relationships/hyperlink" Target="http://licenciamento.cetesb.sp.gov.br/municipioss.asp?muni=TAQUARIVA%C3%8D" TargetMode="External"/><Relationship Id="rId6" Type="http://schemas.openxmlformats.org/officeDocument/2006/relationships/hyperlink" Target="http://licenciamento.cetesb.sp.gov.br/municipioss.asp?muni=%C3%81GUAS%20DE%20SANTA%20B%C3%81RBARA" TargetMode="External"/><Relationship Id="rId238" Type="http://schemas.openxmlformats.org/officeDocument/2006/relationships/hyperlink" Target="http://licenciamento.cetesb.sp.gov.br/municipioss.asp?muni=IPORANGA" TargetMode="External"/><Relationship Id="rId445" Type="http://schemas.openxmlformats.org/officeDocument/2006/relationships/hyperlink" Target="http://licenciamento.cetesb.sp.gov.br/municipioss.asp?muni=PORTO%20FERREIRA" TargetMode="External"/><Relationship Id="rId487" Type="http://schemas.openxmlformats.org/officeDocument/2006/relationships/hyperlink" Target="http://licenciamento.cetesb.sp.gov.br/municipioss.asp?muni=ROSEIRA" TargetMode="External"/><Relationship Id="rId610" Type="http://schemas.openxmlformats.org/officeDocument/2006/relationships/hyperlink" Target="http://licenciamento.cetesb.sp.gov.br/municipioss.asp?muni=UR%C3%82NIA" TargetMode="External"/><Relationship Id="rId291" Type="http://schemas.openxmlformats.org/officeDocument/2006/relationships/hyperlink" Target="http://licenciamento.cetesb.sp.gov.br/municipioss.asp?muni=JUQUITIBA" TargetMode="External"/><Relationship Id="rId305" Type="http://schemas.openxmlformats.org/officeDocument/2006/relationships/hyperlink" Target="http://licenciamento.cetesb.sp.gov.br/municipioss.asp?muni=LUCIAN%C3%93POLIS" TargetMode="External"/><Relationship Id="rId347" Type="http://schemas.openxmlformats.org/officeDocument/2006/relationships/hyperlink" Target="http://licenciamento.cetesb.sp.gov.br/municipioss.asp?muni=MONTE%20MOR" TargetMode="External"/><Relationship Id="rId512" Type="http://schemas.openxmlformats.org/officeDocument/2006/relationships/hyperlink" Target="http://licenciamento.cetesb.sp.gov.br/municipioss.asp?muni=SANTA%20L%C3%9ACIA" TargetMode="External"/><Relationship Id="rId44" Type="http://schemas.openxmlformats.org/officeDocument/2006/relationships/hyperlink" Target="http://licenciamento.cetesb.sp.gov.br/municipioss.asp?muni=ASP%C3%81SIA" TargetMode="External"/><Relationship Id="rId86" Type="http://schemas.openxmlformats.org/officeDocument/2006/relationships/hyperlink" Target="http://licenciamento.cetesb.sp.gov.br/municipioss.asp?muni=BREJO%20ALEGRE" TargetMode="External"/><Relationship Id="rId151" Type="http://schemas.openxmlformats.org/officeDocument/2006/relationships/hyperlink" Target="http://licenciamento.cetesb.sp.gov.br/municipioss.asp?muni=DIADEMA" TargetMode="External"/><Relationship Id="rId389" Type="http://schemas.openxmlformats.org/officeDocument/2006/relationships/hyperlink" Target="http://licenciamento.cetesb.sp.gov.br/municipioss.asp?muni=PALMITAL" TargetMode="External"/><Relationship Id="rId554" Type="http://schemas.openxmlformats.org/officeDocument/2006/relationships/hyperlink" Target="http://licenciamento.cetesb.sp.gov.br/municipioss.asp?muni=S%C3%83O%20VICENTE" TargetMode="External"/><Relationship Id="rId596" Type="http://schemas.openxmlformats.org/officeDocument/2006/relationships/hyperlink" Target="http://licenciamento.cetesb.sp.gov.br/municipioss.asp?muni=TORRINHA" TargetMode="External"/><Relationship Id="rId193" Type="http://schemas.openxmlformats.org/officeDocument/2006/relationships/hyperlink" Target="http://licenciamento.cetesb.sp.gov.br/municipioss.asp?muni=GUAIMB%C3%8A" TargetMode="External"/><Relationship Id="rId207" Type="http://schemas.openxmlformats.org/officeDocument/2006/relationships/hyperlink" Target="http://licenciamento.cetesb.sp.gov.br/municipioss.asp?muni=GUARULHOS" TargetMode="External"/><Relationship Id="rId249" Type="http://schemas.openxmlformats.org/officeDocument/2006/relationships/hyperlink" Target="http://licenciamento.cetesb.sp.gov.br/municipioss.asp?muni=ITAPECERICA%20DA%20SERRA" TargetMode="External"/><Relationship Id="rId414" Type="http://schemas.openxmlformats.org/officeDocument/2006/relationships/hyperlink" Target="http://licenciamento.cetesb.sp.gov.br/municipioss.asp?muni=PERU%C3%8DBE" TargetMode="External"/><Relationship Id="rId456" Type="http://schemas.openxmlformats.org/officeDocument/2006/relationships/hyperlink" Target="http://licenciamento.cetesb.sp.gov.br/municipioss.asp?muni=PRESIDENTE%20VENCESLAU" TargetMode="External"/><Relationship Id="rId498" Type="http://schemas.openxmlformats.org/officeDocument/2006/relationships/hyperlink" Target="http://licenciamento.cetesb.sp.gov.br/municipioss.asp?muni=SALTO%20DE%20PIRAPORA" TargetMode="External"/><Relationship Id="rId621" Type="http://schemas.openxmlformats.org/officeDocument/2006/relationships/hyperlink" Target="http://licenciamento.cetesb.sp.gov.br/municipioss.asp?muni=VIRADOURO" TargetMode="External"/><Relationship Id="rId13" Type="http://schemas.openxmlformats.org/officeDocument/2006/relationships/hyperlink" Target="http://licenciamento.cetesb.sp.gov.br/municipioss.asp?muni=ALTO%20ALEGRE" TargetMode="External"/><Relationship Id="rId109" Type="http://schemas.openxmlformats.org/officeDocument/2006/relationships/hyperlink" Target="http://licenciamento.cetesb.sp.gov.br/municipioss.asp?muni=CAMPOS%20NOVOS%20PAULISTA" TargetMode="External"/><Relationship Id="rId260" Type="http://schemas.openxmlformats.org/officeDocument/2006/relationships/hyperlink" Target="http://licenciamento.cetesb.sp.gov.br/municipioss.asp?muni=ITARAR%C3%89" TargetMode="External"/><Relationship Id="rId316" Type="http://schemas.openxmlformats.org/officeDocument/2006/relationships/hyperlink" Target="http://licenciamento.cetesb.sp.gov.br/municipioss.asp?muni=MANDURI" TargetMode="External"/><Relationship Id="rId523" Type="http://schemas.openxmlformats.org/officeDocument/2006/relationships/hyperlink" Target="http://licenciamento.cetesb.sp.gov.br/municipioss.asp?muni=SANTO%20ANT%C3%94NIO%20DE%20POSSE" TargetMode="External"/><Relationship Id="rId55" Type="http://schemas.openxmlformats.org/officeDocument/2006/relationships/hyperlink" Target="http://licenciamento.cetesb.sp.gov.br/municipioss.asp?muni=BAR%C3%83O%20DE%20ANTONINA" TargetMode="External"/><Relationship Id="rId97" Type="http://schemas.openxmlformats.org/officeDocument/2006/relationships/hyperlink" Target="http://licenciamento.cetesb.sp.gov.br/municipioss.asp?muni=CAFEL%C3%82NDIA" TargetMode="External"/><Relationship Id="rId120" Type="http://schemas.openxmlformats.org/officeDocument/2006/relationships/hyperlink" Target="http://licenciamento.cetesb.sp.gov.br/municipioss.asp?muni=CARDOSO" TargetMode="External"/><Relationship Id="rId358" Type="http://schemas.openxmlformats.org/officeDocument/2006/relationships/hyperlink" Target="http://licenciamento.cetesb.sp.gov.br/municipioss.asp?muni=NHANDEARA" TargetMode="External"/><Relationship Id="rId565" Type="http://schemas.openxmlformats.org/officeDocument/2006/relationships/hyperlink" Target="http://licenciamento.cetesb.sp.gov.br/municipioss.asp?muni=SOCORRO" TargetMode="External"/><Relationship Id="rId162" Type="http://schemas.openxmlformats.org/officeDocument/2006/relationships/hyperlink" Target="http://licenciamento.cetesb.sp.gov.br/municipioss.asp?muni=ELDORADO" TargetMode="External"/><Relationship Id="rId218" Type="http://schemas.openxmlformats.org/officeDocument/2006/relationships/hyperlink" Target="http://licenciamento.cetesb.sp.gov.br/municipioss.asp?muni=IBIRAREMA" TargetMode="External"/><Relationship Id="rId425" Type="http://schemas.openxmlformats.org/officeDocument/2006/relationships/hyperlink" Target="http://licenciamento.cetesb.sp.gov.br/municipioss.asp?muni=PIRAJU" TargetMode="External"/><Relationship Id="rId467" Type="http://schemas.openxmlformats.org/officeDocument/2006/relationships/hyperlink" Target="http://licenciamento.cetesb.sp.gov.br/municipioss.asp?muni=REGISTRO" TargetMode="External"/><Relationship Id="rId632" Type="http://schemas.openxmlformats.org/officeDocument/2006/relationships/hyperlink" Target="http://licenciamento.cetesb.sp.gov.br/municipioss.asp?muni=GUARANI%20D%60OESTE" TargetMode="External"/><Relationship Id="rId271" Type="http://schemas.openxmlformats.org/officeDocument/2006/relationships/hyperlink" Target="http://licenciamento.cetesb.sp.gov.br/municipioss.asp?muni=JABOTICABAL" TargetMode="External"/><Relationship Id="rId24" Type="http://schemas.openxmlformats.org/officeDocument/2006/relationships/hyperlink" Target="http://licenciamento.cetesb.sp.gov.br/municipioss.asp?muni=ANDRADINA" TargetMode="External"/><Relationship Id="rId66" Type="http://schemas.openxmlformats.org/officeDocument/2006/relationships/hyperlink" Target="http://licenciamento.cetesb.sp.gov.br/municipioss.asp?muni=BAURU" TargetMode="External"/><Relationship Id="rId131" Type="http://schemas.openxmlformats.org/officeDocument/2006/relationships/hyperlink" Target="http://licenciamento.cetesb.sp.gov.br/municipioss.asp?muni=CHAVANTES" TargetMode="External"/><Relationship Id="rId327" Type="http://schemas.openxmlformats.org/officeDocument/2006/relationships/hyperlink" Target="http://licenciamento.cetesb.sp.gov.br/municipioss.asp?muni=MERIDIANO" TargetMode="External"/><Relationship Id="rId369" Type="http://schemas.openxmlformats.org/officeDocument/2006/relationships/hyperlink" Target="http://licenciamento.cetesb.sp.gov.br/municipioss.asp?muni=NOVA%20ODESSA" TargetMode="External"/><Relationship Id="rId534" Type="http://schemas.openxmlformats.org/officeDocument/2006/relationships/hyperlink" Target="http://licenciamento.cetesb.sp.gov.br/municipioss.asp?muni=S%C3%83O%20FRANCISCO" TargetMode="External"/><Relationship Id="rId576" Type="http://schemas.openxmlformats.org/officeDocument/2006/relationships/hyperlink" Target="http://licenciamento.cetesb.sp.gov.br/municipioss.asp?muni=TAIA%C3%87U" TargetMode="External"/><Relationship Id="rId173" Type="http://schemas.openxmlformats.org/officeDocument/2006/relationships/hyperlink" Target="http://licenciamento.cetesb.sp.gov.br/municipioss.asp?muni=FARTURA" TargetMode="External"/><Relationship Id="rId229" Type="http://schemas.openxmlformats.org/officeDocument/2006/relationships/hyperlink" Target="http://licenciamento.cetesb.sp.gov.br/municipioss.asp?muni=ILHABELA" TargetMode="External"/><Relationship Id="rId380" Type="http://schemas.openxmlformats.org/officeDocument/2006/relationships/hyperlink" Target="http://licenciamento.cetesb.sp.gov.br/municipioss.asp?muni=OSASCO" TargetMode="External"/><Relationship Id="rId436" Type="http://schemas.openxmlformats.org/officeDocument/2006/relationships/hyperlink" Target="http://licenciamento.cetesb.sp.gov.br/municipioss.asp?muni=POLONI" TargetMode="External"/><Relationship Id="rId601" Type="http://schemas.openxmlformats.org/officeDocument/2006/relationships/hyperlink" Target="http://licenciamento.cetesb.sp.gov.br/municipioss.asp?muni=TUP%C3%83" TargetMode="External"/><Relationship Id="rId643" Type="http://schemas.openxmlformats.org/officeDocument/2006/relationships/hyperlink" Target="http://licenciamento.cetesb.sp.gov.br/municipioss.asp?muni=MOGI-MIRIM" TargetMode="External"/><Relationship Id="rId240" Type="http://schemas.openxmlformats.org/officeDocument/2006/relationships/hyperlink" Target="http://licenciamento.cetesb.sp.gov.br/municipioss.asp?muni=IRACEM%C3%81POLIS" TargetMode="External"/><Relationship Id="rId478" Type="http://schemas.openxmlformats.org/officeDocument/2006/relationships/hyperlink" Target="http://licenciamento.cetesb.sp.gov.br/municipioss.asp?muni=RIFAINA" TargetMode="External"/><Relationship Id="rId35" Type="http://schemas.openxmlformats.org/officeDocument/2006/relationships/hyperlink" Target="http://licenciamento.cetesb.sp.gov.br/municipioss.asp?muni=ARAPE%C3%8D" TargetMode="External"/><Relationship Id="rId77" Type="http://schemas.openxmlformats.org/officeDocument/2006/relationships/hyperlink" Target="http://licenciamento.cetesb.sp.gov.br/municipioss.asp?muni=BOM%20JESUS%20DOS%20PERD%C3%95ES" TargetMode="External"/><Relationship Id="rId100" Type="http://schemas.openxmlformats.org/officeDocument/2006/relationships/hyperlink" Target="http://licenciamento.cetesb.sp.gov.br/municipioss.asp?muni=CAIU%C3%81" TargetMode="External"/><Relationship Id="rId282" Type="http://schemas.openxmlformats.org/officeDocument/2006/relationships/hyperlink" Target="http://licenciamento.cetesb.sp.gov.br/municipioss.asp?muni=JERIQUARA" TargetMode="External"/><Relationship Id="rId338" Type="http://schemas.openxmlformats.org/officeDocument/2006/relationships/hyperlink" Target="http://licenciamento.cetesb.sp.gov.br/municipioss.asp?muni=MOGI%20GUA%C3%87U" TargetMode="External"/><Relationship Id="rId503" Type="http://schemas.openxmlformats.org/officeDocument/2006/relationships/hyperlink" Target="http://licenciamento.cetesb.sp.gov.br/municipioss.asp?muni=SANTA%20BRANCA" TargetMode="External"/><Relationship Id="rId545" Type="http://schemas.openxmlformats.org/officeDocument/2006/relationships/hyperlink" Target="http://licenciamento.cetesb.sp.gov.br/municipioss.asp?muni=S%C3%83O%20LU%C3%8DS%20DO%20PARAITINGA" TargetMode="External"/><Relationship Id="rId587" Type="http://schemas.openxmlformats.org/officeDocument/2006/relationships/hyperlink" Target="http://licenciamento.cetesb.sp.gov.br/municipioss.asp?muni=TARUM%C3%83" TargetMode="External"/><Relationship Id="rId8" Type="http://schemas.openxmlformats.org/officeDocument/2006/relationships/hyperlink" Target="http://licenciamento.cetesb.sp.gov.br/municipioss.asp?muni=AGUDOS" TargetMode="External"/><Relationship Id="rId142" Type="http://schemas.openxmlformats.org/officeDocument/2006/relationships/hyperlink" Target="http://licenciamento.cetesb.sp.gov.br/municipioss.asp?muni=COSMORAMA" TargetMode="External"/><Relationship Id="rId184" Type="http://schemas.openxmlformats.org/officeDocument/2006/relationships/hyperlink" Target="http://licenciamento.cetesb.sp.gov.br/municipioss.asp?muni=GABRIEL%20MONTEIRO" TargetMode="External"/><Relationship Id="rId391" Type="http://schemas.openxmlformats.org/officeDocument/2006/relationships/hyperlink" Target="http://licenciamento.cetesb.sp.gov.br/municipioss.asp?muni=PARAGUA%C3%87U%20PAULISTA" TargetMode="External"/><Relationship Id="rId405" Type="http://schemas.openxmlformats.org/officeDocument/2006/relationships/hyperlink" Target="http://licenciamento.cetesb.sp.gov.br/municipioss.asp?muni=PEDRA%20BELA" TargetMode="External"/><Relationship Id="rId447" Type="http://schemas.openxmlformats.org/officeDocument/2006/relationships/hyperlink" Target="http://licenciamento.cetesb.sp.gov.br/municipioss.asp?muni=POTIRENDABA" TargetMode="External"/><Relationship Id="rId612" Type="http://schemas.openxmlformats.org/officeDocument/2006/relationships/hyperlink" Target="http://licenciamento.cetesb.sp.gov.br/municipioss.asp?muni=URUP%C3%8AS" TargetMode="External"/><Relationship Id="rId251" Type="http://schemas.openxmlformats.org/officeDocument/2006/relationships/hyperlink" Target="http://licenciamento.cetesb.sp.gov.br/municipioss.asp?muni=ITAPEVA" TargetMode="External"/><Relationship Id="rId489" Type="http://schemas.openxmlformats.org/officeDocument/2006/relationships/hyperlink" Target="http://licenciamento.cetesb.sp.gov.br/municipioss.asp?muni=RUBIN%C3%89IA" TargetMode="External"/><Relationship Id="rId46" Type="http://schemas.openxmlformats.org/officeDocument/2006/relationships/hyperlink" Target="http://licenciamento.cetesb.sp.gov.br/municipioss.asp?muni=ATIBAIA" TargetMode="External"/><Relationship Id="rId293" Type="http://schemas.openxmlformats.org/officeDocument/2006/relationships/hyperlink" Target="http://licenciamento.cetesb.sp.gov.br/municipioss.asp?muni=LARANJAL%20PAULISTA" TargetMode="External"/><Relationship Id="rId307" Type="http://schemas.openxmlformats.org/officeDocument/2006/relationships/hyperlink" Target="http://licenciamento.cetesb.sp.gov.br/municipioss.asp?muni=LUIZI%C3%82NIA" TargetMode="External"/><Relationship Id="rId349" Type="http://schemas.openxmlformats.org/officeDocument/2006/relationships/hyperlink" Target="http://licenciamento.cetesb.sp.gov.br/municipioss.asp?muni=MORRO%20AGUDO" TargetMode="External"/><Relationship Id="rId514" Type="http://schemas.openxmlformats.org/officeDocument/2006/relationships/hyperlink" Target="http://licenciamento.cetesb.sp.gov.br/municipioss.asp?muni=SANTA%20MERCEDES" TargetMode="External"/><Relationship Id="rId556" Type="http://schemas.openxmlformats.org/officeDocument/2006/relationships/hyperlink" Target="http://licenciamento.cetesb.sp.gov.br/municipioss.asp?muni=SARUTAI%C3%81" TargetMode="External"/><Relationship Id="rId88" Type="http://schemas.openxmlformats.org/officeDocument/2006/relationships/hyperlink" Target="http://licenciamento.cetesb.sp.gov.br/municipioss.asp?muni=BROTAS" TargetMode="External"/><Relationship Id="rId111" Type="http://schemas.openxmlformats.org/officeDocument/2006/relationships/hyperlink" Target="http://licenciamento.cetesb.sp.gov.br/municipioss.asp?muni=CANAS" TargetMode="External"/><Relationship Id="rId153" Type="http://schemas.openxmlformats.org/officeDocument/2006/relationships/hyperlink" Target="http://licenciamento.cetesb.sp.gov.br/municipioss.asp?muni=DIVINOL%C3%82NDIA" TargetMode="External"/><Relationship Id="rId195" Type="http://schemas.openxmlformats.org/officeDocument/2006/relationships/hyperlink" Target="http://licenciamento.cetesb.sp.gov.br/municipioss.asp?muni=GUAPIA%C3%87U" TargetMode="External"/><Relationship Id="rId209" Type="http://schemas.openxmlformats.org/officeDocument/2006/relationships/hyperlink" Target="http://licenciamento.cetesb.sp.gov.br/municipioss.asp?muni=GUZOL%C3%82NDIA" TargetMode="External"/><Relationship Id="rId360" Type="http://schemas.openxmlformats.org/officeDocument/2006/relationships/hyperlink" Target="http://licenciamento.cetesb.sp.gov.br/municipioss.asp?muni=NOVA%20ALIAN%C3%87A" TargetMode="External"/><Relationship Id="rId416" Type="http://schemas.openxmlformats.org/officeDocument/2006/relationships/hyperlink" Target="http://licenciamento.cetesb.sp.gov.br/municipioss.asp?muni=PIEDADE" TargetMode="External"/><Relationship Id="rId598" Type="http://schemas.openxmlformats.org/officeDocument/2006/relationships/hyperlink" Target="http://licenciamento.cetesb.sp.gov.br/municipioss.asp?muni=TREMEMB%C3%89" TargetMode="External"/><Relationship Id="rId220" Type="http://schemas.openxmlformats.org/officeDocument/2006/relationships/hyperlink" Target="http://licenciamento.cetesb.sp.gov.br/municipioss.asp?muni=IBI%C3%9ANA" TargetMode="External"/><Relationship Id="rId458" Type="http://schemas.openxmlformats.org/officeDocument/2006/relationships/hyperlink" Target="http://licenciamento.cetesb.sp.gov.br/municipioss.asp?muni=QUAT%C3%81" TargetMode="External"/><Relationship Id="rId623" Type="http://schemas.openxmlformats.org/officeDocument/2006/relationships/hyperlink" Target="http://licenciamento.cetesb.sp.gov.br/municipioss.asp?muni=VIT%C3%93RIA%20BRASIL" TargetMode="External"/><Relationship Id="rId15" Type="http://schemas.openxmlformats.org/officeDocument/2006/relationships/hyperlink" Target="http://licenciamento.cetesb.sp.gov.br/municipioss.asp?muni=%C3%81LVARES%20FLORENCE" TargetMode="External"/><Relationship Id="rId57" Type="http://schemas.openxmlformats.org/officeDocument/2006/relationships/hyperlink" Target="http://licenciamento.cetesb.sp.gov.br/municipioss.asp?muni=BARIRI" TargetMode="External"/><Relationship Id="rId262" Type="http://schemas.openxmlformats.org/officeDocument/2006/relationships/hyperlink" Target="http://licenciamento.cetesb.sp.gov.br/municipioss.asp?muni=ITATIBA" TargetMode="External"/><Relationship Id="rId318" Type="http://schemas.openxmlformats.org/officeDocument/2006/relationships/hyperlink" Target="http://licenciamento.cetesb.sp.gov.br/municipioss.asp?muni=MARACA%C3%8D" TargetMode="External"/><Relationship Id="rId525" Type="http://schemas.openxmlformats.org/officeDocument/2006/relationships/hyperlink" Target="http://licenciamento.cetesb.sp.gov.br/municipioss.asp?muni=SANTO%20ANT%C3%94NIO%20DO%20JARDIM" TargetMode="External"/><Relationship Id="rId567" Type="http://schemas.openxmlformats.org/officeDocument/2006/relationships/hyperlink" Target="http://licenciamento.cetesb.sp.gov.br/municipioss.asp?muni=SUD%20MENNUCCI" TargetMode="External"/><Relationship Id="rId99" Type="http://schemas.openxmlformats.org/officeDocument/2006/relationships/hyperlink" Target="http://licenciamento.cetesb.sp.gov.br/municipioss.asp?muni=CAIEIRAS" TargetMode="External"/><Relationship Id="rId122" Type="http://schemas.openxmlformats.org/officeDocument/2006/relationships/hyperlink" Target="http://licenciamento.cetesb.sp.gov.br/municipioss.asp?muni=C%C3%81SSIA%20DOS%20COQUEIROS" TargetMode="External"/><Relationship Id="rId164" Type="http://schemas.openxmlformats.org/officeDocument/2006/relationships/hyperlink" Target="http://licenciamento.cetesb.sp.gov.br/municipioss.asp?muni=ELISI%C3%81RIO" TargetMode="External"/><Relationship Id="rId371" Type="http://schemas.openxmlformats.org/officeDocument/2006/relationships/hyperlink" Target="http://licenciamento.cetesb.sp.gov.br/municipioss.asp?muni=NOVO%20HORIZONTE" TargetMode="External"/><Relationship Id="rId427" Type="http://schemas.openxmlformats.org/officeDocument/2006/relationships/hyperlink" Target="http://licenciamento.cetesb.sp.gov.br/municipioss.asp?muni=PIRANGI" TargetMode="External"/><Relationship Id="rId469" Type="http://schemas.openxmlformats.org/officeDocument/2006/relationships/hyperlink" Target="http://licenciamento.cetesb.sp.gov.br/municipioss.asp?muni=RIBEIRA" TargetMode="External"/><Relationship Id="rId634" Type="http://schemas.openxmlformats.org/officeDocument/2006/relationships/hyperlink" Target="http://licenciamento.cetesb.sp.gov.br/municipioss.asp?muni=PALMEIRA%20D%60OESTE" TargetMode="External"/><Relationship Id="rId26" Type="http://schemas.openxmlformats.org/officeDocument/2006/relationships/hyperlink" Target="http://licenciamento.cetesb.sp.gov.br/municipioss.asp?muni=ANHEMBI" TargetMode="External"/><Relationship Id="rId231" Type="http://schemas.openxmlformats.org/officeDocument/2006/relationships/hyperlink" Target="http://licenciamento.cetesb.sp.gov.br/municipioss.asp?muni=INDIANA" TargetMode="External"/><Relationship Id="rId273" Type="http://schemas.openxmlformats.org/officeDocument/2006/relationships/hyperlink" Target="http://licenciamento.cetesb.sp.gov.br/municipioss.asp?muni=JACI" TargetMode="External"/><Relationship Id="rId329" Type="http://schemas.openxmlformats.org/officeDocument/2006/relationships/hyperlink" Target="http://licenciamento.cetesb.sp.gov.br/municipioss.asp?muni=MIGUEL%C3%93POLIS" TargetMode="External"/><Relationship Id="rId480" Type="http://schemas.openxmlformats.org/officeDocument/2006/relationships/hyperlink" Target="http://licenciamento.cetesb.sp.gov.br/municipioss.asp?muni=RIN%C3%93POLIS" TargetMode="External"/><Relationship Id="rId536" Type="http://schemas.openxmlformats.org/officeDocument/2006/relationships/hyperlink" Target="http://licenciamento.cetesb.sp.gov.br/municipioss.asp?muni=S%C3%83O%20JO%C3%83O%20DAS%20DUAS%20PONTES" TargetMode="External"/><Relationship Id="rId68" Type="http://schemas.openxmlformats.org/officeDocument/2006/relationships/hyperlink" Target="http://licenciamento.cetesb.sp.gov.br/municipioss.asp?muni=BENTO%20DE%20ABREU" TargetMode="External"/><Relationship Id="rId133" Type="http://schemas.openxmlformats.org/officeDocument/2006/relationships/hyperlink" Target="http://licenciamento.cetesb.sp.gov.br/municipioss.asp?muni=COLINA" TargetMode="External"/><Relationship Id="rId175" Type="http://schemas.openxmlformats.org/officeDocument/2006/relationships/hyperlink" Target="http://licenciamento.cetesb.sp.gov.br/municipioss.asp?muni=FERNAND%C3%93POLIS" TargetMode="External"/><Relationship Id="rId340" Type="http://schemas.openxmlformats.org/officeDocument/2006/relationships/hyperlink" Target="http://licenciamento.cetesb.sp.gov.br/municipioss.asp?muni=MON%C3%87%C3%95ES" TargetMode="External"/><Relationship Id="rId578" Type="http://schemas.openxmlformats.org/officeDocument/2006/relationships/hyperlink" Target="http://licenciamento.cetesb.sp.gov.br/municipioss.asp?muni=TAMBA%C3%9A" TargetMode="External"/><Relationship Id="rId200" Type="http://schemas.openxmlformats.org/officeDocument/2006/relationships/hyperlink" Target="http://licenciamento.cetesb.sp.gov.br/municipioss.asp?muni=GUARANT%C3%83" TargetMode="External"/><Relationship Id="rId382" Type="http://schemas.openxmlformats.org/officeDocument/2006/relationships/hyperlink" Target="http://licenciamento.cetesb.sp.gov.br/municipioss.asp?muni=OSVALDO%20CRUZ" TargetMode="External"/><Relationship Id="rId438" Type="http://schemas.openxmlformats.org/officeDocument/2006/relationships/hyperlink" Target="http://licenciamento.cetesb.sp.gov.br/municipioss.asp?muni=PONGA%C3%8D" TargetMode="External"/><Relationship Id="rId603" Type="http://schemas.openxmlformats.org/officeDocument/2006/relationships/hyperlink" Target="http://licenciamento.cetesb.sp.gov.br/municipioss.asp?muni=TURI%C3%9ABA" TargetMode="External"/><Relationship Id="rId645" Type="http://schemas.openxmlformats.org/officeDocument/2006/relationships/table" Target="../tables/table2.xml"/><Relationship Id="rId242" Type="http://schemas.openxmlformats.org/officeDocument/2006/relationships/hyperlink" Target="http://licenciamento.cetesb.sp.gov.br/municipioss.asp?muni=IRAPURU" TargetMode="External"/><Relationship Id="rId284" Type="http://schemas.openxmlformats.org/officeDocument/2006/relationships/hyperlink" Target="http://licenciamento.cetesb.sp.gov.br/municipioss.asp?muni=JO%C3%83O%20RAMALHO" TargetMode="External"/><Relationship Id="rId491" Type="http://schemas.openxmlformats.org/officeDocument/2006/relationships/hyperlink" Target="http://licenciamento.cetesb.sp.gov.br/municipioss.asp?muni=SAGRES" TargetMode="External"/><Relationship Id="rId505" Type="http://schemas.openxmlformats.org/officeDocument/2006/relationships/hyperlink" Target="http://licenciamento.cetesb.sp.gov.br/municipioss.asp?muni=SANTA%20CRUZ%20DA%20ESPERAN%C3%87A" TargetMode="External"/><Relationship Id="rId37" Type="http://schemas.openxmlformats.org/officeDocument/2006/relationships/hyperlink" Target="http://licenciamento.cetesb.sp.gov.br/municipioss.asp?muni=ARARAS" TargetMode="External"/><Relationship Id="rId79" Type="http://schemas.openxmlformats.org/officeDocument/2006/relationships/hyperlink" Target="http://licenciamento.cetesb.sp.gov.br/municipioss.asp?muni=BOR%C3%81" TargetMode="External"/><Relationship Id="rId102" Type="http://schemas.openxmlformats.org/officeDocument/2006/relationships/hyperlink" Target="http://licenciamento.cetesb.sp.gov.br/municipioss.asp?muni=CAJATI" TargetMode="External"/><Relationship Id="rId144" Type="http://schemas.openxmlformats.org/officeDocument/2006/relationships/hyperlink" Target="http://licenciamento.cetesb.sp.gov.br/municipioss.asp?muni=CRAVINHOS" TargetMode="External"/><Relationship Id="rId547" Type="http://schemas.openxmlformats.org/officeDocument/2006/relationships/hyperlink" Target="http://licenciamento.cetesb.sp.gov.br/municipioss.asp?muni=S%C3%83O%20MIGUEL%20ARCANJO" TargetMode="External"/><Relationship Id="rId589" Type="http://schemas.openxmlformats.org/officeDocument/2006/relationships/hyperlink" Target="http://licenciamento.cetesb.sp.gov.br/municipioss.asp?muni=TAUBAT%C3%89" TargetMode="External"/><Relationship Id="rId90" Type="http://schemas.openxmlformats.org/officeDocument/2006/relationships/hyperlink" Target="http://licenciamento.cetesb.sp.gov.br/municipioss.asp?muni=BURITAMA" TargetMode="External"/><Relationship Id="rId186" Type="http://schemas.openxmlformats.org/officeDocument/2006/relationships/hyperlink" Target="http://licenciamento.cetesb.sp.gov.br/municipioss.asp?muni=GAR%C3%87A" TargetMode="External"/><Relationship Id="rId351" Type="http://schemas.openxmlformats.org/officeDocument/2006/relationships/hyperlink" Target="http://licenciamento.cetesb.sp.gov.br/municipioss.asp?muni=MOTUCA" TargetMode="External"/><Relationship Id="rId393" Type="http://schemas.openxmlformats.org/officeDocument/2006/relationships/hyperlink" Target="http://licenciamento.cetesb.sp.gov.br/municipioss.asp?muni=PARA%C3%8DSO" TargetMode="External"/><Relationship Id="rId407" Type="http://schemas.openxmlformats.org/officeDocument/2006/relationships/hyperlink" Target="http://licenciamento.cetesb.sp.gov.br/municipioss.asp?muni=PEDREGULHO" TargetMode="External"/><Relationship Id="rId449" Type="http://schemas.openxmlformats.org/officeDocument/2006/relationships/hyperlink" Target="http://licenciamento.cetesb.sp.gov.br/municipioss.asp?muni=PRAD%C3%93POLIS" TargetMode="External"/><Relationship Id="rId614" Type="http://schemas.openxmlformats.org/officeDocument/2006/relationships/hyperlink" Target="http://licenciamento.cetesb.sp.gov.br/municipioss.asp?muni=VALINHOS" TargetMode="External"/><Relationship Id="rId211" Type="http://schemas.openxmlformats.org/officeDocument/2006/relationships/hyperlink" Target="http://licenciamento.cetesb.sp.gov.br/municipioss.asp?muni=HOLAMBRA" TargetMode="External"/><Relationship Id="rId253" Type="http://schemas.openxmlformats.org/officeDocument/2006/relationships/hyperlink" Target="http://licenciamento.cetesb.sp.gov.br/municipioss.asp?muni=ITAPIRA" TargetMode="External"/><Relationship Id="rId295" Type="http://schemas.openxmlformats.org/officeDocument/2006/relationships/hyperlink" Target="http://licenciamento.cetesb.sp.gov.br/municipioss.asp?muni=LAVRINHAS" TargetMode="External"/><Relationship Id="rId309" Type="http://schemas.openxmlformats.org/officeDocument/2006/relationships/hyperlink" Target="http://licenciamento.cetesb.sp.gov.br/municipioss.asp?muni=LUT%C3%89CIA" TargetMode="External"/><Relationship Id="rId460" Type="http://schemas.openxmlformats.org/officeDocument/2006/relationships/hyperlink" Target="http://licenciamento.cetesb.sp.gov.br/municipioss.asp?muni=QUELUZ" TargetMode="External"/><Relationship Id="rId516" Type="http://schemas.openxmlformats.org/officeDocument/2006/relationships/hyperlink" Target="http://licenciamento.cetesb.sp.gov.br/municipioss.asp?muni=SANTA%20ROSA%20DE%20VITERBO" TargetMode="External"/><Relationship Id="rId48" Type="http://schemas.openxmlformats.org/officeDocument/2006/relationships/hyperlink" Target="http://licenciamento.cetesb.sp.gov.br/municipioss.asp?muni=AVA%C3%8D" TargetMode="External"/><Relationship Id="rId113" Type="http://schemas.openxmlformats.org/officeDocument/2006/relationships/hyperlink" Target="http://licenciamento.cetesb.sp.gov.br/municipioss.asp?muni=C%C3%82NDIDO%20RODRIGUES" TargetMode="External"/><Relationship Id="rId320" Type="http://schemas.openxmlformats.org/officeDocument/2006/relationships/hyperlink" Target="http://licenciamento.cetesb.sp.gov.br/municipioss.asp?muni=MARI%C3%81POLIS" TargetMode="External"/><Relationship Id="rId558" Type="http://schemas.openxmlformats.org/officeDocument/2006/relationships/hyperlink" Target="http://licenciamento.cetesb.sp.gov.br/municipioss.asp?muni=SERRA%20AZUL" TargetMode="External"/><Relationship Id="rId155" Type="http://schemas.openxmlformats.org/officeDocument/2006/relationships/hyperlink" Target="http://licenciamento.cetesb.sp.gov.br/municipioss.asp?muni=DOIS%20C%C3%93RREGOS" TargetMode="External"/><Relationship Id="rId197" Type="http://schemas.openxmlformats.org/officeDocument/2006/relationships/hyperlink" Target="http://licenciamento.cetesb.sp.gov.br/municipioss.asp?muni=GUAR%C3%81" TargetMode="External"/><Relationship Id="rId362" Type="http://schemas.openxmlformats.org/officeDocument/2006/relationships/hyperlink" Target="http://licenciamento.cetesb.sp.gov.br/municipioss.asp?muni=NOVA%20CANA%C3%83%20PAULISTA" TargetMode="External"/><Relationship Id="rId418" Type="http://schemas.openxmlformats.org/officeDocument/2006/relationships/hyperlink" Target="http://licenciamento.cetesb.sp.gov.br/municipioss.asp?muni=PINDAMONHANGABA" TargetMode="External"/><Relationship Id="rId625" Type="http://schemas.openxmlformats.org/officeDocument/2006/relationships/hyperlink" Target="http://licenciamento.cetesb.sp.gov.br/municipioss.asp?muni=VOTUPORANGA" TargetMode="External"/><Relationship Id="rId222" Type="http://schemas.openxmlformats.org/officeDocument/2006/relationships/hyperlink" Target="http://licenciamento.cetesb.sp.gov.br/municipioss.asp?muni=IEP%C3%8A" TargetMode="External"/><Relationship Id="rId264" Type="http://schemas.openxmlformats.org/officeDocument/2006/relationships/hyperlink" Target="http://licenciamento.cetesb.sp.gov.br/municipioss.asp?muni=ITIRAPINA" TargetMode="External"/><Relationship Id="rId471" Type="http://schemas.openxmlformats.org/officeDocument/2006/relationships/hyperlink" Target="http://licenciamento.cetesb.sp.gov.br/municipioss.asp?muni=RIBEIR%C3%83O%20BRANCO" TargetMode="External"/><Relationship Id="rId17" Type="http://schemas.openxmlformats.org/officeDocument/2006/relationships/hyperlink" Target="http://licenciamento.cetesb.sp.gov.br/municipioss.asp?muni=%C3%81LVARO%20DE%20CARVALHO" TargetMode="External"/><Relationship Id="rId59" Type="http://schemas.openxmlformats.org/officeDocument/2006/relationships/hyperlink" Target="http://licenciamento.cetesb.sp.gov.br/municipioss.asp?muni=BARRA%20DO%20CHAP%C3%89U" TargetMode="External"/><Relationship Id="rId124" Type="http://schemas.openxmlformats.org/officeDocument/2006/relationships/hyperlink" Target="http://licenciamento.cetesb.sp.gov.br/municipioss.asp?muni=CATANDUVA" TargetMode="External"/><Relationship Id="rId527" Type="http://schemas.openxmlformats.org/officeDocument/2006/relationships/hyperlink" Target="http://licenciamento.cetesb.sp.gov.br/municipioss.asp?muni=SANTO%20EXPEDITO" TargetMode="External"/><Relationship Id="rId569" Type="http://schemas.openxmlformats.org/officeDocument/2006/relationships/hyperlink" Target="http://licenciamento.cetesb.sp.gov.br/municipioss.asp?muni=SUZAN%C3%81POLIS" TargetMode="External"/><Relationship Id="rId70" Type="http://schemas.openxmlformats.org/officeDocument/2006/relationships/hyperlink" Target="http://licenciamento.cetesb.sp.gov.br/municipioss.asp?muni=BERTIOGA" TargetMode="External"/><Relationship Id="rId166" Type="http://schemas.openxmlformats.org/officeDocument/2006/relationships/hyperlink" Target="http://licenciamento.cetesb.sp.gov.br/municipioss.asp?muni=EMILIAN%C3%93POLIS" TargetMode="External"/><Relationship Id="rId331" Type="http://schemas.openxmlformats.org/officeDocument/2006/relationships/hyperlink" Target="http://licenciamento.cetesb.sp.gov.br/municipioss.asp?muni=MIRA%20ESTRELA" TargetMode="External"/><Relationship Id="rId373" Type="http://schemas.openxmlformats.org/officeDocument/2006/relationships/hyperlink" Target="http://licenciamento.cetesb.sp.gov.br/municipioss.asp?muni=OCAU%C3%87U" TargetMode="External"/><Relationship Id="rId429" Type="http://schemas.openxmlformats.org/officeDocument/2006/relationships/hyperlink" Target="http://licenciamento.cetesb.sp.gov.br/municipioss.asp?muni=PIRAPOZINHO" TargetMode="External"/><Relationship Id="rId580" Type="http://schemas.openxmlformats.org/officeDocument/2006/relationships/hyperlink" Target="http://licenciamento.cetesb.sp.gov.br/municipioss.asp?muni=TAPIRA%C3%8D" TargetMode="External"/><Relationship Id="rId636" Type="http://schemas.openxmlformats.org/officeDocument/2006/relationships/hyperlink" Target="http://licenciamento.cetesb.sp.gov.br/municipioss.asp?muni=SANTA%20CLARA%20D%60OESTE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3:J12"/>
  <sheetViews>
    <sheetView tabSelected="1" topLeftCell="A4" workbookViewId="0">
      <selection activeCell="A13" sqref="A13"/>
    </sheetView>
  </sheetViews>
  <sheetFormatPr defaultRowHeight="15" x14ac:dyDescent="0.25"/>
  <cols>
    <col min="1" max="1" width="10.85546875" bestFit="1" customWidth="1"/>
    <col min="2" max="2" width="17.5703125" bestFit="1" customWidth="1"/>
    <col min="3" max="3" width="9.28515625" bestFit="1" customWidth="1"/>
    <col min="4" max="4" width="6.28515625" bestFit="1" customWidth="1"/>
    <col min="5" max="5" width="4.28515625" bestFit="1" customWidth="1"/>
    <col min="6" max="6" width="9.42578125" bestFit="1" customWidth="1"/>
    <col min="7" max="7" width="18.28515625" bestFit="1" customWidth="1"/>
    <col min="8" max="8" width="9" bestFit="1" customWidth="1"/>
    <col min="9" max="9" width="4" bestFit="1" customWidth="1"/>
    <col min="10" max="10" width="5.85546875" bestFit="1" customWidth="1"/>
  </cols>
  <sheetData>
    <row r="3" spans="1:10" x14ac:dyDescent="0.25">
      <c r="A3" t="s">
        <v>1857</v>
      </c>
      <c r="B3" t="s">
        <v>1585</v>
      </c>
      <c r="C3" t="s">
        <v>1586</v>
      </c>
      <c r="D3" t="s">
        <v>1587</v>
      </c>
      <c r="E3" t="s">
        <v>1588</v>
      </c>
      <c r="F3" t="s">
        <v>1589</v>
      </c>
      <c r="G3" t="s">
        <v>1806</v>
      </c>
      <c r="H3" t="s">
        <v>1590</v>
      </c>
      <c r="I3" t="s">
        <v>1591</v>
      </c>
      <c r="J3" t="s">
        <v>1592</v>
      </c>
    </row>
    <row r="4" spans="1:10" x14ac:dyDescent="0.25">
      <c r="A4" s="4" t="s">
        <v>1871</v>
      </c>
      <c r="B4" s="4" t="s">
        <v>1872</v>
      </c>
      <c r="C4" s="4" t="s">
        <v>1873</v>
      </c>
      <c r="D4" s="4" t="s">
        <v>1874</v>
      </c>
      <c r="E4" s="4" t="s">
        <v>1875</v>
      </c>
      <c r="F4" s="4" t="s">
        <v>1876</v>
      </c>
      <c r="G4" s="4" t="s">
        <v>1877</v>
      </c>
      <c r="H4" s="4" t="s">
        <v>1878</v>
      </c>
      <c r="I4" s="4" t="s">
        <v>1879</v>
      </c>
      <c r="J4" s="4" t="s">
        <v>1880</v>
      </c>
    </row>
    <row r="7" spans="1:10" x14ac:dyDescent="0.25">
      <c r="A7" t="s">
        <v>1927</v>
      </c>
    </row>
    <row r="8" spans="1:10" x14ac:dyDescent="0.25">
      <c r="A8" t="s">
        <v>1928</v>
      </c>
    </row>
    <row r="9" spans="1:10" x14ac:dyDescent="0.25">
      <c r="A9" s="20" t="s">
        <v>1929</v>
      </c>
    </row>
    <row r="12" spans="1:10" x14ac:dyDescent="0.25">
      <c r="A12" t="s">
        <v>1968</v>
      </c>
    </row>
  </sheetData>
  <hyperlinks>
    <hyperlink ref="A9" r:id="rId1"/>
  </hyperlink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3:H3"/>
  <sheetViews>
    <sheetView zoomScale="85" zoomScaleNormal="85" workbookViewId="0">
      <selection activeCell="A3" sqref="A3:H46"/>
    </sheetView>
  </sheetViews>
  <sheetFormatPr defaultRowHeight="15" x14ac:dyDescent="0.25"/>
  <cols>
    <col min="1" max="2" width="43.28515625" bestFit="1" customWidth="1"/>
    <col min="3" max="3" width="29.7109375" bestFit="1" customWidth="1"/>
    <col min="4" max="4" width="14.7109375" customWidth="1"/>
    <col min="5" max="5" width="33.5703125" bestFit="1" customWidth="1"/>
    <col min="6" max="6" width="18.28515625" bestFit="1" customWidth="1"/>
    <col min="7" max="7" width="16.7109375" bestFit="1" customWidth="1"/>
    <col min="8" max="8" width="15.85546875" customWidth="1"/>
  </cols>
  <sheetData>
    <row r="3" spans="1:8" x14ac:dyDescent="0.25">
      <c r="A3" s="1" t="s">
        <v>648</v>
      </c>
      <c r="B3" s="1" t="s">
        <v>649</v>
      </c>
      <c r="C3" s="1" t="s">
        <v>650</v>
      </c>
      <c r="D3" s="1" t="s">
        <v>652</v>
      </c>
      <c r="E3" s="1" t="s">
        <v>651</v>
      </c>
      <c r="F3" s="1" t="s">
        <v>653</v>
      </c>
      <c r="G3" s="1" t="s">
        <v>654</v>
      </c>
      <c r="H3" s="1" t="s">
        <v>655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H648"/>
  <sheetViews>
    <sheetView topLeftCell="A163" workbookViewId="0">
      <selection activeCell="F170" sqref="F170"/>
    </sheetView>
  </sheetViews>
  <sheetFormatPr defaultRowHeight="15" x14ac:dyDescent="0.25"/>
  <cols>
    <col min="1" max="1" width="13.140625" style="2" bestFit="1" customWidth="1"/>
    <col min="2" max="2" width="28.28515625" style="2" bestFit="1" customWidth="1"/>
    <col min="3" max="3" width="13.140625" style="2" bestFit="1" customWidth="1"/>
    <col min="4" max="4" width="39.140625" style="2" bestFit="1" customWidth="1"/>
    <col min="5" max="5" width="13.140625" style="2" bestFit="1" customWidth="1"/>
    <col min="6" max="6" width="26.42578125" style="2" bestFit="1" customWidth="1"/>
    <col min="7" max="7" width="13.140625" style="2" bestFit="1" customWidth="1"/>
    <col min="8" max="8" width="14.140625" style="2" bestFit="1" customWidth="1"/>
    <col min="9" max="16384" width="9.140625" style="2"/>
  </cols>
  <sheetData>
    <row r="1" spans="1:8" x14ac:dyDescent="0.25">
      <c r="E1" s="2" t="s">
        <v>939</v>
      </c>
      <c r="F1" s="2" t="s">
        <v>1805</v>
      </c>
      <c r="G1" s="2" t="s">
        <v>1857</v>
      </c>
      <c r="H1" s="4" t="s">
        <v>1965</v>
      </c>
    </row>
    <row r="2" spans="1:8" x14ac:dyDescent="0.25">
      <c r="E2" s="2">
        <v>3500105</v>
      </c>
      <c r="F2" s="2" t="s">
        <v>940</v>
      </c>
      <c r="G2" s="2" t="s">
        <v>1687</v>
      </c>
      <c r="H2" s="4">
        <v>3500105</v>
      </c>
    </row>
    <row r="3" spans="1:8" x14ac:dyDescent="0.25">
      <c r="A3" s="1" t="s">
        <v>939</v>
      </c>
      <c r="B3" s="1" t="s">
        <v>1805</v>
      </c>
      <c r="C3" s="1" t="s">
        <v>1857</v>
      </c>
      <c r="D3"/>
      <c r="E3" s="2">
        <v>3500204</v>
      </c>
      <c r="F3" s="2" t="s">
        <v>941</v>
      </c>
      <c r="G3" s="2" t="s">
        <v>1777</v>
      </c>
      <c r="H3" s="4">
        <v>3500204</v>
      </c>
    </row>
    <row r="4" spans="1:8" x14ac:dyDescent="0.25">
      <c r="A4" s="4">
        <v>3500105</v>
      </c>
      <c r="B4" s="4" t="s">
        <v>940</v>
      </c>
      <c r="C4" s="4" t="s">
        <v>1687</v>
      </c>
      <c r="D4"/>
      <c r="E4">
        <v>3500303</v>
      </c>
      <c r="F4" t="s">
        <v>942</v>
      </c>
      <c r="G4" t="s">
        <v>1773</v>
      </c>
      <c r="H4" s="4">
        <v>3500303</v>
      </c>
    </row>
    <row r="5" spans="1:8" x14ac:dyDescent="0.25">
      <c r="A5" s="4">
        <v>3500204</v>
      </c>
      <c r="B5" s="4" t="s">
        <v>941</v>
      </c>
      <c r="C5" s="4" t="s">
        <v>1777</v>
      </c>
      <c r="D5"/>
      <c r="E5">
        <v>3500402</v>
      </c>
      <c r="F5" t="s">
        <v>943</v>
      </c>
      <c r="G5" t="s">
        <v>1773</v>
      </c>
      <c r="H5" s="4">
        <v>3500402</v>
      </c>
    </row>
    <row r="6" spans="1:8" x14ac:dyDescent="0.25">
      <c r="A6" s="4">
        <v>3500303</v>
      </c>
      <c r="B6" s="4" t="s">
        <v>942</v>
      </c>
      <c r="C6" s="4" t="s">
        <v>1773</v>
      </c>
      <c r="D6"/>
      <c r="E6">
        <v>3500501</v>
      </c>
      <c r="F6" t="s">
        <v>944</v>
      </c>
      <c r="G6" t="s">
        <v>1733</v>
      </c>
      <c r="H6" s="4">
        <v>3500501</v>
      </c>
    </row>
    <row r="7" spans="1:8" x14ac:dyDescent="0.25">
      <c r="A7" s="4">
        <v>3500402</v>
      </c>
      <c r="B7" s="4" t="s">
        <v>943</v>
      </c>
      <c r="C7" s="4" t="s">
        <v>1773</v>
      </c>
      <c r="D7"/>
      <c r="E7">
        <v>3500550</v>
      </c>
      <c r="F7" t="s">
        <v>945</v>
      </c>
      <c r="G7" t="s">
        <v>1656</v>
      </c>
      <c r="H7" s="4">
        <v>3500550</v>
      </c>
    </row>
    <row r="8" spans="1:8" x14ac:dyDescent="0.25">
      <c r="A8" s="4">
        <v>3500501</v>
      </c>
      <c r="B8" s="4" t="s">
        <v>944</v>
      </c>
      <c r="C8" s="4" t="s">
        <v>1733</v>
      </c>
      <c r="D8"/>
      <c r="E8">
        <v>3500600</v>
      </c>
      <c r="F8" t="s">
        <v>946</v>
      </c>
      <c r="G8" t="s">
        <v>1745</v>
      </c>
      <c r="H8" s="4">
        <v>3500600</v>
      </c>
    </row>
    <row r="9" spans="1:8" x14ac:dyDescent="0.25">
      <c r="A9" s="4">
        <v>3500550</v>
      </c>
      <c r="B9" s="4" t="s">
        <v>945</v>
      </c>
      <c r="C9" s="4" t="s">
        <v>1656</v>
      </c>
      <c r="D9"/>
      <c r="E9">
        <v>3500709</v>
      </c>
      <c r="F9" t="s">
        <v>947</v>
      </c>
      <c r="G9" t="s">
        <v>1665</v>
      </c>
      <c r="H9" s="4">
        <v>3500709</v>
      </c>
    </row>
    <row r="10" spans="1:8" x14ac:dyDescent="0.25">
      <c r="A10" s="4">
        <v>3500600</v>
      </c>
      <c r="B10" s="4" t="s">
        <v>946</v>
      </c>
      <c r="C10" s="4" t="s">
        <v>1745</v>
      </c>
      <c r="D10"/>
      <c r="E10">
        <v>3500758</v>
      </c>
      <c r="F10" t="s">
        <v>948</v>
      </c>
      <c r="G10" t="s">
        <v>1702</v>
      </c>
      <c r="H10" s="4">
        <v>3500758</v>
      </c>
    </row>
    <row r="11" spans="1:8" x14ac:dyDescent="0.25">
      <c r="A11" s="4">
        <v>3500709</v>
      </c>
      <c r="B11" s="4" t="s">
        <v>947</v>
      </c>
      <c r="C11" s="4" t="s">
        <v>1665</v>
      </c>
      <c r="D11"/>
      <c r="E11">
        <v>3500808</v>
      </c>
      <c r="F11" t="s">
        <v>949</v>
      </c>
      <c r="G11" t="s">
        <v>1748</v>
      </c>
      <c r="H11" s="4">
        <v>3500808</v>
      </c>
    </row>
    <row r="12" spans="1:8" x14ac:dyDescent="0.25">
      <c r="A12" s="4">
        <v>3500758</v>
      </c>
      <c r="B12" s="4" t="s">
        <v>948</v>
      </c>
      <c r="C12" s="4" t="s">
        <v>1702</v>
      </c>
      <c r="D12"/>
      <c r="E12">
        <v>3500907</v>
      </c>
      <c r="F12" t="s">
        <v>950</v>
      </c>
      <c r="G12" t="s">
        <v>1660</v>
      </c>
      <c r="H12" s="4">
        <v>3500907</v>
      </c>
    </row>
    <row r="13" spans="1:8" x14ac:dyDescent="0.25">
      <c r="A13" s="4">
        <v>3500808</v>
      </c>
      <c r="B13" s="4" t="s">
        <v>949</v>
      </c>
      <c r="C13" s="4" t="s">
        <v>1748</v>
      </c>
      <c r="D13"/>
      <c r="E13">
        <v>3501004</v>
      </c>
      <c r="F13" t="s">
        <v>951</v>
      </c>
      <c r="G13" t="s">
        <v>1757</v>
      </c>
      <c r="H13" s="4">
        <v>3501004</v>
      </c>
    </row>
    <row r="14" spans="1:8" x14ac:dyDescent="0.25">
      <c r="A14" s="4">
        <v>3500907</v>
      </c>
      <c r="B14" s="4" t="s">
        <v>950</v>
      </c>
      <c r="C14" s="4" t="s">
        <v>1660</v>
      </c>
      <c r="D14"/>
      <c r="E14">
        <v>3501103</v>
      </c>
      <c r="F14" t="s">
        <v>952</v>
      </c>
      <c r="G14" t="s">
        <v>1639</v>
      </c>
      <c r="H14" s="4">
        <v>3501103</v>
      </c>
    </row>
    <row r="15" spans="1:8" x14ac:dyDescent="0.25">
      <c r="A15" s="4">
        <v>3501004</v>
      </c>
      <c r="B15" s="4" t="s">
        <v>951</v>
      </c>
      <c r="C15" s="4" t="s">
        <v>1757</v>
      </c>
      <c r="D15"/>
      <c r="E15">
        <v>3501152</v>
      </c>
      <c r="F15" t="s">
        <v>953</v>
      </c>
      <c r="G15" t="s">
        <v>1706</v>
      </c>
      <c r="H15" s="4">
        <v>3501152</v>
      </c>
    </row>
    <row r="16" spans="1:8" x14ac:dyDescent="0.25">
      <c r="A16" s="4">
        <v>3501103</v>
      </c>
      <c r="B16" s="4" t="s">
        <v>952</v>
      </c>
      <c r="C16" s="4" t="s">
        <v>1639</v>
      </c>
      <c r="D16"/>
      <c r="E16">
        <v>3501202</v>
      </c>
      <c r="F16" t="s">
        <v>954</v>
      </c>
      <c r="G16" t="s">
        <v>1798</v>
      </c>
      <c r="H16" s="4">
        <v>3501202</v>
      </c>
    </row>
    <row r="17" spans="1:8" x14ac:dyDescent="0.25">
      <c r="A17" s="4">
        <v>3501152</v>
      </c>
      <c r="B17" s="4" t="s">
        <v>953</v>
      </c>
      <c r="C17" s="4" t="s">
        <v>1706</v>
      </c>
      <c r="D17"/>
      <c r="E17">
        <v>3501301</v>
      </c>
      <c r="F17" t="s">
        <v>955</v>
      </c>
      <c r="G17" t="s">
        <v>1748</v>
      </c>
      <c r="H17" s="4">
        <v>3501301</v>
      </c>
    </row>
    <row r="18" spans="1:8" x14ac:dyDescent="0.25">
      <c r="A18" s="4">
        <v>3501202</v>
      </c>
      <c r="B18" s="4" t="s">
        <v>954</v>
      </c>
      <c r="C18" s="4" t="s">
        <v>1798</v>
      </c>
      <c r="D18"/>
      <c r="E18">
        <v>3501400</v>
      </c>
      <c r="F18" t="s">
        <v>956</v>
      </c>
      <c r="G18" t="s">
        <v>1726</v>
      </c>
      <c r="H18" s="4">
        <v>3501400</v>
      </c>
    </row>
    <row r="19" spans="1:8" x14ac:dyDescent="0.25">
      <c r="A19" s="4">
        <v>3501301</v>
      </c>
      <c r="B19" s="4" t="s">
        <v>955</v>
      </c>
      <c r="C19" s="4" t="s">
        <v>1748</v>
      </c>
      <c r="D19"/>
      <c r="E19">
        <v>3501509</v>
      </c>
      <c r="F19" t="s">
        <v>957</v>
      </c>
      <c r="G19" t="s">
        <v>1726</v>
      </c>
      <c r="H19" s="4">
        <v>3501509</v>
      </c>
    </row>
    <row r="20" spans="1:8" x14ac:dyDescent="0.25">
      <c r="A20" s="4">
        <v>3501400</v>
      </c>
      <c r="B20" s="4" t="s">
        <v>956</v>
      </c>
      <c r="C20" s="4" t="s">
        <v>1726</v>
      </c>
      <c r="D20"/>
      <c r="E20">
        <v>3501608</v>
      </c>
      <c r="F20" t="s">
        <v>958</v>
      </c>
      <c r="G20" t="s">
        <v>1635</v>
      </c>
      <c r="H20" s="4">
        <v>3501608</v>
      </c>
    </row>
    <row r="21" spans="1:8" x14ac:dyDescent="0.25">
      <c r="A21" s="4">
        <v>3501509</v>
      </c>
      <c r="B21" s="4" t="s">
        <v>957</v>
      </c>
      <c r="C21" s="4" t="s">
        <v>1726</v>
      </c>
      <c r="D21"/>
      <c r="E21">
        <v>3501707</v>
      </c>
      <c r="F21" t="s">
        <v>959</v>
      </c>
      <c r="G21" t="s">
        <v>1644</v>
      </c>
      <c r="H21" s="4">
        <v>3501707</v>
      </c>
    </row>
    <row r="22" spans="1:8" x14ac:dyDescent="0.25">
      <c r="A22" s="4">
        <v>3501608</v>
      </c>
      <c r="B22" s="4" t="s">
        <v>958</v>
      </c>
      <c r="C22" s="4" t="s">
        <v>1635</v>
      </c>
      <c r="D22"/>
      <c r="E22">
        <v>3501806</v>
      </c>
      <c r="F22" t="s">
        <v>960</v>
      </c>
      <c r="G22" t="s">
        <v>1798</v>
      </c>
      <c r="H22" s="4">
        <v>3501806</v>
      </c>
    </row>
    <row r="23" spans="1:8" x14ac:dyDescent="0.25">
      <c r="A23" s="4">
        <v>3501707</v>
      </c>
      <c r="B23" s="4" t="s">
        <v>959</v>
      </c>
      <c r="C23" s="4" t="s">
        <v>1644</v>
      </c>
      <c r="D23"/>
      <c r="E23">
        <v>3501905</v>
      </c>
      <c r="F23" t="s">
        <v>961</v>
      </c>
      <c r="G23" t="s">
        <v>1741</v>
      </c>
      <c r="H23" s="4">
        <v>3501905</v>
      </c>
    </row>
    <row r="24" spans="1:8" x14ac:dyDescent="0.25">
      <c r="A24" s="4">
        <v>3501806</v>
      </c>
      <c r="B24" s="4" t="s">
        <v>960</v>
      </c>
      <c r="C24" s="4" t="s">
        <v>1798</v>
      </c>
      <c r="D24"/>
      <c r="E24">
        <v>3502002</v>
      </c>
      <c r="F24" t="s">
        <v>962</v>
      </c>
      <c r="G24" t="s">
        <v>1745</v>
      </c>
      <c r="H24" s="4">
        <v>3502002</v>
      </c>
    </row>
    <row r="25" spans="1:8" x14ac:dyDescent="0.25">
      <c r="A25" s="4">
        <v>3501905</v>
      </c>
      <c r="B25" s="4" t="s">
        <v>961</v>
      </c>
      <c r="C25" s="4" t="s">
        <v>1741</v>
      </c>
      <c r="D25"/>
      <c r="E25">
        <v>3502101</v>
      </c>
      <c r="F25" t="s">
        <v>963</v>
      </c>
      <c r="G25" t="s">
        <v>1687</v>
      </c>
      <c r="H25" s="4">
        <v>3502101</v>
      </c>
    </row>
    <row r="26" spans="1:8" x14ac:dyDescent="0.25">
      <c r="A26" s="4">
        <v>3502002</v>
      </c>
      <c r="B26" s="4" t="s">
        <v>962</v>
      </c>
      <c r="C26" s="4" t="s">
        <v>1745</v>
      </c>
      <c r="D26"/>
      <c r="E26">
        <v>3502200</v>
      </c>
      <c r="F26" t="s">
        <v>964</v>
      </c>
      <c r="G26" t="s">
        <v>1702</v>
      </c>
      <c r="H26" s="4">
        <v>3502200</v>
      </c>
    </row>
    <row r="27" spans="1:8" x14ac:dyDescent="0.25">
      <c r="A27" s="4">
        <v>3502101</v>
      </c>
      <c r="B27" s="4" t="s">
        <v>963</v>
      </c>
      <c r="C27" s="4" t="s">
        <v>1687</v>
      </c>
      <c r="D27"/>
      <c r="E27">
        <v>3502309</v>
      </c>
      <c r="F27" t="s">
        <v>965</v>
      </c>
      <c r="G27" t="s">
        <v>1670</v>
      </c>
      <c r="H27" s="4">
        <v>3502309</v>
      </c>
    </row>
    <row r="28" spans="1:8" x14ac:dyDescent="0.25">
      <c r="A28" s="4">
        <v>3502200</v>
      </c>
      <c r="B28" s="4" t="s">
        <v>964</v>
      </c>
      <c r="C28" s="4" t="s">
        <v>1702</v>
      </c>
      <c r="D28"/>
      <c r="E28">
        <v>3502408</v>
      </c>
      <c r="F28" t="s">
        <v>966</v>
      </c>
      <c r="G28" t="s">
        <v>1748</v>
      </c>
      <c r="H28" s="4">
        <v>3502408</v>
      </c>
    </row>
    <row r="29" spans="1:8" x14ac:dyDescent="0.25">
      <c r="A29" s="4">
        <v>3502309</v>
      </c>
      <c r="B29" s="4" t="s">
        <v>965</v>
      </c>
      <c r="C29" s="4" t="s">
        <v>1670</v>
      </c>
      <c r="D29"/>
      <c r="E29">
        <v>3502507</v>
      </c>
      <c r="F29" t="s">
        <v>967</v>
      </c>
      <c r="G29" t="s">
        <v>1794</v>
      </c>
      <c r="H29" s="4">
        <v>3502507</v>
      </c>
    </row>
    <row r="30" spans="1:8" x14ac:dyDescent="0.25">
      <c r="A30" s="4">
        <v>3502408</v>
      </c>
      <c r="B30" s="4" t="s">
        <v>966</v>
      </c>
      <c r="C30" s="4" t="s">
        <v>1748</v>
      </c>
      <c r="D30"/>
      <c r="E30">
        <v>3502606</v>
      </c>
      <c r="F30" t="s">
        <v>968</v>
      </c>
      <c r="G30" t="s">
        <v>1713</v>
      </c>
      <c r="H30" s="4">
        <v>3502606</v>
      </c>
    </row>
    <row r="31" spans="1:8" x14ac:dyDescent="0.25">
      <c r="A31" s="4">
        <v>3502507</v>
      </c>
      <c r="B31" s="4" t="s">
        <v>967</v>
      </c>
      <c r="C31" s="4" t="s">
        <v>1794</v>
      </c>
      <c r="D31"/>
      <c r="E31">
        <v>3502705</v>
      </c>
      <c r="F31" t="s">
        <v>969</v>
      </c>
      <c r="G31" t="s">
        <v>1678</v>
      </c>
      <c r="H31" s="4">
        <v>3502705</v>
      </c>
    </row>
    <row r="32" spans="1:8" x14ac:dyDescent="0.25">
      <c r="A32" s="4">
        <v>3502606</v>
      </c>
      <c r="B32" s="4" t="s">
        <v>968</v>
      </c>
      <c r="C32" s="4" t="s">
        <v>1713</v>
      </c>
      <c r="D32"/>
      <c r="E32">
        <v>3502754</v>
      </c>
      <c r="F32" t="s">
        <v>970</v>
      </c>
      <c r="G32" t="s">
        <v>1706</v>
      </c>
      <c r="H32" s="4">
        <v>3502754</v>
      </c>
    </row>
    <row r="33" spans="1:8" x14ac:dyDescent="0.25">
      <c r="A33" s="4">
        <v>3502705</v>
      </c>
      <c r="B33" s="4" t="s">
        <v>969</v>
      </c>
      <c r="C33" s="4" t="s">
        <v>1678</v>
      </c>
      <c r="D33"/>
      <c r="E33">
        <v>3502804</v>
      </c>
      <c r="F33" t="s">
        <v>971</v>
      </c>
      <c r="G33" t="s">
        <v>1639</v>
      </c>
      <c r="H33" s="4">
        <v>3502804</v>
      </c>
    </row>
    <row r="34" spans="1:8" x14ac:dyDescent="0.25">
      <c r="A34" s="4">
        <v>3502754</v>
      </c>
      <c r="B34" s="4" t="s">
        <v>970</v>
      </c>
      <c r="C34" s="4" t="s">
        <v>1706</v>
      </c>
      <c r="D34"/>
      <c r="E34">
        <v>3502903</v>
      </c>
      <c r="F34" t="s">
        <v>972</v>
      </c>
      <c r="G34" t="s">
        <v>1789</v>
      </c>
      <c r="H34" s="4">
        <v>3502903</v>
      </c>
    </row>
    <row r="35" spans="1:8" x14ac:dyDescent="0.25">
      <c r="A35" s="4">
        <v>3502804</v>
      </c>
      <c r="B35" s="4" t="s">
        <v>971</v>
      </c>
      <c r="C35" s="4" t="s">
        <v>1639</v>
      </c>
      <c r="D35"/>
      <c r="E35">
        <v>3503000</v>
      </c>
      <c r="F35" t="s">
        <v>973</v>
      </c>
      <c r="G35" t="s">
        <v>1694</v>
      </c>
      <c r="H35" s="4">
        <v>3503000</v>
      </c>
    </row>
    <row r="36" spans="1:8" x14ac:dyDescent="0.25">
      <c r="A36" s="4">
        <v>3502903</v>
      </c>
      <c r="B36" s="4" t="s">
        <v>972</v>
      </c>
      <c r="C36" s="4" t="s">
        <v>1789</v>
      </c>
      <c r="D36"/>
      <c r="E36">
        <v>3503109</v>
      </c>
      <c r="F36" t="s">
        <v>974</v>
      </c>
      <c r="G36" t="s">
        <v>1656</v>
      </c>
      <c r="H36" s="4">
        <v>3503109</v>
      </c>
    </row>
    <row r="37" spans="1:8" x14ac:dyDescent="0.25">
      <c r="A37" s="4">
        <v>3503000</v>
      </c>
      <c r="B37" s="4" t="s">
        <v>973</v>
      </c>
      <c r="C37" s="4" t="s">
        <v>1694</v>
      </c>
      <c r="D37"/>
      <c r="E37">
        <v>3503158</v>
      </c>
      <c r="F37" t="s">
        <v>975</v>
      </c>
      <c r="G37" t="s">
        <v>1794</v>
      </c>
      <c r="H37" s="4">
        <v>3503158</v>
      </c>
    </row>
    <row r="38" spans="1:8" x14ac:dyDescent="0.25">
      <c r="A38" s="4">
        <v>3503109</v>
      </c>
      <c r="B38" s="4" t="s">
        <v>974</v>
      </c>
      <c r="C38" s="4" t="s">
        <v>1656</v>
      </c>
      <c r="D38"/>
      <c r="E38">
        <v>3503208</v>
      </c>
      <c r="F38" t="s">
        <v>976</v>
      </c>
      <c r="G38" t="s">
        <v>1644</v>
      </c>
      <c r="H38" s="4">
        <v>3503208</v>
      </c>
    </row>
    <row r="39" spans="1:8" x14ac:dyDescent="0.25">
      <c r="A39" s="4">
        <v>3503158</v>
      </c>
      <c r="B39" s="4" t="s">
        <v>975</v>
      </c>
      <c r="C39" s="4" t="s">
        <v>1794</v>
      </c>
      <c r="D39"/>
      <c r="E39">
        <v>3503307</v>
      </c>
      <c r="F39" t="s">
        <v>977</v>
      </c>
      <c r="G39" t="s">
        <v>1733</v>
      </c>
      <c r="H39" s="4">
        <v>3503307</v>
      </c>
    </row>
    <row r="40" spans="1:8" x14ac:dyDescent="0.25">
      <c r="A40" s="4">
        <v>3503208</v>
      </c>
      <c r="B40" s="4" t="s">
        <v>976</v>
      </c>
      <c r="C40" s="4" t="s">
        <v>1644</v>
      </c>
      <c r="D40"/>
      <c r="E40">
        <v>3503356</v>
      </c>
      <c r="F40" t="s">
        <v>978</v>
      </c>
      <c r="G40" t="s">
        <v>1726</v>
      </c>
      <c r="H40" s="4">
        <v>3503356</v>
      </c>
    </row>
    <row r="41" spans="1:8" x14ac:dyDescent="0.25">
      <c r="A41" s="4">
        <v>3503307</v>
      </c>
      <c r="B41" s="4" t="s">
        <v>977</v>
      </c>
      <c r="C41" s="4" t="s">
        <v>1733</v>
      </c>
      <c r="D41"/>
      <c r="E41">
        <v>3503406</v>
      </c>
      <c r="F41" t="s">
        <v>979</v>
      </c>
      <c r="G41" t="s">
        <v>1665</v>
      </c>
      <c r="H41" s="4">
        <v>3503406</v>
      </c>
    </row>
    <row r="42" spans="1:8" x14ac:dyDescent="0.25">
      <c r="A42" s="4">
        <v>3503356</v>
      </c>
      <c r="B42" s="4" t="s">
        <v>978</v>
      </c>
      <c r="C42" s="4" t="s">
        <v>1726</v>
      </c>
      <c r="D42"/>
      <c r="E42">
        <v>3503505</v>
      </c>
      <c r="F42" t="s">
        <v>980</v>
      </c>
      <c r="G42" t="s">
        <v>1794</v>
      </c>
      <c r="H42" s="4">
        <v>3503505</v>
      </c>
    </row>
    <row r="43" spans="1:8" x14ac:dyDescent="0.25">
      <c r="A43" s="4">
        <v>3503406</v>
      </c>
      <c r="B43" s="4" t="s">
        <v>979</v>
      </c>
      <c r="C43" s="4" t="s">
        <v>1665</v>
      </c>
      <c r="D43"/>
      <c r="E43">
        <v>3503604</v>
      </c>
      <c r="F43" t="s">
        <v>981</v>
      </c>
      <c r="G43" t="s">
        <v>1670</v>
      </c>
      <c r="H43" s="4">
        <v>3503604</v>
      </c>
    </row>
    <row r="44" spans="1:8" x14ac:dyDescent="0.25">
      <c r="A44" s="4">
        <v>3503505</v>
      </c>
      <c r="B44" s="4" t="s">
        <v>980</v>
      </c>
      <c r="C44" s="4" t="s">
        <v>1794</v>
      </c>
      <c r="D44"/>
      <c r="E44">
        <v>3503703</v>
      </c>
      <c r="F44" t="s">
        <v>982</v>
      </c>
      <c r="G44" t="s">
        <v>1777</v>
      </c>
      <c r="H44" s="4">
        <v>3503703</v>
      </c>
    </row>
    <row r="45" spans="1:8" x14ac:dyDescent="0.25">
      <c r="A45" s="4">
        <v>3503604</v>
      </c>
      <c r="B45" s="4" t="s">
        <v>981</v>
      </c>
      <c r="C45" s="4" t="s">
        <v>1670</v>
      </c>
      <c r="D45"/>
      <c r="E45">
        <v>3503802</v>
      </c>
      <c r="F45" t="s">
        <v>983</v>
      </c>
      <c r="G45" t="s">
        <v>1722</v>
      </c>
      <c r="H45" s="4">
        <v>3503802</v>
      </c>
    </row>
    <row r="46" spans="1:8" x14ac:dyDescent="0.25">
      <c r="A46" s="4">
        <v>3503703</v>
      </c>
      <c r="B46" s="4" t="s">
        <v>982</v>
      </c>
      <c r="C46" s="4" t="s">
        <v>1777</v>
      </c>
      <c r="D46"/>
      <c r="E46">
        <v>3503901</v>
      </c>
      <c r="F46" t="s">
        <v>984</v>
      </c>
      <c r="G46" t="s">
        <v>1698</v>
      </c>
      <c r="H46" s="4">
        <v>3503901</v>
      </c>
    </row>
    <row r="47" spans="1:8" x14ac:dyDescent="0.25">
      <c r="A47" s="4">
        <v>3503802</v>
      </c>
      <c r="B47" s="4" t="s">
        <v>983</v>
      </c>
      <c r="C47" s="4" t="s">
        <v>1722</v>
      </c>
      <c r="E47">
        <v>3503950</v>
      </c>
      <c r="F47" t="s">
        <v>985</v>
      </c>
      <c r="G47" t="s">
        <v>1713</v>
      </c>
      <c r="H47" s="4">
        <v>3503950</v>
      </c>
    </row>
    <row r="48" spans="1:8" x14ac:dyDescent="0.25">
      <c r="A48" s="4">
        <v>3503901</v>
      </c>
      <c r="B48" s="4" t="s">
        <v>984</v>
      </c>
      <c r="C48" s="4" t="s">
        <v>1698</v>
      </c>
      <c r="E48" s="2">
        <v>3504008</v>
      </c>
      <c r="F48" s="2" t="s">
        <v>986</v>
      </c>
      <c r="G48" s="2" t="s">
        <v>1648</v>
      </c>
      <c r="H48" s="4">
        <v>3504008</v>
      </c>
    </row>
    <row r="49" spans="1:8" x14ac:dyDescent="0.25">
      <c r="A49" s="4">
        <v>3503950</v>
      </c>
      <c r="B49" s="4" t="s">
        <v>985</v>
      </c>
      <c r="C49" s="4" t="s">
        <v>1713</v>
      </c>
      <c r="E49" s="2">
        <v>3504107</v>
      </c>
      <c r="F49" s="2" t="s">
        <v>987</v>
      </c>
      <c r="G49" s="2" t="s">
        <v>1652</v>
      </c>
      <c r="H49" s="4">
        <v>3504107</v>
      </c>
    </row>
    <row r="50" spans="1:8" x14ac:dyDescent="0.25">
      <c r="A50" s="4">
        <v>3504008</v>
      </c>
      <c r="B50" s="4" t="s">
        <v>986</v>
      </c>
      <c r="C50" s="4" t="s">
        <v>1648</v>
      </c>
      <c r="E50" s="2">
        <v>3504206</v>
      </c>
      <c r="F50" s="2" t="s">
        <v>988</v>
      </c>
      <c r="G50" s="2" t="s">
        <v>1713</v>
      </c>
      <c r="H50" s="4">
        <v>3504206</v>
      </c>
    </row>
    <row r="51" spans="1:8" x14ac:dyDescent="0.25">
      <c r="A51" s="4">
        <v>3504107</v>
      </c>
      <c r="B51" s="4" t="s">
        <v>987</v>
      </c>
      <c r="C51" s="4" t="s">
        <v>1652</v>
      </c>
      <c r="E51" s="2">
        <v>3504305</v>
      </c>
      <c r="F51" s="2" t="s">
        <v>989</v>
      </c>
      <c r="G51" s="2" t="s">
        <v>1665</v>
      </c>
      <c r="H51" s="4">
        <v>3504305</v>
      </c>
    </row>
    <row r="52" spans="1:8" x14ac:dyDescent="0.25">
      <c r="A52" s="4">
        <v>3504206</v>
      </c>
      <c r="B52" s="4" t="s">
        <v>988</v>
      </c>
      <c r="C52" s="4" t="s">
        <v>1713</v>
      </c>
      <c r="E52" s="2">
        <v>3504404</v>
      </c>
      <c r="F52" s="2" t="s">
        <v>990</v>
      </c>
      <c r="G52" s="2" t="s">
        <v>1639</v>
      </c>
      <c r="H52" s="4">
        <v>3504404</v>
      </c>
    </row>
    <row r="53" spans="1:8" x14ac:dyDescent="0.25">
      <c r="A53" s="4">
        <v>3504305</v>
      </c>
      <c r="B53" s="4" t="s">
        <v>989</v>
      </c>
      <c r="C53" s="4" t="s">
        <v>1665</v>
      </c>
      <c r="E53" s="2">
        <v>3504503</v>
      </c>
      <c r="F53" s="2" t="s">
        <v>991</v>
      </c>
      <c r="G53" s="2" t="s">
        <v>1656</v>
      </c>
      <c r="H53" s="4">
        <v>3504503</v>
      </c>
    </row>
    <row r="54" spans="1:8" x14ac:dyDescent="0.25">
      <c r="A54" s="4">
        <v>3504404</v>
      </c>
      <c r="B54" s="4" t="s">
        <v>990</v>
      </c>
      <c r="C54" s="4" t="s">
        <v>1639</v>
      </c>
      <c r="E54" s="2">
        <v>3504602</v>
      </c>
      <c r="F54" s="2" t="s">
        <v>992</v>
      </c>
      <c r="G54" s="2" t="s">
        <v>1777</v>
      </c>
      <c r="H54" s="4">
        <v>3504602</v>
      </c>
    </row>
    <row r="55" spans="1:8" x14ac:dyDescent="0.25">
      <c r="A55" s="4">
        <v>3504503</v>
      </c>
      <c r="B55" s="4" t="s">
        <v>991</v>
      </c>
      <c r="C55" s="4" t="s">
        <v>1656</v>
      </c>
      <c r="E55" s="2">
        <v>3504701</v>
      </c>
      <c r="F55" s="2" t="s">
        <v>993</v>
      </c>
      <c r="G55" s="2" t="s">
        <v>1665</v>
      </c>
      <c r="H55" s="4">
        <v>3504701</v>
      </c>
    </row>
    <row r="56" spans="1:8" x14ac:dyDescent="0.25">
      <c r="A56" s="4">
        <v>3504602</v>
      </c>
      <c r="B56" s="4" t="s">
        <v>992</v>
      </c>
      <c r="C56" s="4" t="s">
        <v>1777</v>
      </c>
      <c r="E56" s="2">
        <v>3504800</v>
      </c>
      <c r="F56" s="2" t="s">
        <v>994</v>
      </c>
      <c r="G56" s="2" t="s">
        <v>1777</v>
      </c>
      <c r="H56" s="4">
        <v>3504800</v>
      </c>
    </row>
    <row r="57" spans="1:8" x14ac:dyDescent="0.25">
      <c r="A57" s="4">
        <v>3504701</v>
      </c>
      <c r="B57" s="4" t="s">
        <v>993</v>
      </c>
      <c r="C57" s="4" t="s">
        <v>1665</v>
      </c>
      <c r="E57" s="2">
        <v>3504909</v>
      </c>
      <c r="F57" s="2" t="s">
        <v>995</v>
      </c>
      <c r="G57" s="2" t="s">
        <v>1794</v>
      </c>
      <c r="H57" s="4">
        <v>3504909</v>
      </c>
    </row>
    <row r="58" spans="1:8" x14ac:dyDescent="0.25">
      <c r="A58" s="4">
        <v>3504800</v>
      </c>
      <c r="B58" s="4" t="s">
        <v>994</v>
      </c>
      <c r="C58" s="4" t="s">
        <v>1777</v>
      </c>
      <c r="E58" s="2">
        <v>3505005</v>
      </c>
      <c r="F58" s="2" t="s">
        <v>996</v>
      </c>
      <c r="G58" s="2" t="s">
        <v>1656</v>
      </c>
      <c r="H58" s="4">
        <v>3505005</v>
      </c>
    </row>
    <row r="59" spans="1:8" x14ac:dyDescent="0.25">
      <c r="A59" s="4">
        <v>3504909</v>
      </c>
      <c r="B59" s="4" t="s">
        <v>995</v>
      </c>
      <c r="C59" s="4" t="s">
        <v>1794</v>
      </c>
      <c r="E59" s="2">
        <v>3505104</v>
      </c>
      <c r="F59" s="2" t="s">
        <v>997</v>
      </c>
      <c r="G59" s="2" t="s">
        <v>1639</v>
      </c>
      <c r="H59" s="4">
        <v>3505104</v>
      </c>
    </row>
    <row r="60" spans="1:8" x14ac:dyDescent="0.25">
      <c r="A60" s="4">
        <v>3505005</v>
      </c>
      <c r="B60" s="4" t="s">
        <v>996</v>
      </c>
      <c r="C60" s="4" t="s">
        <v>1656</v>
      </c>
      <c r="E60" s="2">
        <v>3505203</v>
      </c>
      <c r="F60" s="2" t="s">
        <v>998</v>
      </c>
      <c r="G60" s="2" t="s">
        <v>1665</v>
      </c>
      <c r="H60" s="4">
        <v>3505203</v>
      </c>
    </row>
    <row r="61" spans="1:8" x14ac:dyDescent="0.25">
      <c r="A61" s="4">
        <v>3505104</v>
      </c>
      <c r="B61" s="4" t="s">
        <v>997</v>
      </c>
      <c r="C61" s="4" t="s">
        <v>1639</v>
      </c>
      <c r="E61" s="2">
        <v>3505302</v>
      </c>
      <c r="F61" s="2" t="s">
        <v>999</v>
      </c>
      <c r="G61" s="2" t="s">
        <v>1665</v>
      </c>
      <c r="H61" s="4">
        <v>3505302</v>
      </c>
    </row>
    <row r="62" spans="1:8" x14ac:dyDescent="0.25">
      <c r="A62" s="4">
        <v>3505203</v>
      </c>
      <c r="B62" s="4" t="s">
        <v>998</v>
      </c>
      <c r="C62" s="4" t="s">
        <v>1665</v>
      </c>
      <c r="E62" s="2">
        <v>3505351</v>
      </c>
      <c r="F62" s="2" t="s">
        <v>1000</v>
      </c>
      <c r="G62" s="2" t="s">
        <v>1678</v>
      </c>
      <c r="H62" s="4">
        <v>3505351</v>
      </c>
    </row>
    <row r="63" spans="1:8" x14ac:dyDescent="0.25">
      <c r="A63" s="4">
        <v>3505302</v>
      </c>
      <c r="B63" s="4" t="s">
        <v>999</v>
      </c>
      <c r="C63" s="4" t="s">
        <v>1665</v>
      </c>
      <c r="E63" s="2">
        <v>3505401</v>
      </c>
      <c r="F63" s="2" t="s">
        <v>1001</v>
      </c>
      <c r="G63" s="2" t="s">
        <v>1752</v>
      </c>
      <c r="H63" s="4">
        <v>3505401</v>
      </c>
    </row>
    <row r="64" spans="1:8" x14ac:dyDescent="0.25">
      <c r="A64" s="4">
        <v>3505351</v>
      </c>
      <c r="B64" s="4" t="s">
        <v>1000</v>
      </c>
      <c r="C64" s="4" t="s">
        <v>1678</v>
      </c>
      <c r="E64" s="2">
        <v>3505500</v>
      </c>
      <c r="F64" s="2" t="s">
        <v>1002</v>
      </c>
      <c r="G64" s="2" t="s">
        <v>1660</v>
      </c>
      <c r="H64" s="4">
        <v>3505500</v>
      </c>
    </row>
    <row r="65" spans="1:8" x14ac:dyDescent="0.25">
      <c r="A65" s="4">
        <v>3505401</v>
      </c>
      <c r="B65" s="4" t="s">
        <v>1001</v>
      </c>
      <c r="C65" s="4" t="s">
        <v>1752</v>
      </c>
      <c r="E65" s="2">
        <v>3505609</v>
      </c>
      <c r="F65" s="2" t="s">
        <v>1003</v>
      </c>
      <c r="G65" s="2" t="s">
        <v>1709</v>
      </c>
      <c r="H65" s="4">
        <v>3505609</v>
      </c>
    </row>
    <row r="66" spans="1:8" x14ac:dyDescent="0.25">
      <c r="A66" s="4">
        <v>3505500</v>
      </c>
      <c r="B66" s="4" t="s">
        <v>1002</v>
      </c>
      <c r="C66" s="4" t="s">
        <v>1660</v>
      </c>
      <c r="E66" s="2">
        <v>3505708</v>
      </c>
      <c r="F66" s="2" t="s">
        <v>1004</v>
      </c>
      <c r="G66" s="2" t="s">
        <v>1737</v>
      </c>
      <c r="H66" s="4">
        <v>3505708</v>
      </c>
    </row>
    <row r="67" spans="1:8" x14ac:dyDescent="0.25">
      <c r="A67" s="4">
        <v>3505609</v>
      </c>
      <c r="B67" s="4" t="s">
        <v>1003</v>
      </c>
      <c r="C67" s="4" t="s">
        <v>1709</v>
      </c>
      <c r="E67" s="2">
        <v>3505807</v>
      </c>
      <c r="F67" s="2" t="s">
        <v>1005</v>
      </c>
      <c r="G67" s="2" t="s">
        <v>1726</v>
      </c>
      <c r="H67" s="4">
        <v>3505807</v>
      </c>
    </row>
    <row r="68" spans="1:8" x14ac:dyDescent="0.25">
      <c r="A68" s="4">
        <v>3505708</v>
      </c>
      <c r="B68" s="4" t="s">
        <v>1004</v>
      </c>
      <c r="C68" s="4" t="s">
        <v>1737</v>
      </c>
      <c r="E68" s="2">
        <v>3505906</v>
      </c>
      <c r="F68" s="2" t="s">
        <v>1006</v>
      </c>
      <c r="G68" s="2" t="s">
        <v>1694</v>
      </c>
      <c r="H68" s="4">
        <v>3505906</v>
      </c>
    </row>
    <row r="69" spans="1:8" x14ac:dyDescent="0.25">
      <c r="A69" s="4">
        <v>3505807</v>
      </c>
      <c r="B69" s="4" t="s">
        <v>1005</v>
      </c>
      <c r="C69" s="4" t="s">
        <v>1726</v>
      </c>
      <c r="E69" s="2">
        <v>3506003</v>
      </c>
      <c r="F69" s="2" t="s">
        <v>1007</v>
      </c>
      <c r="G69" s="2" t="s">
        <v>1665</v>
      </c>
      <c r="H69" s="4">
        <v>3506003</v>
      </c>
    </row>
    <row r="70" spans="1:8" x14ac:dyDescent="0.25">
      <c r="A70" s="4">
        <v>3505906</v>
      </c>
      <c r="B70" s="4" t="s">
        <v>1006</v>
      </c>
      <c r="C70" s="4" t="s">
        <v>1694</v>
      </c>
      <c r="E70" s="2">
        <v>3506102</v>
      </c>
      <c r="F70" s="2" t="s">
        <v>1008</v>
      </c>
      <c r="G70" s="2" t="s">
        <v>1660</v>
      </c>
      <c r="H70" s="4">
        <v>3506102</v>
      </c>
    </row>
    <row r="71" spans="1:8" x14ac:dyDescent="0.25">
      <c r="A71" s="4">
        <v>3506003</v>
      </c>
      <c r="B71" s="4" t="s">
        <v>1007</v>
      </c>
      <c r="C71" s="4" t="s">
        <v>1665</v>
      </c>
      <c r="E71" s="2">
        <v>3506201</v>
      </c>
      <c r="F71" s="2" t="s">
        <v>1009</v>
      </c>
      <c r="G71" s="2" t="s">
        <v>1639</v>
      </c>
      <c r="H71" s="4">
        <v>3506201</v>
      </c>
    </row>
    <row r="72" spans="1:8" x14ac:dyDescent="0.25">
      <c r="A72" s="4">
        <v>3506102</v>
      </c>
      <c r="B72" s="4" t="s">
        <v>1008</v>
      </c>
      <c r="C72" s="4" t="s">
        <v>1660</v>
      </c>
      <c r="E72" s="2">
        <v>3506300</v>
      </c>
      <c r="F72" s="2" t="s">
        <v>1010</v>
      </c>
      <c r="G72" s="2" t="s">
        <v>1648</v>
      </c>
      <c r="H72" s="4">
        <v>3506300</v>
      </c>
    </row>
    <row r="73" spans="1:8" x14ac:dyDescent="0.25">
      <c r="A73" s="4">
        <v>3506201</v>
      </c>
      <c r="B73" s="4" t="s">
        <v>1009</v>
      </c>
      <c r="C73" s="4" t="s">
        <v>1639</v>
      </c>
      <c r="E73" s="2">
        <v>3506359</v>
      </c>
      <c r="F73" s="2" t="s">
        <v>1011</v>
      </c>
      <c r="G73" s="2" t="s">
        <v>1682</v>
      </c>
      <c r="H73" s="4">
        <v>3506359</v>
      </c>
    </row>
    <row r="74" spans="1:8" x14ac:dyDescent="0.25">
      <c r="A74" s="4">
        <v>3506300</v>
      </c>
      <c r="B74" s="4" t="s">
        <v>1010</v>
      </c>
      <c r="C74" s="4" t="s">
        <v>1648</v>
      </c>
      <c r="E74" s="2">
        <v>3506409</v>
      </c>
      <c r="F74" s="2" t="s">
        <v>1012</v>
      </c>
      <c r="G74" s="2" t="s">
        <v>1639</v>
      </c>
      <c r="H74" s="4">
        <v>3506409</v>
      </c>
    </row>
    <row r="75" spans="1:8" x14ac:dyDescent="0.25">
      <c r="A75" s="4">
        <v>3506359</v>
      </c>
      <c r="B75" s="4" t="s">
        <v>1011</v>
      </c>
      <c r="C75" s="4" t="s">
        <v>1682</v>
      </c>
      <c r="E75" s="2">
        <v>3506508</v>
      </c>
      <c r="F75" s="2" t="s">
        <v>1013</v>
      </c>
      <c r="G75" s="2" t="s">
        <v>1639</v>
      </c>
      <c r="H75" s="4">
        <v>3506508</v>
      </c>
    </row>
    <row r="76" spans="1:8" x14ac:dyDescent="0.25">
      <c r="A76" s="4">
        <v>3506409</v>
      </c>
      <c r="B76" s="4" t="s">
        <v>1012</v>
      </c>
      <c r="C76" s="4" t="s">
        <v>1639</v>
      </c>
      <c r="E76" s="2">
        <v>3506607</v>
      </c>
      <c r="F76" s="2" t="s">
        <v>1014</v>
      </c>
      <c r="G76" s="2" t="s">
        <v>1730</v>
      </c>
      <c r="H76" s="4">
        <v>3506607</v>
      </c>
    </row>
    <row r="77" spans="1:8" x14ac:dyDescent="0.25">
      <c r="A77" s="4">
        <v>3506508</v>
      </c>
      <c r="B77" s="4" t="s">
        <v>1013</v>
      </c>
      <c r="C77" s="4" t="s">
        <v>1639</v>
      </c>
      <c r="E77" s="2">
        <v>3506706</v>
      </c>
      <c r="F77" s="2" t="s">
        <v>1015</v>
      </c>
      <c r="G77" s="2" t="s">
        <v>1644</v>
      </c>
      <c r="H77" s="4">
        <v>3506706</v>
      </c>
    </row>
    <row r="78" spans="1:8" x14ac:dyDescent="0.25">
      <c r="A78" s="4">
        <v>3506607</v>
      </c>
      <c r="B78" s="4" t="s">
        <v>1014</v>
      </c>
      <c r="C78" s="4" t="s">
        <v>1730</v>
      </c>
      <c r="E78" s="2">
        <v>3506805</v>
      </c>
      <c r="F78" s="2" t="s">
        <v>1016</v>
      </c>
      <c r="G78" s="2" t="s">
        <v>1665</v>
      </c>
      <c r="H78" s="4">
        <v>3506805</v>
      </c>
    </row>
    <row r="79" spans="1:8" x14ac:dyDescent="0.25">
      <c r="A79" s="4">
        <v>3506706</v>
      </c>
      <c r="B79" s="4" t="s">
        <v>1015</v>
      </c>
      <c r="C79" s="4" t="s">
        <v>1644</v>
      </c>
      <c r="E79" s="2">
        <v>3506904</v>
      </c>
      <c r="F79" s="2" t="s">
        <v>1017</v>
      </c>
      <c r="G79" s="2" t="s">
        <v>1670</v>
      </c>
      <c r="H79" s="4">
        <v>3506904</v>
      </c>
    </row>
    <row r="80" spans="1:8" x14ac:dyDescent="0.25">
      <c r="A80" s="4">
        <v>3506805</v>
      </c>
      <c r="B80" s="4" t="s">
        <v>1016</v>
      </c>
      <c r="C80" s="4" t="s">
        <v>1665</v>
      </c>
      <c r="E80" s="2">
        <v>3507001</v>
      </c>
      <c r="F80" s="2" t="s">
        <v>1018</v>
      </c>
      <c r="G80" s="2" t="s">
        <v>1706</v>
      </c>
      <c r="H80" s="4">
        <v>3507001</v>
      </c>
    </row>
    <row r="81" spans="1:8" x14ac:dyDescent="0.25">
      <c r="A81" s="4">
        <v>3506904</v>
      </c>
      <c r="B81" s="4" t="s">
        <v>1017</v>
      </c>
      <c r="C81" s="4" t="s">
        <v>1670</v>
      </c>
      <c r="E81" s="2">
        <v>3507100</v>
      </c>
      <c r="F81" s="2" t="s">
        <v>1019</v>
      </c>
      <c r="G81" s="2" t="s">
        <v>1652</v>
      </c>
      <c r="H81" s="4">
        <v>3507100</v>
      </c>
    </row>
    <row r="82" spans="1:8" x14ac:dyDescent="0.25">
      <c r="A82" s="4">
        <v>3507001</v>
      </c>
      <c r="B82" s="4" t="s">
        <v>1018</v>
      </c>
      <c r="C82" s="4" t="s">
        <v>1706</v>
      </c>
      <c r="E82" s="2">
        <v>3507159</v>
      </c>
      <c r="F82" s="2" t="s">
        <v>1020</v>
      </c>
      <c r="G82" s="2" t="s">
        <v>1678</v>
      </c>
      <c r="H82" s="4">
        <v>3507159</v>
      </c>
    </row>
    <row r="83" spans="1:8" x14ac:dyDescent="0.25">
      <c r="A83" s="4">
        <v>3507100</v>
      </c>
      <c r="B83" s="4" t="s">
        <v>1019</v>
      </c>
      <c r="C83" s="4" t="s">
        <v>1652</v>
      </c>
      <c r="E83" s="2">
        <v>3507209</v>
      </c>
      <c r="F83" s="2" t="s">
        <v>1021</v>
      </c>
      <c r="G83" s="2" t="s">
        <v>1648</v>
      </c>
      <c r="H83" s="4">
        <v>3507209</v>
      </c>
    </row>
    <row r="84" spans="1:8" x14ac:dyDescent="0.25">
      <c r="A84" s="4">
        <v>3507159</v>
      </c>
      <c r="B84" s="4" t="s">
        <v>1020</v>
      </c>
      <c r="C84" s="4" t="s">
        <v>1678</v>
      </c>
      <c r="E84" s="2">
        <v>3507308</v>
      </c>
      <c r="F84" s="2" t="s">
        <v>1022</v>
      </c>
      <c r="G84" s="2" t="s">
        <v>1665</v>
      </c>
      <c r="H84" s="4">
        <v>3507308</v>
      </c>
    </row>
    <row r="85" spans="1:8" x14ac:dyDescent="0.25">
      <c r="A85" s="4">
        <v>3507209</v>
      </c>
      <c r="B85" s="4" t="s">
        <v>1021</v>
      </c>
      <c r="C85" s="4" t="s">
        <v>1648</v>
      </c>
      <c r="E85" s="2">
        <v>3507407</v>
      </c>
      <c r="F85" s="2" t="s">
        <v>1023</v>
      </c>
      <c r="G85" s="2" t="s">
        <v>1644</v>
      </c>
      <c r="H85" s="4">
        <v>3507407</v>
      </c>
    </row>
    <row r="86" spans="1:8" x14ac:dyDescent="0.25">
      <c r="A86" s="4">
        <v>3507308</v>
      </c>
      <c r="B86" s="4" t="s">
        <v>1022</v>
      </c>
      <c r="C86" s="4" t="s">
        <v>1665</v>
      </c>
      <c r="E86" s="2">
        <v>3507456</v>
      </c>
      <c r="F86" s="2" t="s">
        <v>1024</v>
      </c>
      <c r="G86" s="2" t="s">
        <v>1665</v>
      </c>
      <c r="H86" s="4">
        <v>3507456</v>
      </c>
    </row>
    <row r="87" spans="1:8" x14ac:dyDescent="0.25">
      <c r="A87" s="4">
        <v>3507407</v>
      </c>
      <c r="B87" s="4" t="s">
        <v>1023</v>
      </c>
      <c r="C87" s="4" t="s">
        <v>1644</v>
      </c>
      <c r="E87" s="2">
        <v>3507506</v>
      </c>
      <c r="F87" s="2" t="s">
        <v>1025</v>
      </c>
      <c r="G87" s="2" t="s">
        <v>1670</v>
      </c>
      <c r="H87" s="4">
        <v>3507506</v>
      </c>
    </row>
    <row r="88" spans="1:8" x14ac:dyDescent="0.25">
      <c r="A88" s="4">
        <v>3507456</v>
      </c>
      <c r="B88" s="4" t="s">
        <v>1024</v>
      </c>
      <c r="C88" s="4" t="s">
        <v>1665</v>
      </c>
      <c r="E88" s="2">
        <v>3507605</v>
      </c>
      <c r="F88" s="2" t="s">
        <v>1026</v>
      </c>
      <c r="G88" s="2" t="s">
        <v>1652</v>
      </c>
      <c r="H88" s="4">
        <v>3507605</v>
      </c>
    </row>
    <row r="89" spans="1:8" x14ac:dyDescent="0.25">
      <c r="A89" s="4">
        <v>3507506</v>
      </c>
      <c r="B89" s="4" t="s">
        <v>1025</v>
      </c>
      <c r="C89" s="4" t="s">
        <v>1670</v>
      </c>
      <c r="E89" s="2">
        <v>3507704</v>
      </c>
      <c r="F89" s="2" t="s">
        <v>1027</v>
      </c>
      <c r="G89" s="2" t="s">
        <v>1639</v>
      </c>
      <c r="H89" s="4">
        <v>3507704</v>
      </c>
    </row>
    <row r="90" spans="1:8" x14ac:dyDescent="0.25">
      <c r="A90" s="4">
        <v>3507605</v>
      </c>
      <c r="B90" s="4" t="s">
        <v>1026</v>
      </c>
      <c r="C90" s="4" t="s">
        <v>1652</v>
      </c>
      <c r="E90" s="2">
        <v>3507753</v>
      </c>
      <c r="F90" s="2" t="s">
        <v>1028</v>
      </c>
      <c r="G90" s="2" t="s">
        <v>1639</v>
      </c>
      <c r="H90" s="4">
        <v>3507753</v>
      </c>
    </row>
    <row r="91" spans="1:8" x14ac:dyDescent="0.25">
      <c r="A91" s="4">
        <v>3507704</v>
      </c>
      <c r="B91" s="4" t="s">
        <v>1027</v>
      </c>
      <c r="C91" s="4" t="s">
        <v>1639</v>
      </c>
      <c r="E91" s="2">
        <v>3507803</v>
      </c>
      <c r="F91" s="2" t="s">
        <v>1029</v>
      </c>
      <c r="G91" s="2" t="s">
        <v>1757</v>
      </c>
      <c r="H91" s="4">
        <v>3507803</v>
      </c>
    </row>
    <row r="92" spans="1:8" x14ac:dyDescent="0.25">
      <c r="A92" s="4">
        <v>3507753</v>
      </c>
      <c r="B92" s="4" t="s">
        <v>1028</v>
      </c>
      <c r="C92" s="4" t="s">
        <v>1639</v>
      </c>
      <c r="E92" s="2">
        <v>3507902</v>
      </c>
      <c r="F92" s="2" t="s">
        <v>1030</v>
      </c>
      <c r="G92" s="2" t="s">
        <v>1770</v>
      </c>
      <c r="H92" s="4">
        <v>3507902</v>
      </c>
    </row>
    <row r="93" spans="1:8" x14ac:dyDescent="0.25">
      <c r="A93" s="4">
        <v>3507803</v>
      </c>
      <c r="B93" s="4" t="s">
        <v>1029</v>
      </c>
      <c r="C93" s="4" t="s">
        <v>1757</v>
      </c>
      <c r="E93" s="2">
        <v>3508009</v>
      </c>
      <c r="F93" s="2" t="s">
        <v>1031</v>
      </c>
      <c r="G93" s="2" t="s">
        <v>1678</v>
      </c>
      <c r="H93" s="4">
        <v>3508009</v>
      </c>
    </row>
    <row r="94" spans="1:8" x14ac:dyDescent="0.25">
      <c r="A94" s="4">
        <v>3507902</v>
      </c>
      <c r="B94" s="4" t="s">
        <v>1030</v>
      </c>
      <c r="C94" s="4" t="s">
        <v>1770</v>
      </c>
      <c r="E94" s="2">
        <v>3508108</v>
      </c>
      <c r="F94" s="2" t="s">
        <v>1032</v>
      </c>
      <c r="G94" s="2" t="s">
        <v>1639</v>
      </c>
      <c r="H94" s="4">
        <v>3508108</v>
      </c>
    </row>
    <row r="95" spans="1:8" x14ac:dyDescent="0.25">
      <c r="A95" s="4">
        <v>3508009</v>
      </c>
      <c r="B95" s="4" t="s">
        <v>1031</v>
      </c>
      <c r="C95" s="4" t="s">
        <v>1678</v>
      </c>
      <c r="E95" s="2">
        <v>3508207</v>
      </c>
      <c r="F95" s="2" t="s">
        <v>1033</v>
      </c>
      <c r="G95" s="2" t="s">
        <v>1694</v>
      </c>
      <c r="H95" s="4">
        <v>3508207</v>
      </c>
    </row>
    <row r="96" spans="1:8" x14ac:dyDescent="0.25">
      <c r="A96" s="4">
        <v>3508108</v>
      </c>
      <c r="B96" s="4" t="s">
        <v>1032</v>
      </c>
      <c r="C96" s="4" t="s">
        <v>1639</v>
      </c>
      <c r="E96" s="2">
        <v>3508306</v>
      </c>
      <c r="F96" s="2" t="s">
        <v>1034</v>
      </c>
      <c r="G96" s="2" t="s">
        <v>1665</v>
      </c>
      <c r="H96" s="4">
        <v>3508306</v>
      </c>
    </row>
    <row r="97" spans="1:8" x14ac:dyDescent="0.25">
      <c r="A97" s="4">
        <v>3508207</v>
      </c>
      <c r="B97" s="4" t="s">
        <v>1033</v>
      </c>
      <c r="C97" s="4" t="s">
        <v>1694</v>
      </c>
      <c r="E97" s="2">
        <v>3508405</v>
      </c>
      <c r="F97" s="2" t="s">
        <v>1035</v>
      </c>
      <c r="G97" s="2" t="s">
        <v>1717</v>
      </c>
      <c r="H97" s="4">
        <v>3508405</v>
      </c>
    </row>
    <row r="98" spans="1:8" x14ac:dyDescent="0.25">
      <c r="A98" s="4">
        <v>3508306</v>
      </c>
      <c r="B98" s="4" t="s">
        <v>1034</v>
      </c>
      <c r="C98" s="4" t="s">
        <v>1665</v>
      </c>
      <c r="E98" s="2">
        <v>3508504</v>
      </c>
      <c r="F98" s="2" t="s">
        <v>1036</v>
      </c>
      <c r="G98" s="2" t="s">
        <v>1781</v>
      </c>
      <c r="H98" s="4">
        <v>3508504</v>
      </c>
    </row>
    <row r="99" spans="1:8" x14ac:dyDescent="0.25">
      <c r="A99" s="4">
        <v>3508405</v>
      </c>
      <c r="B99" s="4" t="s">
        <v>1035</v>
      </c>
      <c r="C99" s="4" t="s">
        <v>1717</v>
      </c>
      <c r="E99" s="2">
        <v>3508603</v>
      </c>
      <c r="F99" s="2" t="s">
        <v>1037</v>
      </c>
      <c r="G99" s="2" t="s">
        <v>1794</v>
      </c>
      <c r="H99" s="4">
        <v>3508603</v>
      </c>
    </row>
    <row r="100" spans="1:8" x14ac:dyDescent="0.25">
      <c r="A100" s="4">
        <v>3508504</v>
      </c>
      <c r="B100" s="4" t="s">
        <v>1036</v>
      </c>
      <c r="C100" s="4" t="s">
        <v>1781</v>
      </c>
      <c r="E100" s="2">
        <v>3508702</v>
      </c>
      <c r="F100" s="2" t="s">
        <v>1038</v>
      </c>
      <c r="G100" s="2" t="s">
        <v>1773</v>
      </c>
      <c r="H100" s="4">
        <v>3508702</v>
      </c>
    </row>
    <row r="101" spans="1:8" x14ac:dyDescent="0.25">
      <c r="A101" s="4">
        <v>3508603</v>
      </c>
      <c r="B101" s="4" t="s">
        <v>1037</v>
      </c>
      <c r="C101" s="4" t="s">
        <v>1794</v>
      </c>
      <c r="E101" s="2">
        <v>3508801</v>
      </c>
      <c r="F101" s="2" t="s">
        <v>1039</v>
      </c>
      <c r="G101" s="2" t="s">
        <v>1726</v>
      </c>
      <c r="H101" s="4">
        <v>3508801</v>
      </c>
    </row>
    <row r="102" spans="1:8" x14ac:dyDescent="0.25">
      <c r="A102" s="4">
        <v>3508702</v>
      </c>
      <c r="B102" s="4" t="s">
        <v>1038</v>
      </c>
      <c r="C102" s="4" t="s">
        <v>1773</v>
      </c>
      <c r="E102" s="2">
        <v>3508900</v>
      </c>
      <c r="F102" s="2" t="s">
        <v>1040</v>
      </c>
      <c r="G102" s="2" t="s">
        <v>1748</v>
      </c>
      <c r="H102" s="4">
        <v>3508900</v>
      </c>
    </row>
    <row r="103" spans="1:8" x14ac:dyDescent="0.25">
      <c r="A103" s="4">
        <v>3508801</v>
      </c>
      <c r="B103" s="4" t="s">
        <v>1039</v>
      </c>
      <c r="C103" s="4" t="s">
        <v>1726</v>
      </c>
      <c r="E103" s="2">
        <v>3509007</v>
      </c>
      <c r="F103" s="2" t="s">
        <v>1041</v>
      </c>
      <c r="G103" s="2" t="s">
        <v>1762</v>
      </c>
      <c r="H103" s="4">
        <v>3509007</v>
      </c>
    </row>
    <row r="104" spans="1:8" x14ac:dyDescent="0.25">
      <c r="A104" s="4">
        <v>3508900</v>
      </c>
      <c r="B104" s="4" t="s">
        <v>1040</v>
      </c>
      <c r="C104" s="4" t="s">
        <v>1748</v>
      </c>
      <c r="E104" s="2">
        <v>3509106</v>
      </c>
      <c r="F104" s="2" t="s">
        <v>1042</v>
      </c>
      <c r="G104" s="2" t="s">
        <v>1748</v>
      </c>
      <c r="H104" s="4">
        <v>3509106</v>
      </c>
    </row>
    <row r="105" spans="1:8" x14ac:dyDescent="0.25">
      <c r="A105" s="4">
        <v>3509007</v>
      </c>
      <c r="B105" s="4" t="s">
        <v>1041</v>
      </c>
      <c r="C105" s="4" t="s">
        <v>1762</v>
      </c>
      <c r="E105" s="2">
        <v>3509205</v>
      </c>
      <c r="F105" s="2" t="s">
        <v>1043</v>
      </c>
      <c r="G105" s="2" t="s">
        <v>1737</v>
      </c>
      <c r="H105" s="4">
        <v>3509205</v>
      </c>
    </row>
    <row r="106" spans="1:8" x14ac:dyDescent="0.25">
      <c r="A106" s="4">
        <v>3509106</v>
      </c>
      <c r="B106" s="4" t="s">
        <v>1042</v>
      </c>
      <c r="C106" s="4" t="s">
        <v>1748</v>
      </c>
      <c r="E106" s="2">
        <v>3509254</v>
      </c>
      <c r="F106" s="2" t="s">
        <v>1044</v>
      </c>
      <c r="G106" s="2" t="s">
        <v>1752</v>
      </c>
      <c r="H106" s="4">
        <v>3509254</v>
      </c>
    </row>
    <row r="107" spans="1:8" x14ac:dyDescent="0.25">
      <c r="A107" s="4">
        <v>3509205</v>
      </c>
      <c r="B107" s="4" t="s">
        <v>1043</v>
      </c>
      <c r="C107" s="4" t="s">
        <v>1737</v>
      </c>
      <c r="E107" s="2">
        <v>3509304</v>
      </c>
      <c r="F107" s="2" t="s">
        <v>1045</v>
      </c>
      <c r="G107" s="2" t="s">
        <v>1660</v>
      </c>
      <c r="H107" s="4">
        <v>3509304</v>
      </c>
    </row>
    <row r="108" spans="1:8" x14ac:dyDescent="0.25">
      <c r="A108" s="4">
        <v>3509254</v>
      </c>
      <c r="B108" s="4" t="s">
        <v>1044</v>
      </c>
      <c r="C108" s="4" t="s">
        <v>1752</v>
      </c>
      <c r="E108" s="2">
        <v>3509403</v>
      </c>
      <c r="F108" s="2" t="s">
        <v>1046</v>
      </c>
      <c r="G108" s="2" t="s">
        <v>1757</v>
      </c>
      <c r="H108" s="4">
        <v>3509403</v>
      </c>
    </row>
    <row r="109" spans="1:8" x14ac:dyDescent="0.25">
      <c r="A109" s="4">
        <v>3509304</v>
      </c>
      <c r="B109" s="4" t="s">
        <v>1045</v>
      </c>
      <c r="C109" s="4" t="s">
        <v>1660</v>
      </c>
      <c r="E109" s="2">
        <v>3509452</v>
      </c>
      <c r="F109" s="2" t="s">
        <v>1047</v>
      </c>
      <c r="G109" s="2" t="s">
        <v>1702</v>
      </c>
      <c r="H109" s="4">
        <v>3509452</v>
      </c>
    </row>
    <row r="110" spans="1:8" x14ac:dyDescent="0.25">
      <c r="A110" s="4">
        <v>3509403</v>
      </c>
      <c r="B110" s="4" t="s">
        <v>1046</v>
      </c>
      <c r="C110" s="4" t="s">
        <v>1757</v>
      </c>
      <c r="E110" s="2">
        <v>3509502</v>
      </c>
      <c r="F110" s="2" t="s">
        <v>1048</v>
      </c>
      <c r="G110" s="2" t="s">
        <v>1674</v>
      </c>
      <c r="H110" s="4">
        <v>3509502</v>
      </c>
    </row>
    <row r="111" spans="1:8" x14ac:dyDescent="0.25">
      <c r="A111" s="4">
        <v>3509452</v>
      </c>
      <c r="B111" s="4" t="s">
        <v>1047</v>
      </c>
      <c r="C111" s="4" t="s">
        <v>1702</v>
      </c>
      <c r="E111" s="2">
        <v>3509601</v>
      </c>
      <c r="F111" s="2" t="s">
        <v>1049</v>
      </c>
      <c r="G111" s="2" t="s">
        <v>1717</v>
      </c>
      <c r="H111" s="4">
        <v>3509601</v>
      </c>
    </row>
    <row r="112" spans="1:8" x14ac:dyDescent="0.25">
      <c r="A112" s="4">
        <v>3509502</v>
      </c>
      <c r="B112" s="4" t="s">
        <v>1048</v>
      </c>
      <c r="C112" s="4" t="s">
        <v>1674</v>
      </c>
      <c r="E112" s="2">
        <v>3509700</v>
      </c>
      <c r="F112" s="2" t="s">
        <v>1050</v>
      </c>
      <c r="G112" s="2" t="s">
        <v>1794</v>
      </c>
      <c r="H112" s="4">
        <v>3509700</v>
      </c>
    </row>
    <row r="113" spans="1:8" x14ac:dyDescent="0.25">
      <c r="A113" s="4">
        <v>3509601</v>
      </c>
      <c r="B113" s="4" t="s">
        <v>1049</v>
      </c>
      <c r="C113" s="4" t="s">
        <v>1717</v>
      </c>
      <c r="E113" s="2">
        <v>3509809</v>
      </c>
      <c r="F113" s="2" t="s">
        <v>1051</v>
      </c>
      <c r="G113" s="2" t="s">
        <v>1648</v>
      </c>
      <c r="H113" s="4">
        <v>3509809</v>
      </c>
    </row>
    <row r="114" spans="1:8" x14ac:dyDescent="0.25">
      <c r="A114" s="4">
        <v>3509700</v>
      </c>
      <c r="B114" s="4" t="s">
        <v>1050</v>
      </c>
      <c r="C114" s="4" t="s">
        <v>1794</v>
      </c>
      <c r="E114" s="2">
        <v>3509908</v>
      </c>
      <c r="F114" s="2" t="s">
        <v>1052</v>
      </c>
      <c r="G114" s="2" t="s">
        <v>1752</v>
      </c>
      <c r="H114" s="4">
        <v>3509908</v>
      </c>
    </row>
    <row r="115" spans="1:8" x14ac:dyDescent="0.25">
      <c r="A115" s="4">
        <v>3509809</v>
      </c>
      <c r="B115" s="4" t="s">
        <v>1051</v>
      </c>
      <c r="C115" s="4" t="s">
        <v>1648</v>
      </c>
      <c r="E115" s="2">
        <v>3509957</v>
      </c>
      <c r="F115" s="2" t="s">
        <v>1053</v>
      </c>
      <c r="G115" s="2" t="s">
        <v>1794</v>
      </c>
      <c r="H115" s="4">
        <v>3509957</v>
      </c>
    </row>
    <row r="116" spans="1:8" x14ac:dyDescent="0.25">
      <c r="A116" s="4">
        <v>3509908</v>
      </c>
      <c r="B116" s="4" t="s">
        <v>1052</v>
      </c>
      <c r="C116" s="4" t="s">
        <v>1752</v>
      </c>
      <c r="E116" s="2">
        <v>3510005</v>
      </c>
      <c r="F116" s="2" t="s">
        <v>1054</v>
      </c>
      <c r="G116" s="2" t="s">
        <v>1648</v>
      </c>
      <c r="H116" s="4">
        <v>3510005</v>
      </c>
    </row>
    <row r="117" spans="1:8" x14ac:dyDescent="0.25">
      <c r="A117" s="4">
        <v>3509957</v>
      </c>
      <c r="B117" s="4" t="s">
        <v>1053</v>
      </c>
      <c r="C117" s="4" t="s">
        <v>1794</v>
      </c>
      <c r="E117" s="2">
        <v>3510104</v>
      </c>
      <c r="F117" s="2" t="s">
        <v>1055</v>
      </c>
      <c r="G117" s="2" t="s">
        <v>1709</v>
      </c>
      <c r="H117" s="4">
        <v>3510104</v>
      </c>
    </row>
    <row r="118" spans="1:8" x14ac:dyDescent="0.25">
      <c r="A118" s="4">
        <v>3510005</v>
      </c>
      <c r="B118" s="4" t="s">
        <v>1054</v>
      </c>
      <c r="C118" s="4" t="s">
        <v>1648</v>
      </c>
      <c r="E118" s="2">
        <v>3510153</v>
      </c>
      <c r="F118" s="2" t="s">
        <v>1056</v>
      </c>
      <c r="G118" s="2" t="s">
        <v>1648</v>
      </c>
      <c r="H118" s="4">
        <v>3510153</v>
      </c>
    </row>
    <row r="119" spans="1:8" x14ac:dyDescent="0.25">
      <c r="A119" s="4">
        <v>3510104</v>
      </c>
      <c r="B119" s="4" t="s">
        <v>1055</v>
      </c>
      <c r="C119" s="4" t="s">
        <v>1709</v>
      </c>
      <c r="E119" s="2">
        <v>3510203</v>
      </c>
      <c r="F119" s="2" t="s">
        <v>1057</v>
      </c>
      <c r="G119" s="2" t="s">
        <v>1678</v>
      </c>
      <c r="H119" s="4">
        <v>3510203</v>
      </c>
    </row>
    <row r="120" spans="1:8" x14ac:dyDescent="0.25">
      <c r="A120" s="4">
        <v>3510153</v>
      </c>
      <c r="B120" s="4" t="s">
        <v>1056</v>
      </c>
      <c r="C120" s="4" t="s">
        <v>1648</v>
      </c>
      <c r="E120" s="2">
        <v>3510302</v>
      </c>
      <c r="F120" s="2" t="s">
        <v>1058</v>
      </c>
      <c r="G120" s="2" t="s">
        <v>1789</v>
      </c>
      <c r="H120" s="4">
        <v>3510302</v>
      </c>
    </row>
    <row r="121" spans="1:8" x14ac:dyDescent="0.25">
      <c r="A121" s="4">
        <v>3510203</v>
      </c>
      <c r="B121" s="4" t="s">
        <v>1057</v>
      </c>
      <c r="C121" s="4" t="s">
        <v>1678</v>
      </c>
      <c r="E121" s="2">
        <v>3510401</v>
      </c>
      <c r="F121" s="2" t="s">
        <v>1059</v>
      </c>
      <c r="G121" s="2" t="s">
        <v>1674</v>
      </c>
      <c r="H121" s="4">
        <v>3510401</v>
      </c>
    </row>
    <row r="122" spans="1:8" x14ac:dyDescent="0.25">
      <c r="A122" s="4">
        <v>3510302</v>
      </c>
      <c r="B122" s="4" t="s">
        <v>1058</v>
      </c>
      <c r="C122" s="4" t="s">
        <v>1789</v>
      </c>
      <c r="E122" s="2">
        <v>3510500</v>
      </c>
      <c r="F122" s="2" t="s">
        <v>1060</v>
      </c>
      <c r="G122" s="2" t="s">
        <v>1785</v>
      </c>
      <c r="H122" s="4">
        <v>3510500</v>
      </c>
    </row>
    <row r="123" spans="1:8" x14ac:dyDescent="0.25">
      <c r="A123" s="4">
        <v>3510401</v>
      </c>
      <c r="B123" s="4" t="s">
        <v>1059</v>
      </c>
      <c r="C123" s="4" t="s">
        <v>1674</v>
      </c>
      <c r="E123" s="2">
        <v>3510609</v>
      </c>
      <c r="F123" s="2" t="s">
        <v>1061</v>
      </c>
      <c r="G123" s="2" t="s">
        <v>1737</v>
      </c>
      <c r="H123" s="4">
        <v>3510609</v>
      </c>
    </row>
    <row r="124" spans="1:8" x14ac:dyDescent="0.25">
      <c r="A124" s="4">
        <v>3510500</v>
      </c>
      <c r="B124" s="4" t="s">
        <v>1060</v>
      </c>
      <c r="C124" s="4" t="s">
        <v>1785</v>
      </c>
      <c r="E124" s="2">
        <v>3510708</v>
      </c>
      <c r="F124" s="2" t="s">
        <v>1062</v>
      </c>
      <c r="G124" s="2" t="s">
        <v>1798</v>
      </c>
      <c r="H124" s="4">
        <v>3510708</v>
      </c>
    </row>
    <row r="125" spans="1:8" x14ac:dyDescent="0.25">
      <c r="A125" s="4">
        <v>3510609</v>
      </c>
      <c r="B125" s="4" t="s">
        <v>1061</v>
      </c>
      <c r="C125" s="4" t="s">
        <v>1737</v>
      </c>
      <c r="E125" s="2">
        <v>3510807</v>
      </c>
      <c r="F125" s="2" t="s">
        <v>1063</v>
      </c>
      <c r="G125" s="2" t="s">
        <v>1773</v>
      </c>
      <c r="H125" s="4">
        <v>3510807</v>
      </c>
    </row>
    <row r="126" spans="1:8" x14ac:dyDescent="0.25">
      <c r="A126" s="4">
        <v>3510708</v>
      </c>
      <c r="B126" s="4" t="s">
        <v>1062</v>
      </c>
      <c r="C126" s="4" t="s">
        <v>1798</v>
      </c>
      <c r="E126" s="2">
        <v>3510906</v>
      </c>
      <c r="F126" s="2" t="s">
        <v>1064</v>
      </c>
      <c r="G126" s="2" t="s">
        <v>1757</v>
      </c>
      <c r="H126" s="4">
        <v>3510906</v>
      </c>
    </row>
    <row r="127" spans="1:8" x14ac:dyDescent="0.25">
      <c r="A127" s="4">
        <v>3510807</v>
      </c>
      <c r="B127" s="4" t="s">
        <v>1063</v>
      </c>
      <c r="C127" s="4" t="s">
        <v>1773</v>
      </c>
      <c r="E127" s="2">
        <v>3511003</v>
      </c>
      <c r="F127" s="2" t="s">
        <v>1065</v>
      </c>
      <c r="G127" s="2" t="s">
        <v>1687</v>
      </c>
      <c r="H127" s="4">
        <v>3511003</v>
      </c>
    </row>
    <row r="128" spans="1:8" x14ac:dyDescent="0.25">
      <c r="A128" s="4">
        <v>3510906</v>
      </c>
      <c r="B128" s="4" t="s">
        <v>1064</v>
      </c>
      <c r="C128" s="4" t="s">
        <v>1757</v>
      </c>
      <c r="E128" s="2">
        <v>3511102</v>
      </c>
      <c r="F128" s="2" t="s">
        <v>1066</v>
      </c>
      <c r="G128" s="2" t="s">
        <v>1777</v>
      </c>
      <c r="H128" s="4">
        <v>3511102</v>
      </c>
    </row>
    <row r="129" spans="1:8" x14ac:dyDescent="0.25">
      <c r="A129" s="4">
        <v>3511003</v>
      </c>
      <c r="B129" s="4" t="s">
        <v>1065</v>
      </c>
      <c r="C129" s="4" t="s">
        <v>1687</v>
      </c>
      <c r="E129" s="2">
        <v>3511201</v>
      </c>
      <c r="F129" s="2" t="s">
        <v>1067</v>
      </c>
      <c r="G129" s="2" t="s">
        <v>1777</v>
      </c>
      <c r="H129" s="4">
        <v>3511201</v>
      </c>
    </row>
    <row r="130" spans="1:8" x14ac:dyDescent="0.25">
      <c r="A130" s="4">
        <v>3511102</v>
      </c>
      <c r="B130" s="4" t="s">
        <v>1066</v>
      </c>
      <c r="C130" s="4" t="s">
        <v>1777</v>
      </c>
      <c r="E130" s="2">
        <v>3511300</v>
      </c>
      <c r="F130" s="2" t="s">
        <v>1068</v>
      </c>
      <c r="G130" s="2" t="s">
        <v>1777</v>
      </c>
      <c r="H130" s="4">
        <v>3511300</v>
      </c>
    </row>
    <row r="131" spans="1:8" x14ac:dyDescent="0.25">
      <c r="A131" s="4">
        <v>3511201</v>
      </c>
      <c r="B131" s="4" t="s">
        <v>1067</v>
      </c>
      <c r="C131" s="4" t="s">
        <v>1777</v>
      </c>
      <c r="E131" s="2">
        <v>3511409</v>
      </c>
      <c r="F131" s="2" t="s">
        <v>1069</v>
      </c>
      <c r="G131" s="2" t="s">
        <v>1656</v>
      </c>
      <c r="H131" s="4">
        <v>3511409</v>
      </c>
    </row>
    <row r="132" spans="1:8" x14ac:dyDescent="0.25">
      <c r="A132" s="4">
        <v>3511300</v>
      </c>
      <c r="B132" s="4" t="s">
        <v>1068</v>
      </c>
      <c r="C132" s="4" t="s">
        <v>1777</v>
      </c>
      <c r="E132" s="2">
        <v>3511508</v>
      </c>
      <c r="F132" s="2" t="s">
        <v>1070</v>
      </c>
      <c r="G132" s="2" t="s">
        <v>1706</v>
      </c>
      <c r="H132" s="4">
        <v>3511508</v>
      </c>
    </row>
    <row r="133" spans="1:8" x14ac:dyDescent="0.25">
      <c r="A133" s="4">
        <v>3511409</v>
      </c>
      <c r="B133" s="4" t="s">
        <v>1069</v>
      </c>
      <c r="C133" s="4" t="s">
        <v>1656</v>
      </c>
      <c r="E133" s="2">
        <v>3511607</v>
      </c>
      <c r="F133" s="2" t="s">
        <v>1071</v>
      </c>
      <c r="G133" s="2" t="s">
        <v>1670</v>
      </c>
      <c r="H133" s="4">
        <v>3511607</v>
      </c>
    </row>
    <row r="134" spans="1:8" x14ac:dyDescent="0.25">
      <c r="A134" s="4">
        <v>3511508</v>
      </c>
      <c r="B134" s="4" t="s">
        <v>1070</v>
      </c>
      <c r="C134" s="4" t="s">
        <v>1706</v>
      </c>
      <c r="E134" s="2">
        <v>3511706</v>
      </c>
      <c r="F134" s="2" t="s">
        <v>1072</v>
      </c>
      <c r="G134" s="2" t="s">
        <v>1745</v>
      </c>
      <c r="H134" s="4">
        <v>3511706</v>
      </c>
    </row>
    <row r="135" spans="1:8" x14ac:dyDescent="0.25">
      <c r="A135" s="4">
        <v>3511607</v>
      </c>
      <c r="B135" s="4" t="s">
        <v>1071</v>
      </c>
      <c r="C135" s="4" t="s">
        <v>1670</v>
      </c>
      <c r="E135" s="2">
        <v>3557204</v>
      </c>
      <c r="F135" s="2" t="s">
        <v>1073</v>
      </c>
      <c r="G135" s="2" t="s">
        <v>1648</v>
      </c>
      <c r="H135" s="4">
        <v>3557204</v>
      </c>
    </row>
    <row r="136" spans="1:8" x14ac:dyDescent="0.25">
      <c r="A136" s="4">
        <v>3511706</v>
      </c>
      <c r="B136" s="4" t="s">
        <v>1072</v>
      </c>
      <c r="C136" s="4" t="s">
        <v>1745</v>
      </c>
      <c r="E136" s="2">
        <v>3511904</v>
      </c>
      <c r="F136" s="2" t="s">
        <v>1074</v>
      </c>
      <c r="G136" s="2" t="s">
        <v>1639</v>
      </c>
      <c r="H136" s="4">
        <v>3511904</v>
      </c>
    </row>
    <row r="137" spans="1:8" x14ac:dyDescent="0.25">
      <c r="A137" s="4">
        <v>3511904</v>
      </c>
      <c r="B137" s="4" t="s">
        <v>1074</v>
      </c>
      <c r="C137" s="4" t="s">
        <v>1639</v>
      </c>
      <c r="E137" s="2">
        <v>3512001</v>
      </c>
      <c r="F137" s="2" t="s">
        <v>1075</v>
      </c>
      <c r="G137" s="2" t="s">
        <v>1660</v>
      </c>
      <c r="H137" s="4">
        <v>3512001</v>
      </c>
    </row>
    <row r="138" spans="1:8" x14ac:dyDescent="0.25">
      <c r="A138" s="4">
        <v>3512001</v>
      </c>
      <c r="B138" s="4" t="s">
        <v>1075</v>
      </c>
      <c r="C138" s="4" t="s">
        <v>1660</v>
      </c>
      <c r="E138" s="2">
        <v>3512100</v>
      </c>
      <c r="F138" s="2" t="s">
        <v>1076</v>
      </c>
      <c r="G138" s="2" t="s">
        <v>1660</v>
      </c>
      <c r="H138" s="4">
        <v>3512100</v>
      </c>
    </row>
    <row r="139" spans="1:8" x14ac:dyDescent="0.25">
      <c r="A139" s="4">
        <v>3512100</v>
      </c>
      <c r="B139" s="4" t="s">
        <v>1076</v>
      </c>
      <c r="C139" s="4" t="s">
        <v>1660</v>
      </c>
      <c r="E139" s="2">
        <v>3512209</v>
      </c>
      <c r="F139" s="2" t="s">
        <v>1077</v>
      </c>
      <c r="G139" s="2" t="s">
        <v>1733</v>
      </c>
      <c r="H139" s="4">
        <v>3512209</v>
      </c>
    </row>
    <row r="140" spans="1:8" x14ac:dyDescent="0.25">
      <c r="A140" s="4">
        <v>3512209</v>
      </c>
      <c r="B140" s="4" t="s">
        <v>1077</v>
      </c>
      <c r="C140" s="4" t="s">
        <v>1733</v>
      </c>
      <c r="E140" s="2">
        <v>3512308</v>
      </c>
      <c r="F140" s="2" t="s">
        <v>1078</v>
      </c>
      <c r="G140" s="2" t="s">
        <v>1670</v>
      </c>
      <c r="H140" s="4">
        <v>3512308</v>
      </c>
    </row>
    <row r="141" spans="1:8" x14ac:dyDescent="0.25">
      <c r="A141" s="4">
        <v>3512308</v>
      </c>
      <c r="B141" s="4" t="s">
        <v>1078</v>
      </c>
      <c r="C141" s="4" t="s">
        <v>1670</v>
      </c>
      <c r="E141" s="2">
        <v>3512407</v>
      </c>
      <c r="F141" s="2" t="s">
        <v>1079</v>
      </c>
      <c r="G141" s="2" t="s">
        <v>1722</v>
      </c>
      <c r="H141" s="4">
        <v>3512407</v>
      </c>
    </row>
    <row r="142" spans="1:8" x14ac:dyDescent="0.25">
      <c r="A142" s="4">
        <v>3512407</v>
      </c>
      <c r="B142" s="4" t="s">
        <v>1079</v>
      </c>
      <c r="C142" s="4" t="s">
        <v>1722</v>
      </c>
      <c r="E142" s="2">
        <v>3512506</v>
      </c>
      <c r="F142" s="2" t="s">
        <v>1080</v>
      </c>
      <c r="G142" s="2" t="s">
        <v>1639</v>
      </c>
      <c r="H142" s="4">
        <v>3512506</v>
      </c>
    </row>
    <row r="143" spans="1:8" x14ac:dyDescent="0.25">
      <c r="A143" s="4">
        <v>3512506</v>
      </c>
      <c r="B143" s="4" t="s">
        <v>1080</v>
      </c>
      <c r="C143" s="4" t="s">
        <v>1639</v>
      </c>
      <c r="E143" s="2">
        <v>3512605</v>
      </c>
      <c r="F143" s="2" t="s">
        <v>1081</v>
      </c>
      <c r="G143" s="2" t="s">
        <v>1656</v>
      </c>
      <c r="H143" s="4">
        <v>3512605</v>
      </c>
    </row>
    <row r="144" spans="1:8" x14ac:dyDescent="0.25">
      <c r="A144" s="4">
        <v>3512605</v>
      </c>
      <c r="B144" s="4" t="s">
        <v>1081</v>
      </c>
      <c r="C144" s="4" t="s">
        <v>1656</v>
      </c>
      <c r="E144" s="2">
        <v>3512704</v>
      </c>
      <c r="F144" s="2" t="s">
        <v>1082</v>
      </c>
      <c r="G144" s="2" t="s">
        <v>1745</v>
      </c>
      <c r="H144" s="4">
        <v>3512704</v>
      </c>
    </row>
    <row r="145" spans="1:8" x14ac:dyDescent="0.25">
      <c r="A145" s="4">
        <v>3512704</v>
      </c>
      <c r="B145" s="4" t="s">
        <v>1082</v>
      </c>
      <c r="C145" s="4" t="s">
        <v>1745</v>
      </c>
      <c r="E145" s="2">
        <v>3512803</v>
      </c>
      <c r="F145" s="2" t="s">
        <v>1083</v>
      </c>
      <c r="G145" s="2" t="s">
        <v>1722</v>
      </c>
      <c r="H145" s="4">
        <v>3512803</v>
      </c>
    </row>
    <row r="146" spans="1:8" x14ac:dyDescent="0.25">
      <c r="A146" s="4">
        <v>3512803</v>
      </c>
      <c r="B146" s="4" t="s">
        <v>1083</v>
      </c>
      <c r="C146" s="4" t="s">
        <v>1722</v>
      </c>
      <c r="E146" s="2">
        <v>3512902</v>
      </c>
      <c r="F146" s="2" t="s">
        <v>1084</v>
      </c>
      <c r="G146" s="2" t="s">
        <v>1798</v>
      </c>
      <c r="H146" s="4">
        <v>3512902</v>
      </c>
    </row>
    <row r="147" spans="1:8" x14ac:dyDescent="0.25">
      <c r="A147" s="4">
        <v>3512902</v>
      </c>
      <c r="B147" s="4" t="s">
        <v>1084</v>
      </c>
      <c r="C147" s="4" t="s">
        <v>1798</v>
      </c>
      <c r="E147" s="2">
        <v>3513009</v>
      </c>
      <c r="F147" s="2" t="s">
        <v>1085</v>
      </c>
      <c r="G147" s="2" t="s">
        <v>1690</v>
      </c>
      <c r="H147" s="4">
        <v>3513009</v>
      </c>
    </row>
    <row r="148" spans="1:8" x14ac:dyDescent="0.25">
      <c r="A148" s="4">
        <v>3513009</v>
      </c>
      <c r="B148" s="4" t="s">
        <v>1085</v>
      </c>
      <c r="C148" s="4" t="s">
        <v>1690</v>
      </c>
      <c r="E148" s="2">
        <v>3513108</v>
      </c>
      <c r="F148" s="2" t="s">
        <v>1086</v>
      </c>
      <c r="G148" s="2" t="s">
        <v>1757</v>
      </c>
      <c r="H148" s="4">
        <v>3513108</v>
      </c>
    </row>
    <row r="149" spans="1:8" x14ac:dyDescent="0.25">
      <c r="A149" s="4">
        <v>3513108</v>
      </c>
      <c r="B149" s="4" t="s">
        <v>1086</v>
      </c>
      <c r="C149" s="4" t="s">
        <v>1757</v>
      </c>
      <c r="E149" s="2">
        <v>3513207</v>
      </c>
      <c r="F149" s="2" t="s">
        <v>1087</v>
      </c>
      <c r="G149" s="2" t="s">
        <v>1694</v>
      </c>
      <c r="H149" s="4">
        <v>3513207</v>
      </c>
    </row>
    <row r="150" spans="1:8" x14ac:dyDescent="0.25">
      <c r="A150" s="4">
        <v>3513207</v>
      </c>
      <c r="B150" s="4" t="s">
        <v>1087</v>
      </c>
      <c r="C150" s="4" t="s">
        <v>1694</v>
      </c>
      <c r="E150" s="2">
        <v>3513306</v>
      </c>
      <c r="F150" s="2" t="s">
        <v>1088</v>
      </c>
      <c r="G150" s="2" t="s">
        <v>1648</v>
      </c>
      <c r="H150" s="4">
        <v>3513306</v>
      </c>
    </row>
    <row r="151" spans="1:8" x14ac:dyDescent="0.25">
      <c r="A151" s="4">
        <v>3513306</v>
      </c>
      <c r="B151" s="4" t="s">
        <v>1088</v>
      </c>
      <c r="C151" s="4" t="s">
        <v>1648</v>
      </c>
      <c r="E151" s="2">
        <v>3513405</v>
      </c>
      <c r="F151" s="2" t="s">
        <v>1089</v>
      </c>
      <c r="G151" s="2" t="s">
        <v>1794</v>
      </c>
      <c r="H151" s="4">
        <v>3513405</v>
      </c>
    </row>
    <row r="152" spans="1:8" x14ac:dyDescent="0.25">
      <c r="A152" s="4">
        <v>3513405</v>
      </c>
      <c r="B152" s="4" t="s">
        <v>1089</v>
      </c>
      <c r="C152" s="4" t="s">
        <v>1794</v>
      </c>
      <c r="E152" s="2">
        <v>3513504</v>
      </c>
      <c r="F152" s="2" t="s">
        <v>1090</v>
      </c>
      <c r="G152" s="2" t="s">
        <v>1682</v>
      </c>
      <c r="H152" s="4">
        <v>3513504</v>
      </c>
    </row>
    <row r="153" spans="1:8" x14ac:dyDescent="0.25">
      <c r="A153" s="4">
        <v>3513504</v>
      </c>
      <c r="B153" s="4" t="s">
        <v>1090</v>
      </c>
      <c r="C153" s="4" t="s">
        <v>1682</v>
      </c>
      <c r="E153" s="2">
        <v>3513603</v>
      </c>
      <c r="F153" s="2" t="s">
        <v>1091</v>
      </c>
      <c r="G153" s="2" t="s">
        <v>1794</v>
      </c>
      <c r="H153" s="4">
        <v>3513603</v>
      </c>
    </row>
    <row r="154" spans="1:8" x14ac:dyDescent="0.25">
      <c r="A154" s="4">
        <v>3513603</v>
      </c>
      <c r="B154" s="4" t="s">
        <v>1091</v>
      </c>
      <c r="C154" s="4" t="s">
        <v>1794</v>
      </c>
      <c r="E154" s="2">
        <v>3513702</v>
      </c>
      <c r="F154" s="2" t="s">
        <v>1092</v>
      </c>
      <c r="G154" s="2" t="s">
        <v>1770</v>
      </c>
      <c r="H154" s="4">
        <v>3513702</v>
      </c>
    </row>
    <row r="155" spans="1:8" x14ac:dyDescent="0.25">
      <c r="A155" s="4">
        <v>3513702</v>
      </c>
      <c r="B155" s="4" t="s">
        <v>1092</v>
      </c>
      <c r="C155" s="4" t="s">
        <v>1770</v>
      </c>
      <c r="E155" s="2">
        <v>3513801</v>
      </c>
      <c r="F155" s="2" t="s">
        <v>1093</v>
      </c>
      <c r="G155" s="2" t="s">
        <v>1803</v>
      </c>
      <c r="H155" s="4">
        <v>3513801</v>
      </c>
    </row>
    <row r="156" spans="1:8" x14ac:dyDescent="0.25">
      <c r="A156" s="4">
        <v>3513801</v>
      </c>
      <c r="B156" s="4" t="s">
        <v>1093</v>
      </c>
      <c r="C156" s="4" t="s">
        <v>1803</v>
      </c>
      <c r="E156" s="2">
        <v>3513850</v>
      </c>
      <c r="F156" s="2" t="s">
        <v>1094</v>
      </c>
      <c r="G156" s="2" t="s">
        <v>1713</v>
      </c>
      <c r="H156" s="4">
        <v>3513850</v>
      </c>
    </row>
    <row r="157" spans="1:8" x14ac:dyDescent="0.25">
      <c r="A157" s="4">
        <v>3513850</v>
      </c>
      <c r="B157" s="4" t="s">
        <v>1094</v>
      </c>
      <c r="C157" s="4" t="s">
        <v>1713</v>
      </c>
      <c r="E157" s="2">
        <v>3513900</v>
      </c>
      <c r="F157" s="2" t="s">
        <v>1095</v>
      </c>
      <c r="G157" s="2" t="s">
        <v>1773</v>
      </c>
      <c r="H157" s="4">
        <v>3513900</v>
      </c>
    </row>
    <row r="158" spans="1:8" x14ac:dyDescent="0.25">
      <c r="A158" s="4">
        <v>3513900</v>
      </c>
      <c r="B158" s="4" t="s">
        <v>1095</v>
      </c>
      <c r="C158" s="4" t="s">
        <v>1773</v>
      </c>
      <c r="E158" s="2">
        <v>3514007</v>
      </c>
      <c r="F158" s="2" t="s">
        <v>1096</v>
      </c>
      <c r="G158" s="2" t="s">
        <v>1644</v>
      </c>
      <c r="H158" s="4">
        <v>3514007</v>
      </c>
    </row>
    <row r="159" spans="1:8" x14ac:dyDescent="0.25">
      <c r="A159" s="4">
        <v>3514007</v>
      </c>
      <c r="B159" s="4" t="s">
        <v>1096</v>
      </c>
      <c r="C159" s="4" t="s">
        <v>1644</v>
      </c>
      <c r="E159" s="2">
        <v>3514106</v>
      </c>
      <c r="F159" s="2" t="s">
        <v>1097</v>
      </c>
      <c r="G159" s="2" t="s">
        <v>1665</v>
      </c>
      <c r="H159" s="4">
        <v>3514106</v>
      </c>
    </row>
    <row r="160" spans="1:8" x14ac:dyDescent="0.25">
      <c r="A160" s="4">
        <v>3514106</v>
      </c>
      <c r="B160" s="4" t="s">
        <v>1097</v>
      </c>
      <c r="C160" s="4" t="s">
        <v>1665</v>
      </c>
      <c r="E160" s="2">
        <v>3514205</v>
      </c>
      <c r="F160" s="2" t="s">
        <v>1098</v>
      </c>
      <c r="G160" s="2" t="s">
        <v>1713</v>
      </c>
      <c r="H160" s="4">
        <v>3514205</v>
      </c>
    </row>
    <row r="161" spans="1:8" x14ac:dyDescent="0.25">
      <c r="A161" s="4">
        <v>3514205</v>
      </c>
      <c r="B161" s="4" t="s">
        <v>1098</v>
      </c>
      <c r="C161" s="4" t="s">
        <v>1713</v>
      </c>
      <c r="E161" s="2">
        <v>3514304</v>
      </c>
      <c r="F161" s="2" t="s">
        <v>1099</v>
      </c>
      <c r="G161" s="2" t="s">
        <v>1770</v>
      </c>
      <c r="H161" s="4">
        <v>3514304</v>
      </c>
    </row>
    <row r="162" spans="1:8" x14ac:dyDescent="0.25">
      <c r="A162" s="4">
        <v>3514304</v>
      </c>
      <c r="B162" s="4" t="s">
        <v>1099</v>
      </c>
      <c r="C162" s="4" t="s">
        <v>1770</v>
      </c>
      <c r="E162" s="2">
        <v>3514403</v>
      </c>
      <c r="F162" s="2" t="s">
        <v>1100</v>
      </c>
      <c r="G162" s="2" t="s">
        <v>1687</v>
      </c>
      <c r="H162" s="4">
        <v>3514403</v>
      </c>
    </row>
    <row r="163" spans="1:8" x14ac:dyDescent="0.25">
      <c r="A163" s="4">
        <v>3514403</v>
      </c>
      <c r="B163" s="4" t="s">
        <v>1100</v>
      </c>
      <c r="C163" s="4" t="s">
        <v>1687</v>
      </c>
      <c r="E163" s="2">
        <v>3514502</v>
      </c>
      <c r="F163" s="2" t="s">
        <v>1101</v>
      </c>
      <c r="G163" s="2" t="s">
        <v>1665</v>
      </c>
      <c r="H163" s="4">
        <v>3514502</v>
      </c>
    </row>
    <row r="164" spans="1:8" x14ac:dyDescent="0.25">
      <c r="A164" s="4">
        <v>3514502</v>
      </c>
      <c r="B164" s="4" t="s">
        <v>1101</v>
      </c>
      <c r="C164" s="4" t="s">
        <v>1665</v>
      </c>
      <c r="E164" s="2">
        <v>3514601</v>
      </c>
      <c r="F164" s="2" t="s">
        <v>1102</v>
      </c>
      <c r="G164" s="2" t="s">
        <v>1709</v>
      </c>
      <c r="H164" s="4">
        <v>3514601</v>
      </c>
    </row>
    <row r="165" spans="1:8" x14ac:dyDescent="0.25">
      <c r="A165" s="4">
        <v>3514601</v>
      </c>
      <c r="B165" s="4" t="s">
        <v>1102</v>
      </c>
      <c r="C165" s="4" t="s">
        <v>1709</v>
      </c>
      <c r="E165" s="2">
        <v>3514700</v>
      </c>
      <c r="F165" s="2" t="s">
        <v>1103</v>
      </c>
      <c r="G165" s="2" t="s">
        <v>1648</v>
      </c>
      <c r="H165" s="4">
        <v>3514700</v>
      </c>
    </row>
    <row r="166" spans="1:8" x14ac:dyDescent="0.25">
      <c r="A166" s="4">
        <v>3514700</v>
      </c>
      <c r="B166" s="4" t="s">
        <v>1103</v>
      </c>
      <c r="C166" s="4" t="s">
        <v>1648</v>
      </c>
      <c r="E166" s="2">
        <v>3514809</v>
      </c>
      <c r="F166" s="2" t="s">
        <v>1104</v>
      </c>
      <c r="G166" s="2" t="s">
        <v>1752</v>
      </c>
      <c r="H166" s="4">
        <v>3514809</v>
      </c>
    </row>
    <row r="167" spans="1:8" x14ac:dyDescent="0.25">
      <c r="A167" s="4">
        <v>3514809</v>
      </c>
      <c r="B167" s="4" t="s">
        <v>1104</v>
      </c>
      <c r="C167" s="4" t="s">
        <v>1752</v>
      </c>
      <c r="E167" s="2">
        <v>3514908</v>
      </c>
      <c r="F167" s="2" t="s">
        <v>1105</v>
      </c>
      <c r="G167" s="2" t="s">
        <v>1674</v>
      </c>
      <c r="H167" s="4">
        <v>3514908</v>
      </c>
    </row>
    <row r="168" spans="1:8" x14ac:dyDescent="0.25">
      <c r="A168" s="4">
        <v>3514908</v>
      </c>
      <c r="B168" s="4" t="s">
        <v>1105</v>
      </c>
      <c r="C168" s="4" t="s">
        <v>1674</v>
      </c>
      <c r="E168" s="2">
        <v>3514924</v>
      </c>
      <c r="F168" s="2" t="s">
        <v>1106</v>
      </c>
      <c r="G168" s="2" t="s">
        <v>1777</v>
      </c>
      <c r="H168" s="4">
        <v>3514924</v>
      </c>
    </row>
    <row r="169" spans="1:8" x14ac:dyDescent="0.25">
      <c r="A169" s="4">
        <v>3514924</v>
      </c>
      <c r="B169" s="4" t="s">
        <v>1106</v>
      </c>
      <c r="C169" s="4" t="s">
        <v>1777</v>
      </c>
      <c r="E169" s="2">
        <v>3514957</v>
      </c>
      <c r="F169" s="2" t="s">
        <v>1107</v>
      </c>
      <c r="G169" s="2" t="s">
        <v>1660</v>
      </c>
      <c r="H169" s="4">
        <v>3514957</v>
      </c>
    </row>
    <row r="170" spans="1:8" x14ac:dyDescent="0.25">
      <c r="A170" s="4">
        <v>3514957</v>
      </c>
      <c r="B170" s="4" t="s">
        <v>1107</v>
      </c>
      <c r="C170" s="4" t="s">
        <v>1660</v>
      </c>
      <c r="E170" s="2">
        <v>3515004</v>
      </c>
      <c r="F170" s="2" t="s">
        <v>1108</v>
      </c>
      <c r="G170" s="2" t="s">
        <v>1690</v>
      </c>
      <c r="H170" s="4">
        <v>3515004</v>
      </c>
    </row>
    <row r="171" spans="1:8" x14ac:dyDescent="0.25">
      <c r="A171" s="4">
        <v>3515004</v>
      </c>
      <c r="B171" s="4" t="s">
        <v>1108</v>
      </c>
      <c r="C171" s="4" t="s">
        <v>1690</v>
      </c>
      <c r="E171" s="2">
        <v>3515103</v>
      </c>
      <c r="F171" s="2" t="s">
        <v>1109</v>
      </c>
      <c r="G171" s="2" t="s">
        <v>1690</v>
      </c>
      <c r="H171" s="4">
        <v>3515103</v>
      </c>
    </row>
    <row r="172" spans="1:8" x14ac:dyDescent="0.25">
      <c r="A172" s="4">
        <v>3515103</v>
      </c>
      <c r="B172" s="4" t="s">
        <v>1109</v>
      </c>
      <c r="C172" s="4" t="s">
        <v>1690</v>
      </c>
      <c r="E172" s="2">
        <v>3515129</v>
      </c>
      <c r="F172" s="2" t="s">
        <v>1110</v>
      </c>
      <c r="G172" s="2" t="s">
        <v>1748</v>
      </c>
      <c r="H172" s="4">
        <v>3515129</v>
      </c>
    </row>
    <row r="173" spans="1:8" x14ac:dyDescent="0.25">
      <c r="A173" s="4">
        <v>3515129</v>
      </c>
      <c r="B173" s="4" t="s">
        <v>1110</v>
      </c>
      <c r="C173" s="4" t="s">
        <v>1748</v>
      </c>
      <c r="E173" s="2">
        <v>3515152</v>
      </c>
      <c r="F173" s="2" t="s">
        <v>1111</v>
      </c>
      <c r="G173" s="2" t="s">
        <v>1733</v>
      </c>
      <c r="H173" s="4">
        <v>3515152</v>
      </c>
    </row>
    <row r="174" spans="1:8" x14ac:dyDescent="0.25">
      <c r="A174" s="4">
        <v>3515152</v>
      </c>
      <c r="B174" s="4" t="s">
        <v>1111</v>
      </c>
      <c r="C174" s="4" t="s">
        <v>1733</v>
      </c>
      <c r="E174" s="2">
        <v>3515186</v>
      </c>
      <c r="F174" s="2" t="s">
        <v>1112</v>
      </c>
      <c r="G174" s="2" t="s">
        <v>1773</v>
      </c>
      <c r="H174" s="4">
        <v>3515186</v>
      </c>
    </row>
    <row r="175" spans="1:8" x14ac:dyDescent="0.25">
      <c r="A175" s="4">
        <v>3515186</v>
      </c>
      <c r="B175" s="4" t="s">
        <v>1112</v>
      </c>
      <c r="C175" s="4" t="s">
        <v>1773</v>
      </c>
      <c r="E175" s="2">
        <v>3515194</v>
      </c>
      <c r="F175" s="2" t="s">
        <v>1113</v>
      </c>
      <c r="G175" s="2" t="s">
        <v>1648</v>
      </c>
      <c r="H175" s="4">
        <v>3515194</v>
      </c>
    </row>
    <row r="176" spans="1:8" x14ac:dyDescent="0.25">
      <c r="A176" s="4">
        <v>3515194</v>
      </c>
      <c r="B176" s="4" t="s">
        <v>1113</v>
      </c>
      <c r="C176" s="4" t="s">
        <v>1648</v>
      </c>
      <c r="E176" s="2">
        <v>3557303</v>
      </c>
      <c r="F176" s="2" t="s">
        <v>1114</v>
      </c>
      <c r="G176" s="2" t="s">
        <v>1733</v>
      </c>
      <c r="H176" s="4">
        <v>3557303</v>
      </c>
    </row>
    <row r="177" spans="1:8" x14ac:dyDescent="0.25">
      <c r="A177" s="4">
        <v>3515202</v>
      </c>
      <c r="B177" s="4" t="s">
        <v>1116</v>
      </c>
      <c r="C177" s="4" t="s">
        <v>1713</v>
      </c>
      <c r="E177" s="2">
        <v>3515301</v>
      </c>
      <c r="F177" s="2" t="s">
        <v>1115</v>
      </c>
      <c r="G177" s="2" t="s">
        <v>1748</v>
      </c>
      <c r="H177" s="4">
        <v>3515301</v>
      </c>
    </row>
    <row r="178" spans="1:8" x14ac:dyDescent="0.25">
      <c r="A178" s="4">
        <v>3515301</v>
      </c>
      <c r="B178" s="4" t="s">
        <v>1115</v>
      </c>
      <c r="C178" s="4" t="s">
        <v>1748</v>
      </c>
      <c r="E178" s="2">
        <v>3515202</v>
      </c>
      <c r="F178" s="2" t="s">
        <v>1116</v>
      </c>
      <c r="G178" s="2" t="s">
        <v>1713</v>
      </c>
      <c r="H178" s="4">
        <v>3515202</v>
      </c>
    </row>
    <row r="179" spans="1:8" x14ac:dyDescent="0.25">
      <c r="A179" s="4">
        <v>3515350</v>
      </c>
      <c r="B179" s="4" t="s">
        <v>1117</v>
      </c>
      <c r="C179" s="4" t="s">
        <v>1748</v>
      </c>
      <c r="E179" s="2">
        <v>3515350</v>
      </c>
      <c r="F179" s="2" t="s">
        <v>1117</v>
      </c>
      <c r="G179" s="2" t="s">
        <v>1748</v>
      </c>
      <c r="H179" s="4">
        <v>3515350</v>
      </c>
    </row>
    <row r="180" spans="1:8" x14ac:dyDescent="0.25">
      <c r="A180" s="4">
        <v>3515400</v>
      </c>
      <c r="B180" s="4" t="s">
        <v>1118</v>
      </c>
      <c r="C180" s="4" t="s">
        <v>1656</v>
      </c>
      <c r="E180" s="2">
        <v>3515400</v>
      </c>
      <c r="F180" s="2" t="s">
        <v>1118</v>
      </c>
      <c r="G180" s="2" t="s">
        <v>1656</v>
      </c>
      <c r="H180" s="4">
        <v>3515400</v>
      </c>
    </row>
    <row r="181" spans="1:8" x14ac:dyDescent="0.25">
      <c r="A181" s="4">
        <v>3515509</v>
      </c>
      <c r="B181" s="4" t="s">
        <v>1120</v>
      </c>
      <c r="C181" s="4" t="s">
        <v>1713</v>
      </c>
      <c r="E181" s="2">
        <v>3515608</v>
      </c>
      <c r="F181" s="2" t="s">
        <v>1119</v>
      </c>
      <c r="G181" s="2" t="s">
        <v>1709</v>
      </c>
      <c r="H181" s="4">
        <v>3515608</v>
      </c>
    </row>
    <row r="182" spans="1:8" x14ac:dyDescent="0.25">
      <c r="A182" s="4">
        <v>3515608</v>
      </c>
      <c r="B182" s="4" t="s">
        <v>1119</v>
      </c>
      <c r="C182" s="4" t="s">
        <v>1709</v>
      </c>
      <c r="E182" s="2">
        <v>3515509</v>
      </c>
      <c r="F182" s="2" t="s">
        <v>1120</v>
      </c>
      <c r="G182" s="2" t="s">
        <v>1713</v>
      </c>
      <c r="H182" s="4">
        <v>3515509</v>
      </c>
    </row>
    <row r="183" spans="1:8" x14ac:dyDescent="0.25">
      <c r="A183" s="4">
        <v>3515657</v>
      </c>
      <c r="B183" s="4" t="s">
        <v>1121</v>
      </c>
      <c r="C183" s="4" t="s">
        <v>1726</v>
      </c>
      <c r="E183" s="2">
        <v>3515657</v>
      </c>
      <c r="F183" s="2" t="s">
        <v>1121</v>
      </c>
      <c r="G183" s="2" t="s">
        <v>1726</v>
      </c>
      <c r="H183" s="4">
        <v>3515657</v>
      </c>
    </row>
    <row r="184" spans="1:8" x14ac:dyDescent="0.25">
      <c r="A184" s="4">
        <v>3515707</v>
      </c>
      <c r="B184" s="4" t="s">
        <v>1122</v>
      </c>
      <c r="C184" s="4" t="s">
        <v>1730</v>
      </c>
      <c r="E184" s="2">
        <v>3515707</v>
      </c>
      <c r="F184" s="2" t="s">
        <v>1122</v>
      </c>
      <c r="G184" s="2" t="s">
        <v>1730</v>
      </c>
      <c r="H184" s="4">
        <v>3515707</v>
      </c>
    </row>
    <row r="185" spans="1:8" x14ac:dyDescent="0.25">
      <c r="A185" s="4">
        <v>3515806</v>
      </c>
      <c r="B185" s="4" t="s">
        <v>1123</v>
      </c>
      <c r="C185" s="4" t="s">
        <v>1687</v>
      </c>
      <c r="E185" s="2">
        <v>3515806</v>
      </c>
      <c r="F185" s="2" t="s">
        <v>1123</v>
      </c>
      <c r="G185" s="2" t="s">
        <v>1687</v>
      </c>
      <c r="H185" s="4">
        <v>3515806</v>
      </c>
    </row>
    <row r="186" spans="1:8" x14ac:dyDescent="0.25">
      <c r="A186" s="4">
        <v>3515905</v>
      </c>
      <c r="B186" s="4" t="s">
        <v>1124</v>
      </c>
      <c r="C186" s="4" t="s">
        <v>1798</v>
      </c>
      <c r="E186" s="2">
        <v>3515905</v>
      </c>
      <c r="F186" s="2" t="s">
        <v>1124</v>
      </c>
      <c r="G186" s="2" t="s">
        <v>1798</v>
      </c>
      <c r="H186" s="4">
        <v>3515905</v>
      </c>
    </row>
    <row r="187" spans="1:8" x14ac:dyDescent="0.25">
      <c r="A187" s="4">
        <v>3516002</v>
      </c>
      <c r="B187" s="4" t="s">
        <v>1125</v>
      </c>
      <c r="C187" s="4" t="s">
        <v>1687</v>
      </c>
      <c r="E187" s="2">
        <v>3516002</v>
      </c>
      <c r="F187" s="2" t="s">
        <v>1125</v>
      </c>
      <c r="G187" s="2" t="s">
        <v>1687</v>
      </c>
      <c r="H187" s="4">
        <v>3516002</v>
      </c>
    </row>
    <row r="188" spans="1:8" x14ac:dyDescent="0.25">
      <c r="A188" s="4">
        <v>3516101</v>
      </c>
      <c r="B188" s="4" t="s">
        <v>1126</v>
      </c>
      <c r="C188" s="4" t="s">
        <v>1648</v>
      </c>
      <c r="E188" s="2">
        <v>3516101</v>
      </c>
      <c r="F188" s="2" t="s">
        <v>1126</v>
      </c>
      <c r="G188" s="2" t="s">
        <v>1648</v>
      </c>
      <c r="H188" s="4">
        <v>3516101</v>
      </c>
    </row>
    <row r="189" spans="1:8" x14ac:dyDescent="0.25">
      <c r="A189" s="4">
        <v>3516200</v>
      </c>
      <c r="B189" s="4" t="s">
        <v>1127</v>
      </c>
      <c r="C189" s="4" t="s">
        <v>1694</v>
      </c>
      <c r="E189" s="2">
        <v>3516200</v>
      </c>
      <c r="F189" s="2" t="s">
        <v>1127</v>
      </c>
      <c r="G189" s="2" t="s">
        <v>1694</v>
      </c>
      <c r="H189" s="4">
        <v>3516200</v>
      </c>
    </row>
    <row r="190" spans="1:8" x14ac:dyDescent="0.25">
      <c r="A190" s="4">
        <v>3516309</v>
      </c>
      <c r="B190" s="4" t="s">
        <v>1128</v>
      </c>
      <c r="C190" s="4" t="s">
        <v>1762</v>
      </c>
      <c r="E190" s="2">
        <v>3516309</v>
      </c>
      <c r="F190" s="2" t="s">
        <v>1128</v>
      </c>
      <c r="G190" s="2" t="s">
        <v>1762</v>
      </c>
      <c r="H190" s="4">
        <v>3516309</v>
      </c>
    </row>
    <row r="191" spans="1:8" x14ac:dyDescent="0.25">
      <c r="A191" s="4">
        <v>3516408</v>
      </c>
      <c r="B191" s="4" t="s">
        <v>1129</v>
      </c>
      <c r="C191" s="4" t="s">
        <v>1762</v>
      </c>
      <c r="E191" s="2">
        <v>3516408</v>
      </c>
      <c r="F191" s="2" t="s">
        <v>1129</v>
      </c>
      <c r="G191" s="2" t="s">
        <v>1762</v>
      </c>
      <c r="H191" s="4">
        <v>3516408</v>
      </c>
    </row>
    <row r="192" spans="1:8" x14ac:dyDescent="0.25">
      <c r="A192" s="4">
        <v>3516507</v>
      </c>
      <c r="B192" s="4" t="s">
        <v>1130</v>
      </c>
      <c r="C192" s="4" t="s">
        <v>1639</v>
      </c>
      <c r="E192" s="2">
        <v>3516507</v>
      </c>
      <c r="F192" s="2" t="s">
        <v>1130</v>
      </c>
      <c r="G192" s="2" t="s">
        <v>1639</v>
      </c>
      <c r="H192" s="4">
        <v>3516507</v>
      </c>
    </row>
    <row r="193" spans="1:8" x14ac:dyDescent="0.25">
      <c r="A193" s="4">
        <v>3516606</v>
      </c>
      <c r="B193" s="4" t="s">
        <v>1131</v>
      </c>
      <c r="C193" s="4" t="s">
        <v>1726</v>
      </c>
      <c r="E193" s="2">
        <v>3516606</v>
      </c>
      <c r="F193" s="2" t="s">
        <v>1131</v>
      </c>
      <c r="G193" s="2" t="s">
        <v>1726</v>
      </c>
      <c r="H193" s="4">
        <v>3516606</v>
      </c>
    </row>
    <row r="194" spans="1:8" x14ac:dyDescent="0.25">
      <c r="A194" s="4">
        <v>3516705</v>
      </c>
      <c r="B194" s="4" t="s">
        <v>1132</v>
      </c>
      <c r="C194" s="4" t="s">
        <v>1726</v>
      </c>
      <c r="E194" s="2">
        <v>3516705</v>
      </c>
      <c r="F194" s="2" t="s">
        <v>1132</v>
      </c>
      <c r="G194" s="2" t="s">
        <v>1726</v>
      </c>
      <c r="H194" s="4">
        <v>3516705</v>
      </c>
    </row>
    <row r="195" spans="1:8" x14ac:dyDescent="0.25">
      <c r="A195" s="4">
        <v>3516804</v>
      </c>
      <c r="B195" s="4" t="s">
        <v>1133</v>
      </c>
      <c r="C195" s="4" t="s">
        <v>1798</v>
      </c>
      <c r="E195" s="2">
        <v>3516804</v>
      </c>
      <c r="F195" s="2" t="s">
        <v>1133</v>
      </c>
      <c r="G195" s="2" t="s">
        <v>1798</v>
      </c>
      <c r="H195" s="4">
        <v>3516804</v>
      </c>
    </row>
    <row r="196" spans="1:8" x14ac:dyDescent="0.25">
      <c r="A196" s="4">
        <v>3516853</v>
      </c>
      <c r="B196" s="4" t="s">
        <v>1134</v>
      </c>
      <c r="C196" s="4" t="s">
        <v>1644</v>
      </c>
      <c r="E196" s="2">
        <v>3516853</v>
      </c>
      <c r="F196" s="2" t="s">
        <v>1134</v>
      </c>
      <c r="G196" s="2" t="s">
        <v>1644</v>
      </c>
      <c r="H196" s="4">
        <v>3516853</v>
      </c>
    </row>
    <row r="197" spans="1:8" x14ac:dyDescent="0.25">
      <c r="A197" s="4">
        <v>3516903</v>
      </c>
      <c r="B197" s="4" t="s">
        <v>1135</v>
      </c>
      <c r="C197" s="4" t="s">
        <v>1798</v>
      </c>
      <c r="E197" s="2">
        <v>3516903</v>
      </c>
      <c r="F197" s="2" t="s">
        <v>1135</v>
      </c>
      <c r="G197" s="2" t="s">
        <v>1798</v>
      </c>
      <c r="H197" s="4">
        <v>3516903</v>
      </c>
    </row>
    <row r="198" spans="1:8" x14ac:dyDescent="0.25">
      <c r="A198" s="4">
        <v>3517000</v>
      </c>
      <c r="B198" s="4" t="s">
        <v>1136</v>
      </c>
      <c r="C198" s="4" t="s">
        <v>1726</v>
      </c>
      <c r="E198" s="2">
        <v>3517000</v>
      </c>
      <c r="F198" s="2" t="s">
        <v>1136</v>
      </c>
      <c r="G198" s="2" t="s">
        <v>1726</v>
      </c>
      <c r="H198" s="4">
        <v>3517000</v>
      </c>
    </row>
    <row r="199" spans="1:8" x14ac:dyDescent="0.25">
      <c r="A199" s="4">
        <v>3517109</v>
      </c>
      <c r="B199" s="4" t="s">
        <v>1137</v>
      </c>
      <c r="C199" s="4" t="s">
        <v>1639</v>
      </c>
      <c r="E199" s="2">
        <v>3517109</v>
      </c>
      <c r="F199" s="2" t="s">
        <v>1137</v>
      </c>
      <c r="G199" s="2" t="s">
        <v>1639</v>
      </c>
      <c r="H199" s="4">
        <v>3517109</v>
      </c>
    </row>
    <row r="200" spans="1:8" x14ac:dyDescent="0.25">
      <c r="A200" s="4">
        <v>3517208</v>
      </c>
      <c r="B200" s="4" t="s">
        <v>1138</v>
      </c>
      <c r="C200" s="4" t="s">
        <v>1726</v>
      </c>
      <c r="E200" s="2">
        <v>3517208</v>
      </c>
      <c r="F200" s="2" t="s">
        <v>1138</v>
      </c>
      <c r="G200" s="2" t="s">
        <v>1726</v>
      </c>
      <c r="H200" s="4">
        <v>3517208</v>
      </c>
    </row>
    <row r="201" spans="1:8" x14ac:dyDescent="0.25">
      <c r="A201" s="4">
        <v>3517307</v>
      </c>
      <c r="B201" s="4" t="s">
        <v>1139</v>
      </c>
      <c r="C201" s="4" t="s">
        <v>1726</v>
      </c>
      <c r="E201" s="2">
        <v>3517307</v>
      </c>
      <c r="F201" s="2" t="s">
        <v>1139</v>
      </c>
      <c r="G201" s="2" t="s">
        <v>1726</v>
      </c>
      <c r="H201" s="4">
        <v>3517307</v>
      </c>
    </row>
    <row r="202" spans="1:8" x14ac:dyDescent="0.25">
      <c r="A202" s="4">
        <v>3517406</v>
      </c>
      <c r="B202" s="4" t="s">
        <v>1140</v>
      </c>
      <c r="C202" s="4" t="s">
        <v>1660</v>
      </c>
      <c r="E202" s="2">
        <v>3517406</v>
      </c>
      <c r="F202" s="2" t="s">
        <v>1140</v>
      </c>
      <c r="G202" s="2" t="s">
        <v>1660</v>
      </c>
      <c r="H202" s="4">
        <v>3517406</v>
      </c>
    </row>
    <row r="203" spans="1:8" x14ac:dyDescent="0.25">
      <c r="A203" s="4">
        <v>3517505</v>
      </c>
      <c r="B203" s="4" t="s">
        <v>1141</v>
      </c>
      <c r="C203" s="4" t="s">
        <v>1777</v>
      </c>
      <c r="E203" s="2">
        <v>3517505</v>
      </c>
      <c r="F203" s="2" t="s">
        <v>1141</v>
      </c>
      <c r="G203" s="2" t="s">
        <v>1777</v>
      </c>
      <c r="H203" s="4">
        <v>3517505</v>
      </c>
    </row>
    <row r="204" spans="1:8" x14ac:dyDescent="0.25">
      <c r="A204" s="4">
        <v>3517604</v>
      </c>
      <c r="B204" s="4" t="s">
        <v>1142</v>
      </c>
      <c r="C204" s="4" t="s">
        <v>1678</v>
      </c>
      <c r="E204" s="2">
        <v>3517604</v>
      </c>
      <c r="F204" s="2" t="s">
        <v>1142</v>
      </c>
      <c r="G204" s="2" t="s">
        <v>1678</v>
      </c>
      <c r="H204" s="4">
        <v>3517604</v>
      </c>
    </row>
    <row r="205" spans="1:8" x14ac:dyDescent="0.25">
      <c r="A205" s="4">
        <v>3517703</v>
      </c>
      <c r="B205" s="4" t="s">
        <v>1143</v>
      </c>
      <c r="C205" s="4" t="s">
        <v>1694</v>
      </c>
      <c r="E205" s="2">
        <v>3517703</v>
      </c>
      <c r="F205" s="2" t="s">
        <v>1143</v>
      </c>
      <c r="G205" s="2" t="s">
        <v>1694</v>
      </c>
      <c r="H205" s="4">
        <v>3517703</v>
      </c>
    </row>
    <row r="206" spans="1:8" x14ac:dyDescent="0.25">
      <c r="A206" s="4">
        <v>3517802</v>
      </c>
      <c r="B206" s="4" t="s">
        <v>1144</v>
      </c>
      <c r="C206" s="4" t="s">
        <v>1687</v>
      </c>
      <c r="E206" s="2">
        <v>3517802</v>
      </c>
      <c r="F206" s="2" t="s">
        <v>1144</v>
      </c>
      <c r="G206" s="2" t="s">
        <v>1687</v>
      </c>
      <c r="H206" s="4">
        <v>3517802</v>
      </c>
    </row>
    <row r="207" spans="1:8" x14ac:dyDescent="0.25">
      <c r="A207" s="4">
        <v>3517901</v>
      </c>
      <c r="B207" s="4" t="s">
        <v>1145</v>
      </c>
      <c r="C207" s="4" t="s">
        <v>1660</v>
      </c>
      <c r="E207" s="2">
        <v>3517901</v>
      </c>
      <c r="F207" s="2" t="s">
        <v>1145</v>
      </c>
      <c r="G207" s="2" t="s">
        <v>1660</v>
      </c>
      <c r="H207" s="4">
        <v>3517901</v>
      </c>
    </row>
    <row r="208" spans="1:8" x14ac:dyDescent="0.25">
      <c r="A208" s="4">
        <v>3518008</v>
      </c>
      <c r="B208" s="4" t="s">
        <v>1146</v>
      </c>
      <c r="C208" s="4" t="s">
        <v>1713</v>
      </c>
      <c r="E208" s="2">
        <v>3518008</v>
      </c>
      <c r="F208" s="2" t="s">
        <v>1146</v>
      </c>
      <c r="G208" s="2" t="s">
        <v>1713</v>
      </c>
      <c r="H208" s="4">
        <v>3518008</v>
      </c>
    </row>
    <row r="209" spans="1:8" x14ac:dyDescent="0.25">
      <c r="A209" s="4">
        <v>3518107</v>
      </c>
      <c r="B209" s="4" t="s">
        <v>1147</v>
      </c>
      <c r="C209" s="4" t="s">
        <v>1726</v>
      </c>
      <c r="E209" s="2">
        <v>3518107</v>
      </c>
      <c r="F209" s="2" t="s">
        <v>1147</v>
      </c>
      <c r="G209" s="2" t="s">
        <v>1726</v>
      </c>
      <c r="H209" s="4">
        <v>3518107</v>
      </c>
    </row>
    <row r="210" spans="1:8" x14ac:dyDescent="0.25">
      <c r="A210" s="4">
        <v>3518206</v>
      </c>
      <c r="B210" s="4" t="s">
        <v>1148</v>
      </c>
      <c r="C210" s="4" t="s">
        <v>1639</v>
      </c>
      <c r="E210" s="2">
        <v>3518206</v>
      </c>
      <c r="F210" s="2" t="s">
        <v>1148</v>
      </c>
      <c r="G210" s="2" t="s">
        <v>1639</v>
      </c>
      <c r="H210" s="4">
        <v>3518206</v>
      </c>
    </row>
    <row r="211" spans="1:8" x14ac:dyDescent="0.25">
      <c r="A211" s="4">
        <v>3518305</v>
      </c>
      <c r="B211" s="4" t="s">
        <v>1149</v>
      </c>
      <c r="C211" s="4" t="s">
        <v>1730</v>
      </c>
      <c r="E211" s="2">
        <v>3518305</v>
      </c>
      <c r="F211" s="2" t="s">
        <v>1149</v>
      </c>
      <c r="G211" s="2" t="s">
        <v>1730</v>
      </c>
      <c r="H211" s="4">
        <v>3518305</v>
      </c>
    </row>
    <row r="212" spans="1:8" x14ac:dyDescent="0.25">
      <c r="A212" s="4">
        <v>3518404</v>
      </c>
      <c r="B212" s="4" t="s">
        <v>1150</v>
      </c>
      <c r="C212" s="4" t="s">
        <v>1794</v>
      </c>
      <c r="E212" s="2">
        <v>3518404</v>
      </c>
      <c r="F212" s="2" t="s">
        <v>1150</v>
      </c>
      <c r="G212" s="2" t="s">
        <v>1794</v>
      </c>
      <c r="H212" s="4">
        <v>3518404</v>
      </c>
    </row>
    <row r="213" spans="1:8" x14ac:dyDescent="0.25">
      <c r="A213" s="4">
        <v>3518503</v>
      </c>
      <c r="B213" s="4" t="s">
        <v>1151</v>
      </c>
      <c r="C213" s="4" t="s">
        <v>1702</v>
      </c>
      <c r="E213" s="2">
        <v>3518503</v>
      </c>
      <c r="F213" s="2" t="s">
        <v>1151</v>
      </c>
      <c r="G213" s="2" t="s">
        <v>1702</v>
      </c>
      <c r="H213" s="4">
        <v>3518503</v>
      </c>
    </row>
    <row r="214" spans="1:8" x14ac:dyDescent="0.25">
      <c r="A214" s="4">
        <v>3518602</v>
      </c>
      <c r="B214" s="4" t="s">
        <v>1152</v>
      </c>
      <c r="C214" s="4" t="s">
        <v>1709</v>
      </c>
      <c r="E214" s="2">
        <v>3518602</v>
      </c>
      <c r="F214" s="2" t="s">
        <v>1152</v>
      </c>
      <c r="G214" s="2" t="s">
        <v>1709</v>
      </c>
      <c r="H214" s="4">
        <v>3518602</v>
      </c>
    </row>
    <row r="215" spans="1:8" x14ac:dyDescent="0.25">
      <c r="A215" s="4">
        <v>3518701</v>
      </c>
      <c r="B215" s="4" t="s">
        <v>1153</v>
      </c>
      <c r="C215" s="4" t="s">
        <v>1766</v>
      </c>
      <c r="E215" s="2">
        <v>3518701</v>
      </c>
      <c r="F215" s="2" t="s">
        <v>1153</v>
      </c>
      <c r="G215" s="2" t="s">
        <v>1766</v>
      </c>
      <c r="H215" s="4">
        <v>3518701</v>
      </c>
    </row>
    <row r="216" spans="1:8" x14ac:dyDescent="0.25">
      <c r="A216" s="4">
        <v>3518800</v>
      </c>
      <c r="B216" s="4" t="s">
        <v>1154</v>
      </c>
      <c r="C216" s="4" t="s">
        <v>1698</v>
      </c>
      <c r="E216" s="2">
        <v>3518800</v>
      </c>
      <c r="F216" s="2" t="s">
        <v>1154</v>
      </c>
      <c r="G216" s="2" t="s">
        <v>1698</v>
      </c>
      <c r="H216" s="4">
        <v>3518800</v>
      </c>
    </row>
    <row r="217" spans="1:8" x14ac:dyDescent="0.25">
      <c r="A217" s="4">
        <v>3518859</v>
      </c>
      <c r="B217" s="4" t="s">
        <v>1155</v>
      </c>
      <c r="C217" s="4" t="s">
        <v>1709</v>
      </c>
      <c r="E217" s="2">
        <v>3518859</v>
      </c>
      <c r="F217" s="2" t="s">
        <v>1155</v>
      </c>
      <c r="G217" s="2" t="s">
        <v>1709</v>
      </c>
      <c r="H217" s="4">
        <v>3518859</v>
      </c>
    </row>
    <row r="218" spans="1:8" x14ac:dyDescent="0.25">
      <c r="A218" s="4">
        <v>3518909</v>
      </c>
      <c r="B218" s="4" t="s">
        <v>1156</v>
      </c>
      <c r="C218" s="4" t="s">
        <v>1713</v>
      </c>
      <c r="E218" s="2">
        <v>3518909</v>
      </c>
      <c r="F218" s="2" t="s">
        <v>1156</v>
      </c>
      <c r="G218" s="2" t="s">
        <v>1713</v>
      </c>
      <c r="H218" s="4">
        <v>3518909</v>
      </c>
    </row>
    <row r="219" spans="1:8" x14ac:dyDescent="0.25">
      <c r="A219" s="4">
        <v>3519006</v>
      </c>
      <c r="B219" s="4" t="s">
        <v>1157</v>
      </c>
      <c r="C219" s="4" t="s">
        <v>1726</v>
      </c>
      <c r="E219" s="2">
        <v>3519006</v>
      </c>
      <c r="F219" s="2" t="s">
        <v>1157</v>
      </c>
      <c r="G219" s="2" t="s">
        <v>1726</v>
      </c>
      <c r="H219" s="4">
        <v>3519006</v>
      </c>
    </row>
    <row r="220" spans="1:8" x14ac:dyDescent="0.25">
      <c r="A220" s="4">
        <v>3519055</v>
      </c>
      <c r="B220" s="4" t="s">
        <v>1158</v>
      </c>
      <c r="C220" s="4" t="s">
        <v>1741</v>
      </c>
      <c r="E220" s="2">
        <v>3519055</v>
      </c>
      <c r="F220" s="2" t="s">
        <v>1158</v>
      </c>
      <c r="G220" s="2" t="s">
        <v>1741</v>
      </c>
      <c r="H220" s="4">
        <v>3519055</v>
      </c>
    </row>
    <row r="221" spans="1:8" x14ac:dyDescent="0.25">
      <c r="A221" s="4">
        <v>3519071</v>
      </c>
      <c r="B221" s="4" t="s">
        <v>1159</v>
      </c>
      <c r="C221" s="4" t="s">
        <v>1635</v>
      </c>
      <c r="E221" s="2">
        <v>3519071</v>
      </c>
      <c r="F221" s="2" t="s">
        <v>1159</v>
      </c>
      <c r="G221" s="2" t="s">
        <v>1635</v>
      </c>
      <c r="H221" s="4">
        <v>3519071</v>
      </c>
    </row>
    <row r="222" spans="1:8" x14ac:dyDescent="0.25">
      <c r="A222" s="4">
        <v>3519105</v>
      </c>
      <c r="B222" s="4" t="s">
        <v>1160</v>
      </c>
      <c r="C222" s="4" t="s">
        <v>1665</v>
      </c>
      <c r="E222" s="2">
        <v>3519105</v>
      </c>
      <c r="F222" s="2" t="s">
        <v>1160</v>
      </c>
      <c r="G222" s="2" t="s">
        <v>1665</v>
      </c>
      <c r="H222" s="4">
        <v>3519105</v>
      </c>
    </row>
    <row r="223" spans="1:8" x14ac:dyDescent="0.25">
      <c r="A223" s="4">
        <v>3519204</v>
      </c>
      <c r="B223" s="4" t="s">
        <v>1161</v>
      </c>
      <c r="C223" s="4" t="s">
        <v>1726</v>
      </c>
      <c r="E223" s="2">
        <v>3519204</v>
      </c>
      <c r="F223" s="2" t="s">
        <v>1161</v>
      </c>
      <c r="G223" s="2" t="s">
        <v>1726</v>
      </c>
      <c r="H223" s="4">
        <v>3519204</v>
      </c>
    </row>
    <row r="224" spans="1:8" x14ac:dyDescent="0.25">
      <c r="A224" s="4">
        <v>3519253</v>
      </c>
      <c r="B224" s="4" t="s">
        <v>1162</v>
      </c>
      <c r="C224" s="4" t="s">
        <v>1656</v>
      </c>
      <c r="E224" s="2">
        <v>3519253</v>
      </c>
      <c r="F224" s="2" t="s">
        <v>1162</v>
      </c>
      <c r="G224" s="2" t="s">
        <v>1656</v>
      </c>
      <c r="H224" s="4">
        <v>3519253</v>
      </c>
    </row>
    <row r="225" spans="1:8" x14ac:dyDescent="0.25">
      <c r="A225" s="4">
        <v>3519303</v>
      </c>
      <c r="B225" s="4" t="s">
        <v>1163</v>
      </c>
      <c r="C225" s="4" t="s">
        <v>1770</v>
      </c>
      <c r="E225" s="2">
        <v>3519303</v>
      </c>
      <c r="F225" s="2" t="s">
        <v>1163</v>
      </c>
      <c r="G225" s="2" t="s">
        <v>1770</v>
      </c>
      <c r="H225" s="4">
        <v>3519303</v>
      </c>
    </row>
    <row r="226" spans="1:8" x14ac:dyDescent="0.25">
      <c r="A226" s="4">
        <v>3519402</v>
      </c>
      <c r="B226" s="4" t="s">
        <v>1164</v>
      </c>
      <c r="C226" s="4" t="s">
        <v>1777</v>
      </c>
      <c r="E226" s="2">
        <v>3519402</v>
      </c>
      <c r="F226" s="2" t="s">
        <v>1164</v>
      </c>
      <c r="G226" s="2" t="s">
        <v>1777</v>
      </c>
      <c r="H226" s="4">
        <v>3519402</v>
      </c>
    </row>
    <row r="227" spans="1:8" x14ac:dyDescent="0.25">
      <c r="A227" s="4">
        <v>3519501</v>
      </c>
      <c r="B227" s="4" t="s">
        <v>1165</v>
      </c>
      <c r="C227" s="4" t="s">
        <v>1648</v>
      </c>
      <c r="E227" s="2">
        <v>3519501</v>
      </c>
      <c r="F227" s="2" t="s">
        <v>1165</v>
      </c>
      <c r="G227" s="2" t="s">
        <v>1648</v>
      </c>
      <c r="H227" s="4">
        <v>3519501</v>
      </c>
    </row>
    <row r="228" spans="1:8" x14ac:dyDescent="0.25">
      <c r="A228" s="4">
        <v>3519600</v>
      </c>
      <c r="B228" s="4" t="s">
        <v>1166</v>
      </c>
      <c r="C228" s="4" t="s">
        <v>1644</v>
      </c>
      <c r="E228" s="2">
        <v>3519600</v>
      </c>
      <c r="F228" s="2" t="s">
        <v>1166</v>
      </c>
      <c r="G228" s="2" t="s">
        <v>1644</v>
      </c>
      <c r="H228" s="4">
        <v>3519600</v>
      </c>
    </row>
    <row r="229" spans="1:8" x14ac:dyDescent="0.25">
      <c r="A229" s="4">
        <v>3519709</v>
      </c>
      <c r="B229" s="4" t="s">
        <v>1167</v>
      </c>
      <c r="C229" s="4" t="s">
        <v>1789</v>
      </c>
      <c r="E229" s="2">
        <v>3519709</v>
      </c>
      <c r="F229" s="2" t="s">
        <v>1167</v>
      </c>
      <c r="G229" s="2" t="s">
        <v>1789</v>
      </c>
      <c r="H229" s="4">
        <v>3519709</v>
      </c>
    </row>
    <row r="230" spans="1:8" x14ac:dyDescent="0.25">
      <c r="A230" s="4">
        <v>3519808</v>
      </c>
      <c r="B230" s="4" t="s">
        <v>1168</v>
      </c>
      <c r="C230" s="4" t="s">
        <v>1777</v>
      </c>
      <c r="E230" s="2">
        <v>3519808</v>
      </c>
      <c r="F230" s="2" t="s">
        <v>1168</v>
      </c>
      <c r="G230" s="2" t="s">
        <v>1777</v>
      </c>
      <c r="H230" s="4">
        <v>3519808</v>
      </c>
    </row>
    <row r="231" spans="1:8" x14ac:dyDescent="0.25">
      <c r="A231" s="4">
        <v>3519907</v>
      </c>
      <c r="B231" s="4" t="s">
        <v>1169</v>
      </c>
      <c r="C231" s="4" t="s">
        <v>1748</v>
      </c>
      <c r="E231" s="2">
        <v>3519907</v>
      </c>
      <c r="F231" s="2" t="s">
        <v>1169</v>
      </c>
      <c r="G231" s="2" t="s">
        <v>1748</v>
      </c>
      <c r="H231" s="4">
        <v>3519907</v>
      </c>
    </row>
    <row r="232" spans="1:8" x14ac:dyDescent="0.25">
      <c r="A232" s="4">
        <v>3520004</v>
      </c>
      <c r="B232" s="4" t="s">
        <v>1170</v>
      </c>
      <c r="C232" s="4" t="s">
        <v>1665</v>
      </c>
      <c r="E232" s="2">
        <v>3520004</v>
      </c>
      <c r="F232" s="2" t="s">
        <v>1170</v>
      </c>
      <c r="G232" s="2" t="s">
        <v>1665</v>
      </c>
      <c r="H232" s="4">
        <v>3520004</v>
      </c>
    </row>
    <row r="233" spans="1:8" x14ac:dyDescent="0.25">
      <c r="A233" s="4">
        <v>3520103</v>
      </c>
      <c r="B233" s="4" t="s">
        <v>1171</v>
      </c>
      <c r="C233" s="4" t="s">
        <v>1694</v>
      </c>
      <c r="E233" s="2">
        <v>3520103</v>
      </c>
      <c r="F233" s="2" t="s">
        <v>1171</v>
      </c>
      <c r="G233" s="2" t="s">
        <v>1694</v>
      </c>
      <c r="H233" s="4">
        <v>3520103</v>
      </c>
    </row>
    <row r="234" spans="1:8" x14ac:dyDescent="0.25">
      <c r="A234" s="4">
        <v>3520202</v>
      </c>
      <c r="B234" s="4" t="s">
        <v>1172</v>
      </c>
      <c r="C234" s="4" t="s">
        <v>1781</v>
      </c>
      <c r="E234" s="2">
        <v>3520202</v>
      </c>
      <c r="F234" s="2" t="s">
        <v>1172</v>
      </c>
      <c r="G234" s="2" t="s">
        <v>1781</v>
      </c>
      <c r="H234" s="4">
        <v>3520202</v>
      </c>
    </row>
    <row r="235" spans="1:8" x14ac:dyDescent="0.25">
      <c r="A235" s="4">
        <v>3520301</v>
      </c>
      <c r="B235" s="4" t="s">
        <v>1173</v>
      </c>
      <c r="C235" s="4" t="s">
        <v>1752</v>
      </c>
      <c r="E235" s="2">
        <v>3520301</v>
      </c>
      <c r="F235" s="2" t="s">
        <v>1173</v>
      </c>
      <c r="G235" s="2" t="s">
        <v>1752</v>
      </c>
      <c r="H235" s="4">
        <v>3520301</v>
      </c>
    </row>
    <row r="236" spans="1:8" x14ac:dyDescent="0.25">
      <c r="A236" s="4">
        <v>3520400</v>
      </c>
      <c r="B236" s="4" t="s">
        <v>1176</v>
      </c>
      <c r="C236" s="4" t="s">
        <v>1785</v>
      </c>
      <c r="E236" s="2">
        <v>3520426</v>
      </c>
      <c r="F236" s="2" t="s">
        <v>1174</v>
      </c>
      <c r="G236" s="2" t="s">
        <v>1752</v>
      </c>
      <c r="H236" s="4">
        <v>3520426</v>
      </c>
    </row>
    <row r="237" spans="1:8" x14ac:dyDescent="0.25">
      <c r="A237" s="4">
        <v>3520426</v>
      </c>
      <c r="B237" s="4" t="s">
        <v>1174</v>
      </c>
      <c r="C237" s="4" t="s">
        <v>1752</v>
      </c>
      <c r="E237" s="2">
        <v>3520442</v>
      </c>
      <c r="F237" s="2" t="s">
        <v>1175</v>
      </c>
      <c r="G237" s="2" t="s">
        <v>1713</v>
      </c>
      <c r="H237" s="4">
        <v>3520442</v>
      </c>
    </row>
    <row r="238" spans="1:8" x14ac:dyDescent="0.25">
      <c r="A238" s="4">
        <v>3520442</v>
      </c>
      <c r="B238" s="4" t="s">
        <v>1175</v>
      </c>
      <c r="C238" s="4" t="s">
        <v>1713</v>
      </c>
      <c r="E238" s="2">
        <v>3520400</v>
      </c>
      <c r="F238" s="2" t="s">
        <v>1176</v>
      </c>
      <c r="G238" s="2" t="s">
        <v>1785</v>
      </c>
      <c r="H238" s="4">
        <v>3520400</v>
      </c>
    </row>
    <row r="239" spans="1:8" x14ac:dyDescent="0.25">
      <c r="A239" s="4">
        <v>3520509</v>
      </c>
      <c r="B239" s="4" t="s">
        <v>1177</v>
      </c>
      <c r="C239" s="4" t="s">
        <v>1717</v>
      </c>
      <c r="E239" s="2">
        <v>3520509</v>
      </c>
      <c r="F239" s="2" t="s">
        <v>1177</v>
      </c>
      <c r="G239" s="2" t="s">
        <v>1717</v>
      </c>
      <c r="H239" s="4">
        <v>3520509</v>
      </c>
    </row>
    <row r="240" spans="1:8" x14ac:dyDescent="0.25">
      <c r="A240" s="4">
        <v>3520608</v>
      </c>
      <c r="B240" s="4" t="s">
        <v>1178</v>
      </c>
      <c r="C240" s="4" t="s">
        <v>1748</v>
      </c>
      <c r="E240" s="2">
        <v>3520608</v>
      </c>
      <c r="F240" s="2" t="s">
        <v>1178</v>
      </c>
      <c r="G240" s="2" t="s">
        <v>1748</v>
      </c>
      <c r="H240" s="4">
        <v>3520608</v>
      </c>
    </row>
    <row r="241" spans="1:8" x14ac:dyDescent="0.25">
      <c r="A241" s="4">
        <v>3520707</v>
      </c>
      <c r="B241" s="4" t="s">
        <v>1179</v>
      </c>
      <c r="C241" s="4" t="s">
        <v>1713</v>
      </c>
      <c r="E241" s="2">
        <v>3520707</v>
      </c>
      <c r="F241" s="2" t="s">
        <v>1179</v>
      </c>
      <c r="G241" s="2" t="s">
        <v>1713</v>
      </c>
      <c r="H241" s="4">
        <v>3520707</v>
      </c>
    </row>
    <row r="242" spans="1:8" x14ac:dyDescent="0.25">
      <c r="A242" s="4">
        <v>3520806</v>
      </c>
      <c r="B242" s="4" t="s">
        <v>1180</v>
      </c>
      <c r="C242" s="4" t="s">
        <v>1687</v>
      </c>
      <c r="E242" s="2">
        <v>3520806</v>
      </c>
      <c r="F242" s="2" t="s">
        <v>1180</v>
      </c>
      <c r="G242" s="2" t="s">
        <v>1687</v>
      </c>
      <c r="H242" s="4">
        <v>3520806</v>
      </c>
    </row>
    <row r="243" spans="1:8" x14ac:dyDescent="0.25">
      <c r="A243" s="4">
        <v>3520905</v>
      </c>
      <c r="B243" s="4" t="s">
        <v>1181</v>
      </c>
      <c r="C243" s="4" t="s">
        <v>1648</v>
      </c>
      <c r="E243" s="2">
        <v>3520905</v>
      </c>
      <c r="F243" s="2" t="s">
        <v>1181</v>
      </c>
      <c r="G243" s="2" t="s">
        <v>1648</v>
      </c>
      <c r="H243" s="4">
        <v>3520905</v>
      </c>
    </row>
    <row r="244" spans="1:8" x14ac:dyDescent="0.25">
      <c r="A244" s="4">
        <v>3521002</v>
      </c>
      <c r="B244" s="4" t="s">
        <v>1182</v>
      </c>
      <c r="C244" s="4" t="s">
        <v>1789</v>
      </c>
      <c r="E244" s="2">
        <v>3521002</v>
      </c>
      <c r="F244" s="2" t="s">
        <v>1182</v>
      </c>
      <c r="G244" s="2" t="s">
        <v>1789</v>
      </c>
      <c r="H244" s="4">
        <v>3521002</v>
      </c>
    </row>
    <row r="245" spans="1:8" x14ac:dyDescent="0.25">
      <c r="A245" s="4">
        <v>3521101</v>
      </c>
      <c r="B245" s="4" t="s">
        <v>1183</v>
      </c>
      <c r="C245" s="4" t="s">
        <v>1745</v>
      </c>
      <c r="E245" s="2">
        <v>3521101</v>
      </c>
      <c r="F245" s="2" t="s">
        <v>1183</v>
      </c>
      <c r="G245" s="2" t="s">
        <v>1745</v>
      </c>
      <c r="H245" s="4">
        <v>3521101</v>
      </c>
    </row>
    <row r="246" spans="1:8" x14ac:dyDescent="0.25">
      <c r="A246" s="4">
        <v>3521150</v>
      </c>
      <c r="B246" s="4" t="s">
        <v>1184</v>
      </c>
      <c r="C246" s="4" t="s">
        <v>1777</v>
      </c>
      <c r="E246" s="2">
        <v>3521150</v>
      </c>
      <c r="F246" s="2" t="s">
        <v>1184</v>
      </c>
      <c r="G246" s="2" t="s">
        <v>1777</v>
      </c>
      <c r="H246" s="4">
        <v>3521150</v>
      </c>
    </row>
    <row r="247" spans="1:8" x14ac:dyDescent="0.25">
      <c r="A247" s="4">
        <v>3521200</v>
      </c>
      <c r="B247" s="4" t="s">
        <v>1185</v>
      </c>
      <c r="C247" s="4" t="s">
        <v>1752</v>
      </c>
      <c r="E247" s="2">
        <v>3521200</v>
      </c>
      <c r="F247" s="2" t="s">
        <v>1185</v>
      </c>
      <c r="G247" s="2" t="s">
        <v>1752</v>
      </c>
      <c r="H247" s="4">
        <v>3521200</v>
      </c>
    </row>
    <row r="248" spans="1:8" x14ac:dyDescent="0.25">
      <c r="A248" s="4">
        <v>3521309</v>
      </c>
      <c r="B248" s="4" t="s">
        <v>1186</v>
      </c>
      <c r="C248" s="4" t="s">
        <v>1757</v>
      </c>
      <c r="E248" s="2">
        <v>3521309</v>
      </c>
      <c r="F248" s="2" t="s">
        <v>1186</v>
      </c>
      <c r="G248" s="2" t="s">
        <v>1757</v>
      </c>
      <c r="H248" s="4">
        <v>3521309</v>
      </c>
    </row>
    <row r="249" spans="1:8" x14ac:dyDescent="0.25">
      <c r="A249" s="4">
        <v>3521408</v>
      </c>
      <c r="B249" s="4" t="s">
        <v>1187</v>
      </c>
      <c r="C249" s="4" t="s">
        <v>1722</v>
      </c>
      <c r="E249" s="2">
        <v>3521408</v>
      </c>
      <c r="F249" s="2" t="s">
        <v>1187</v>
      </c>
      <c r="G249" s="2" t="s">
        <v>1722</v>
      </c>
      <c r="H249" s="4">
        <v>3521408</v>
      </c>
    </row>
    <row r="250" spans="1:8" x14ac:dyDescent="0.25">
      <c r="A250" s="4">
        <v>3521507</v>
      </c>
      <c r="B250" s="4" t="s">
        <v>1188</v>
      </c>
      <c r="C250" s="4" t="s">
        <v>1777</v>
      </c>
      <c r="E250" s="2">
        <v>3521507</v>
      </c>
      <c r="F250" s="2" t="s">
        <v>1188</v>
      </c>
      <c r="G250" s="2" t="s">
        <v>1777</v>
      </c>
      <c r="H250" s="4">
        <v>3521507</v>
      </c>
    </row>
    <row r="251" spans="1:8" x14ac:dyDescent="0.25">
      <c r="A251" s="4">
        <v>3521606</v>
      </c>
      <c r="B251" s="4" t="s">
        <v>1189</v>
      </c>
      <c r="C251" s="4" t="s">
        <v>1687</v>
      </c>
      <c r="E251" s="2">
        <v>3521606</v>
      </c>
      <c r="F251" s="2" t="s">
        <v>1189</v>
      </c>
      <c r="G251" s="2" t="s">
        <v>1687</v>
      </c>
      <c r="H251" s="4">
        <v>3521606</v>
      </c>
    </row>
    <row r="252" spans="1:8" x14ac:dyDescent="0.25">
      <c r="A252" s="4">
        <v>3521705</v>
      </c>
      <c r="B252" s="4" t="s">
        <v>1190</v>
      </c>
      <c r="C252" s="4" t="s">
        <v>1678</v>
      </c>
      <c r="E252" s="2">
        <v>3521705</v>
      </c>
      <c r="F252" s="2" t="s">
        <v>1190</v>
      </c>
      <c r="G252" s="2" t="s">
        <v>1678</v>
      </c>
      <c r="H252" s="4">
        <v>3521705</v>
      </c>
    </row>
    <row r="253" spans="1:8" x14ac:dyDescent="0.25">
      <c r="A253" s="4">
        <v>3521804</v>
      </c>
      <c r="B253" s="4" t="s">
        <v>1191</v>
      </c>
      <c r="C253" s="4" t="s">
        <v>1656</v>
      </c>
      <c r="E253" s="2">
        <v>3521804</v>
      </c>
      <c r="F253" s="2" t="s">
        <v>1191</v>
      </c>
      <c r="G253" s="2" t="s">
        <v>1656</v>
      </c>
      <c r="H253" s="4">
        <v>3521804</v>
      </c>
    </row>
    <row r="254" spans="1:8" x14ac:dyDescent="0.25">
      <c r="A254" s="4">
        <v>3521903</v>
      </c>
      <c r="B254" s="4" t="s">
        <v>1192</v>
      </c>
      <c r="C254" s="4" t="s">
        <v>1777</v>
      </c>
      <c r="E254" s="2">
        <v>3521903</v>
      </c>
      <c r="F254" s="2" t="s">
        <v>1192</v>
      </c>
      <c r="G254" s="2" t="s">
        <v>1777</v>
      </c>
      <c r="H254" s="4">
        <v>3521903</v>
      </c>
    </row>
    <row r="255" spans="1:8" x14ac:dyDescent="0.25">
      <c r="A255" s="4">
        <v>3522000</v>
      </c>
      <c r="B255" s="4" t="s">
        <v>1193</v>
      </c>
      <c r="C255" s="4" t="s">
        <v>1665</v>
      </c>
      <c r="E255" s="2">
        <v>3522000</v>
      </c>
      <c r="F255" s="2" t="s">
        <v>1193</v>
      </c>
      <c r="G255" s="2" t="s">
        <v>1665</v>
      </c>
      <c r="H255" s="4">
        <v>3522000</v>
      </c>
    </row>
    <row r="256" spans="1:8" x14ac:dyDescent="0.25">
      <c r="A256" s="4">
        <v>3522109</v>
      </c>
      <c r="B256" s="4" t="s">
        <v>1194</v>
      </c>
      <c r="C256" s="4" t="s">
        <v>1766</v>
      </c>
      <c r="E256" s="2">
        <v>3522109</v>
      </c>
      <c r="F256" s="2" t="s">
        <v>1194</v>
      </c>
      <c r="G256" s="2" t="s">
        <v>1766</v>
      </c>
      <c r="H256" s="4">
        <v>3522109</v>
      </c>
    </row>
    <row r="257" spans="1:8" x14ac:dyDescent="0.25">
      <c r="A257" s="4">
        <v>3522158</v>
      </c>
      <c r="B257" s="4" t="s">
        <v>1195</v>
      </c>
      <c r="C257" s="4" t="s">
        <v>1678</v>
      </c>
      <c r="E257" s="2">
        <v>3522158</v>
      </c>
      <c r="F257" s="2" t="s">
        <v>1195</v>
      </c>
      <c r="G257" s="2" t="s">
        <v>1678</v>
      </c>
      <c r="H257" s="4">
        <v>3522158</v>
      </c>
    </row>
    <row r="258" spans="1:8" x14ac:dyDescent="0.25">
      <c r="A258" s="4">
        <v>3522208</v>
      </c>
      <c r="B258" s="4" t="s">
        <v>1196</v>
      </c>
      <c r="C258" s="4" t="s">
        <v>1690</v>
      </c>
      <c r="E258" s="2">
        <v>3522208</v>
      </c>
      <c r="F258" s="2" t="s">
        <v>1196</v>
      </c>
      <c r="G258" s="2" t="s">
        <v>1690</v>
      </c>
      <c r="H258" s="4">
        <v>3522208</v>
      </c>
    </row>
    <row r="259" spans="1:8" x14ac:dyDescent="0.25">
      <c r="A259" s="4">
        <v>3522307</v>
      </c>
      <c r="B259" s="4" t="s">
        <v>1197</v>
      </c>
      <c r="C259" s="4" t="s">
        <v>1702</v>
      </c>
      <c r="E259" s="2">
        <v>3522307</v>
      </c>
      <c r="F259" s="2" t="s">
        <v>1197</v>
      </c>
      <c r="G259" s="2" t="s">
        <v>1702</v>
      </c>
      <c r="H259" s="4">
        <v>3522307</v>
      </c>
    </row>
    <row r="260" spans="1:8" x14ac:dyDescent="0.25">
      <c r="A260" s="4">
        <v>3522406</v>
      </c>
      <c r="B260" s="4" t="s">
        <v>1198</v>
      </c>
      <c r="C260" s="4" t="s">
        <v>1678</v>
      </c>
      <c r="E260" s="2">
        <v>3522406</v>
      </c>
      <c r="F260" s="2" t="s">
        <v>1198</v>
      </c>
      <c r="G260" s="2" t="s">
        <v>1678</v>
      </c>
      <c r="H260" s="4">
        <v>3522406</v>
      </c>
    </row>
    <row r="261" spans="1:8" x14ac:dyDescent="0.25">
      <c r="A261" s="4">
        <v>3522505</v>
      </c>
      <c r="B261" s="4" t="s">
        <v>1199</v>
      </c>
      <c r="C261" s="4" t="s">
        <v>1737</v>
      </c>
      <c r="E261" s="2">
        <v>3522505</v>
      </c>
      <c r="F261" s="2" t="s">
        <v>1199</v>
      </c>
      <c r="G261" s="2" t="s">
        <v>1737</v>
      </c>
      <c r="H261" s="4">
        <v>3522505</v>
      </c>
    </row>
    <row r="262" spans="1:8" x14ac:dyDescent="0.25">
      <c r="A262" s="4">
        <v>3522604</v>
      </c>
      <c r="B262" s="4" t="s">
        <v>1200</v>
      </c>
      <c r="C262" s="4" t="s">
        <v>1733</v>
      </c>
      <c r="E262" s="2">
        <v>3522604</v>
      </c>
      <c r="F262" s="2" t="s">
        <v>1200</v>
      </c>
      <c r="G262" s="2" t="s">
        <v>1733</v>
      </c>
      <c r="H262" s="4">
        <v>3522604</v>
      </c>
    </row>
    <row r="263" spans="1:8" x14ac:dyDescent="0.25">
      <c r="A263" s="4">
        <v>3522653</v>
      </c>
      <c r="B263" s="4" t="s">
        <v>1201</v>
      </c>
      <c r="C263" s="4" t="s">
        <v>1678</v>
      </c>
      <c r="E263" s="2">
        <v>3522653</v>
      </c>
      <c r="F263" s="2" t="s">
        <v>1201</v>
      </c>
      <c r="G263" s="2" t="s">
        <v>1678</v>
      </c>
      <c r="H263" s="4">
        <v>3522653</v>
      </c>
    </row>
    <row r="264" spans="1:8" x14ac:dyDescent="0.25">
      <c r="A264" s="4">
        <v>3522703</v>
      </c>
      <c r="B264" s="4" t="s">
        <v>1202</v>
      </c>
      <c r="C264" s="4" t="s">
        <v>1644</v>
      </c>
      <c r="E264" s="2">
        <v>3522703</v>
      </c>
      <c r="F264" s="2" t="s">
        <v>1202</v>
      </c>
      <c r="G264" s="2" t="s">
        <v>1644</v>
      </c>
      <c r="H264" s="4">
        <v>3522703</v>
      </c>
    </row>
    <row r="265" spans="1:8" x14ac:dyDescent="0.25">
      <c r="A265" s="4">
        <v>3522802</v>
      </c>
      <c r="B265" s="4" t="s">
        <v>1203</v>
      </c>
      <c r="C265" s="4" t="s">
        <v>1656</v>
      </c>
      <c r="E265" s="2">
        <v>3522802</v>
      </c>
      <c r="F265" s="2" t="s">
        <v>1203</v>
      </c>
      <c r="G265" s="2" t="s">
        <v>1656</v>
      </c>
      <c r="H265" s="4">
        <v>3522802</v>
      </c>
    </row>
    <row r="266" spans="1:8" x14ac:dyDescent="0.25">
      <c r="A266" s="4">
        <v>3522901</v>
      </c>
      <c r="B266" s="4" t="s">
        <v>1204</v>
      </c>
      <c r="C266" s="4" t="s">
        <v>1665</v>
      </c>
      <c r="E266" s="2">
        <v>3522901</v>
      </c>
      <c r="F266" s="2" t="s">
        <v>1204</v>
      </c>
      <c r="G266" s="2" t="s">
        <v>1665</v>
      </c>
      <c r="H266" s="4">
        <v>3522901</v>
      </c>
    </row>
    <row r="267" spans="1:8" x14ac:dyDescent="0.25">
      <c r="A267" s="4">
        <v>3523008</v>
      </c>
      <c r="B267" s="4" t="s">
        <v>1205</v>
      </c>
      <c r="C267" s="4" t="s">
        <v>1713</v>
      </c>
      <c r="E267" s="2">
        <v>3523008</v>
      </c>
      <c r="F267" s="2" t="s">
        <v>1205</v>
      </c>
      <c r="G267" s="2" t="s">
        <v>1713</v>
      </c>
      <c r="H267" s="4">
        <v>3523008</v>
      </c>
    </row>
    <row r="268" spans="1:8" x14ac:dyDescent="0.25">
      <c r="A268" s="4">
        <v>3523107</v>
      </c>
      <c r="B268" s="4" t="s">
        <v>1206</v>
      </c>
      <c r="C268" s="4" t="s">
        <v>1730</v>
      </c>
      <c r="E268" s="2">
        <v>3523107</v>
      </c>
      <c r="F268" s="2" t="s">
        <v>1206</v>
      </c>
      <c r="G268" s="2" t="s">
        <v>1730</v>
      </c>
      <c r="H268" s="4">
        <v>3523107</v>
      </c>
    </row>
    <row r="269" spans="1:8" x14ac:dyDescent="0.25">
      <c r="A269" s="4">
        <v>3523206</v>
      </c>
      <c r="B269" s="4" t="s">
        <v>1207</v>
      </c>
      <c r="C269" s="4" t="s">
        <v>1678</v>
      </c>
      <c r="E269" s="2">
        <v>3523206</v>
      </c>
      <c r="F269" s="2" t="s">
        <v>1207</v>
      </c>
      <c r="G269" s="2" t="s">
        <v>1678</v>
      </c>
      <c r="H269" s="4">
        <v>3523206</v>
      </c>
    </row>
    <row r="270" spans="1:8" x14ac:dyDescent="0.25">
      <c r="A270" s="4">
        <v>3523305</v>
      </c>
      <c r="B270" s="4" t="s">
        <v>1208</v>
      </c>
      <c r="C270" s="4" t="s">
        <v>1752</v>
      </c>
      <c r="E270" s="2">
        <v>3523305</v>
      </c>
      <c r="F270" s="2" t="s">
        <v>1208</v>
      </c>
      <c r="G270" s="2" t="s">
        <v>1752</v>
      </c>
      <c r="H270" s="4">
        <v>3523305</v>
      </c>
    </row>
    <row r="271" spans="1:8" x14ac:dyDescent="0.25">
      <c r="A271" s="4">
        <v>3523404</v>
      </c>
      <c r="B271" s="4" t="s">
        <v>1209</v>
      </c>
      <c r="C271" s="4" t="s">
        <v>1652</v>
      </c>
      <c r="E271" s="2">
        <v>3523404</v>
      </c>
      <c r="F271" s="2" t="s">
        <v>1209</v>
      </c>
      <c r="G271" s="2" t="s">
        <v>1652</v>
      </c>
      <c r="H271" s="4">
        <v>3523404</v>
      </c>
    </row>
    <row r="272" spans="1:8" x14ac:dyDescent="0.25">
      <c r="A272" s="4">
        <v>3523503</v>
      </c>
      <c r="B272" s="4" t="s">
        <v>1210</v>
      </c>
      <c r="C272" s="4" t="s">
        <v>1656</v>
      </c>
      <c r="E272" s="2">
        <v>3523503</v>
      </c>
      <c r="F272" s="2" t="s">
        <v>1210</v>
      </c>
      <c r="G272" s="2" t="s">
        <v>1656</v>
      </c>
      <c r="H272" s="4">
        <v>3523503</v>
      </c>
    </row>
    <row r="273" spans="1:8" x14ac:dyDescent="0.25">
      <c r="A273" s="4">
        <v>3523602</v>
      </c>
      <c r="B273" s="4" t="s">
        <v>1211</v>
      </c>
      <c r="C273" s="4" t="s">
        <v>1770</v>
      </c>
      <c r="E273" s="2">
        <v>3523602</v>
      </c>
      <c r="F273" s="2" t="s">
        <v>1211</v>
      </c>
      <c r="G273" s="2" t="s">
        <v>1770</v>
      </c>
      <c r="H273" s="4">
        <v>3523602</v>
      </c>
    </row>
    <row r="274" spans="1:8" x14ac:dyDescent="0.25">
      <c r="A274" s="4">
        <v>3523701</v>
      </c>
      <c r="B274" s="4" t="s">
        <v>1212</v>
      </c>
      <c r="C274" s="4" t="s">
        <v>1694</v>
      </c>
      <c r="E274" s="2">
        <v>3523701</v>
      </c>
      <c r="F274" s="2" t="s">
        <v>1212</v>
      </c>
      <c r="G274" s="2" t="s">
        <v>1694</v>
      </c>
      <c r="H274" s="4">
        <v>3523701</v>
      </c>
    </row>
    <row r="275" spans="1:8" x14ac:dyDescent="0.25">
      <c r="A275" s="4">
        <v>3523800</v>
      </c>
      <c r="B275" s="4" t="s">
        <v>1213</v>
      </c>
      <c r="C275" s="4" t="s">
        <v>1773</v>
      </c>
      <c r="E275" s="2">
        <v>3523800</v>
      </c>
      <c r="F275" s="2" t="s">
        <v>1213</v>
      </c>
      <c r="G275" s="2" t="s">
        <v>1773</v>
      </c>
      <c r="H275" s="4">
        <v>3523800</v>
      </c>
    </row>
    <row r="276" spans="1:8" x14ac:dyDescent="0.25">
      <c r="A276" s="4">
        <v>3523909</v>
      </c>
      <c r="B276" s="4" t="s">
        <v>1214</v>
      </c>
      <c r="C276" s="4" t="s">
        <v>1706</v>
      </c>
      <c r="E276" s="2">
        <v>3523909</v>
      </c>
      <c r="F276" s="2" t="s">
        <v>1214</v>
      </c>
      <c r="G276" s="2" t="s">
        <v>1706</v>
      </c>
      <c r="H276" s="4">
        <v>3523909</v>
      </c>
    </row>
    <row r="277" spans="1:8" x14ac:dyDescent="0.25">
      <c r="A277" s="4">
        <v>3524006</v>
      </c>
      <c r="B277" s="4" t="s">
        <v>1215</v>
      </c>
      <c r="C277" s="4" t="s">
        <v>1717</v>
      </c>
      <c r="E277" s="2">
        <v>3524006</v>
      </c>
      <c r="F277" s="2" t="s">
        <v>1215</v>
      </c>
      <c r="G277" s="2" t="s">
        <v>1717</v>
      </c>
      <c r="H277" s="4">
        <v>3524006</v>
      </c>
    </row>
    <row r="278" spans="1:8" x14ac:dyDescent="0.25">
      <c r="A278" s="4">
        <v>3524105</v>
      </c>
      <c r="B278" s="4" t="s">
        <v>1216</v>
      </c>
      <c r="C278" s="4" t="s">
        <v>1694</v>
      </c>
      <c r="E278" s="2">
        <v>3524105</v>
      </c>
      <c r="F278" s="2" t="s">
        <v>1216</v>
      </c>
      <c r="G278" s="2" t="s">
        <v>1694</v>
      </c>
      <c r="H278" s="4">
        <v>3524105</v>
      </c>
    </row>
    <row r="279" spans="1:8" x14ac:dyDescent="0.25">
      <c r="A279" s="4">
        <v>3524204</v>
      </c>
      <c r="B279" s="4" t="s">
        <v>1217</v>
      </c>
      <c r="C279" s="4" t="s">
        <v>1660</v>
      </c>
      <c r="E279" s="2">
        <v>3524204</v>
      </c>
      <c r="F279" s="2" t="s">
        <v>1217</v>
      </c>
      <c r="G279" s="2" t="s">
        <v>1660</v>
      </c>
      <c r="H279" s="4">
        <v>3524204</v>
      </c>
    </row>
    <row r="280" spans="1:8" x14ac:dyDescent="0.25">
      <c r="A280" s="4">
        <v>3524303</v>
      </c>
      <c r="B280" s="4" t="s">
        <v>1218</v>
      </c>
      <c r="C280" s="4" t="s">
        <v>1709</v>
      </c>
      <c r="E280" s="2">
        <v>3524303</v>
      </c>
      <c r="F280" s="2" t="s">
        <v>1218</v>
      </c>
      <c r="G280" s="2" t="s">
        <v>1709</v>
      </c>
      <c r="H280" s="4">
        <v>3524303</v>
      </c>
    </row>
    <row r="281" spans="1:8" x14ac:dyDescent="0.25">
      <c r="A281" s="4">
        <v>3524402</v>
      </c>
      <c r="B281" s="4" t="s">
        <v>1219</v>
      </c>
      <c r="C281" s="4" t="s">
        <v>1781</v>
      </c>
      <c r="E281" s="2">
        <v>3524402</v>
      </c>
      <c r="F281" s="2" t="s">
        <v>1219</v>
      </c>
      <c r="G281" s="2" t="s">
        <v>1781</v>
      </c>
      <c r="H281" s="4">
        <v>3524402</v>
      </c>
    </row>
    <row r="282" spans="1:8" x14ac:dyDescent="0.25">
      <c r="A282" s="4">
        <v>3524501</v>
      </c>
      <c r="B282" s="4" t="s">
        <v>1220</v>
      </c>
      <c r="C282" s="4" t="s">
        <v>1777</v>
      </c>
      <c r="E282" s="2">
        <v>3524501</v>
      </c>
      <c r="F282" s="2" t="s">
        <v>1220</v>
      </c>
      <c r="G282" s="2" t="s">
        <v>1777</v>
      </c>
      <c r="H282" s="4">
        <v>3524501</v>
      </c>
    </row>
    <row r="283" spans="1:8" x14ac:dyDescent="0.25">
      <c r="A283" s="4">
        <v>3524600</v>
      </c>
      <c r="B283" s="4" t="s">
        <v>1221</v>
      </c>
      <c r="C283" s="4" t="s">
        <v>1752</v>
      </c>
      <c r="E283" s="2">
        <v>3524600</v>
      </c>
      <c r="F283" s="2" t="s">
        <v>1221</v>
      </c>
      <c r="G283" s="2" t="s">
        <v>1752</v>
      </c>
      <c r="H283" s="4">
        <v>3524600</v>
      </c>
    </row>
    <row r="284" spans="1:8" x14ac:dyDescent="0.25">
      <c r="A284" s="4">
        <v>3524709</v>
      </c>
      <c r="B284" s="4" t="s">
        <v>1222</v>
      </c>
      <c r="C284" s="4" t="s">
        <v>1741</v>
      </c>
      <c r="E284" s="2">
        <v>3524709</v>
      </c>
      <c r="F284" s="2" t="s">
        <v>1222</v>
      </c>
      <c r="G284" s="2" t="s">
        <v>1741</v>
      </c>
      <c r="H284" s="4">
        <v>3524709</v>
      </c>
    </row>
    <row r="285" spans="1:8" x14ac:dyDescent="0.25">
      <c r="A285" s="4">
        <v>3524808</v>
      </c>
      <c r="B285" s="4" t="s">
        <v>1223</v>
      </c>
      <c r="C285" s="4" t="s">
        <v>1713</v>
      </c>
      <c r="E285" s="2">
        <v>3524808</v>
      </c>
      <c r="F285" s="2" t="s">
        <v>1223</v>
      </c>
      <c r="G285" s="2" t="s">
        <v>1713</v>
      </c>
      <c r="H285" s="4">
        <v>3524808</v>
      </c>
    </row>
    <row r="286" spans="1:8" x14ac:dyDescent="0.25">
      <c r="A286" s="4">
        <v>3524907</v>
      </c>
      <c r="B286" s="4" t="s">
        <v>1224</v>
      </c>
      <c r="C286" s="4" t="s">
        <v>1781</v>
      </c>
      <c r="E286" s="2">
        <v>3524907</v>
      </c>
      <c r="F286" s="2" t="s">
        <v>1224</v>
      </c>
      <c r="G286" s="2" t="s">
        <v>1781</v>
      </c>
      <c r="H286" s="4">
        <v>3524907</v>
      </c>
    </row>
    <row r="287" spans="1:8" x14ac:dyDescent="0.25">
      <c r="A287" s="4">
        <v>3525003</v>
      </c>
      <c r="B287" s="4" t="s">
        <v>1225</v>
      </c>
      <c r="C287" s="4" t="s">
        <v>1737</v>
      </c>
      <c r="E287" s="2">
        <v>3525003</v>
      </c>
      <c r="F287" s="2" t="s">
        <v>1225</v>
      </c>
      <c r="G287" s="2" t="s">
        <v>1737</v>
      </c>
      <c r="H287" s="4">
        <v>3525003</v>
      </c>
    </row>
    <row r="288" spans="1:8" x14ac:dyDescent="0.25">
      <c r="A288" s="4">
        <v>3525102</v>
      </c>
      <c r="B288" s="4" t="s">
        <v>1226</v>
      </c>
      <c r="C288" s="4" t="s">
        <v>1757</v>
      </c>
      <c r="E288" s="2">
        <v>3525102</v>
      </c>
      <c r="F288" s="2" t="s">
        <v>1226</v>
      </c>
      <c r="G288" s="2" t="s">
        <v>1757</v>
      </c>
      <c r="H288" s="4">
        <v>3525102</v>
      </c>
    </row>
    <row r="289" spans="1:8" x14ac:dyDescent="0.25">
      <c r="A289" s="4">
        <v>3525201</v>
      </c>
      <c r="B289" s="4" t="s">
        <v>1227</v>
      </c>
      <c r="C289" s="4" t="s">
        <v>1717</v>
      </c>
      <c r="E289" s="2">
        <v>3525201</v>
      </c>
      <c r="F289" s="2" t="s">
        <v>1227</v>
      </c>
      <c r="G289" s="2" t="s">
        <v>1717</v>
      </c>
      <c r="H289" s="4">
        <v>3525201</v>
      </c>
    </row>
    <row r="290" spans="1:8" x14ac:dyDescent="0.25">
      <c r="A290" s="4">
        <v>3525300</v>
      </c>
      <c r="B290" s="4" t="s">
        <v>1228</v>
      </c>
      <c r="C290" s="4" t="s">
        <v>1665</v>
      </c>
      <c r="E290" s="2">
        <v>3525300</v>
      </c>
      <c r="F290" s="2" t="s">
        <v>1228</v>
      </c>
      <c r="G290" s="2" t="s">
        <v>1665</v>
      </c>
      <c r="H290" s="4">
        <v>3525300</v>
      </c>
    </row>
    <row r="291" spans="1:8" x14ac:dyDescent="0.25">
      <c r="A291" s="4">
        <v>3525409</v>
      </c>
      <c r="B291" s="4" t="s">
        <v>1229</v>
      </c>
      <c r="C291" s="4" t="s">
        <v>1694</v>
      </c>
      <c r="E291" s="2">
        <v>3525409</v>
      </c>
      <c r="F291" s="2" t="s">
        <v>1229</v>
      </c>
      <c r="G291" s="2" t="s">
        <v>1694</v>
      </c>
      <c r="H291" s="4">
        <v>3525409</v>
      </c>
    </row>
    <row r="292" spans="1:8" x14ac:dyDescent="0.25">
      <c r="A292" s="4">
        <v>3525508</v>
      </c>
      <c r="B292" s="4" t="s">
        <v>1230</v>
      </c>
      <c r="C292" s="4" t="s">
        <v>1652</v>
      </c>
      <c r="E292" s="2">
        <v>3525508</v>
      </c>
      <c r="F292" s="2" t="s">
        <v>1230</v>
      </c>
      <c r="G292" s="2" t="s">
        <v>1652</v>
      </c>
      <c r="H292" s="4">
        <v>3525508</v>
      </c>
    </row>
    <row r="293" spans="1:8" x14ac:dyDescent="0.25">
      <c r="A293" s="4">
        <v>3525607</v>
      </c>
      <c r="B293" s="4" t="s">
        <v>1231</v>
      </c>
      <c r="C293" s="4" t="s">
        <v>1648</v>
      </c>
      <c r="E293" s="2">
        <v>3525607</v>
      </c>
      <c r="F293" s="2" t="s">
        <v>1231</v>
      </c>
      <c r="G293" s="2" t="s">
        <v>1648</v>
      </c>
      <c r="H293" s="4">
        <v>3525607</v>
      </c>
    </row>
    <row r="294" spans="1:8" x14ac:dyDescent="0.25">
      <c r="A294" s="4">
        <v>3525706</v>
      </c>
      <c r="B294" s="4" t="s">
        <v>1232</v>
      </c>
      <c r="C294" s="4" t="s">
        <v>1777</v>
      </c>
      <c r="E294" s="2">
        <v>3525706</v>
      </c>
      <c r="F294" s="2" t="s">
        <v>1232</v>
      </c>
      <c r="G294" s="2" t="s">
        <v>1777</v>
      </c>
      <c r="H294" s="4">
        <v>3525706</v>
      </c>
    </row>
    <row r="295" spans="1:8" x14ac:dyDescent="0.25">
      <c r="A295" s="4">
        <v>3525805</v>
      </c>
      <c r="B295" s="4" t="s">
        <v>1233</v>
      </c>
      <c r="C295" s="4" t="s">
        <v>1726</v>
      </c>
      <c r="E295" s="2">
        <v>3525805</v>
      </c>
      <c r="F295" s="2" t="s">
        <v>1233</v>
      </c>
      <c r="G295" s="2" t="s">
        <v>1726</v>
      </c>
      <c r="H295" s="4">
        <v>3525805</v>
      </c>
    </row>
    <row r="296" spans="1:8" x14ac:dyDescent="0.25">
      <c r="A296" s="4">
        <v>3525854</v>
      </c>
      <c r="B296" s="4" t="s">
        <v>1234</v>
      </c>
      <c r="C296" s="4" t="s">
        <v>1706</v>
      </c>
      <c r="E296" s="2">
        <v>3525854</v>
      </c>
      <c r="F296" s="2" t="s">
        <v>1234</v>
      </c>
      <c r="G296" s="2" t="s">
        <v>1706</v>
      </c>
      <c r="H296" s="4">
        <v>3525854</v>
      </c>
    </row>
    <row r="297" spans="1:8" x14ac:dyDescent="0.25">
      <c r="A297" s="4">
        <v>3525904</v>
      </c>
      <c r="B297" s="4" t="s">
        <v>1235</v>
      </c>
      <c r="C297" s="4" t="s">
        <v>1717</v>
      </c>
      <c r="E297" s="2">
        <v>3525904</v>
      </c>
      <c r="F297" s="2" t="s">
        <v>1235</v>
      </c>
      <c r="G297" s="2" t="s">
        <v>1717</v>
      </c>
      <c r="H297" s="4">
        <v>3525904</v>
      </c>
    </row>
    <row r="298" spans="1:8" x14ac:dyDescent="0.25">
      <c r="A298" s="4">
        <v>3526001</v>
      </c>
      <c r="B298" s="4" t="s">
        <v>1236</v>
      </c>
      <c r="C298" s="4" t="s">
        <v>1687</v>
      </c>
      <c r="E298" s="2">
        <v>3526001</v>
      </c>
      <c r="F298" s="2" t="s">
        <v>1236</v>
      </c>
      <c r="G298" s="2" t="s">
        <v>1687</v>
      </c>
      <c r="H298" s="4">
        <v>3526001</v>
      </c>
    </row>
    <row r="299" spans="1:8" x14ac:dyDescent="0.25">
      <c r="A299" s="4">
        <v>3526100</v>
      </c>
      <c r="B299" s="4" t="s">
        <v>1237</v>
      </c>
      <c r="C299" s="4" t="s">
        <v>1752</v>
      </c>
      <c r="E299" s="2">
        <v>3526100</v>
      </c>
      <c r="F299" s="2" t="s">
        <v>1237</v>
      </c>
      <c r="G299" s="2" t="s">
        <v>1752</v>
      </c>
      <c r="H299" s="4">
        <v>3526100</v>
      </c>
    </row>
    <row r="300" spans="1:8" x14ac:dyDescent="0.25">
      <c r="A300" s="4">
        <v>3526209</v>
      </c>
      <c r="B300" s="4" t="s">
        <v>1238</v>
      </c>
      <c r="C300" s="4" t="s">
        <v>1690</v>
      </c>
      <c r="E300" s="2">
        <v>3526209</v>
      </c>
      <c r="F300" s="2" t="s">
        <v>1238</v>
      </c>
      <c r="G300" s="2" t="s">
        <v>1690</v>
      </c>
      <c r="H300" s="4">
        <v>3526209</v>
      </c>
    </row>
    <row r="301" spans="1:8" x14ac:dyDescent="0.25">
      <c r="A301" s="4">
        <v>3526308</v>
      </c>
      <c r="B301" s="4" t="s">
        <v>1239</v>
      </c>
      <c r="C301" s="4" t="s">
        <v>1794</v>
      </c>
      <c r="E301" s="2">
        <v>3526308</v>
      </c>
      <c r="F301" s="2" t="s">
        <v>1239</v>
      </c>
      <c r="G301" s="2" t="s">
        <v>1794</v>
      </c>
      <c r="H301" s="4">
        <v>3526308</v>
      </c>
    </row>
    <row r="302" spans="1:8" x14ac:dyDescent="0.25">
      <c r="A302" s="4">
        <v>3526407</v>
      </c>
      <c r="B302" s="4" t="s">
        <v>1240</v>
      </c>
      <c r="C302" s="4" t="s">
        <v>1670</v>
      </c>
      <c r="E302" s="2">
        <v>3526407</v>
      </c>
      <c r="F302" s="2" t="s">
        <v>1240</v>
      </c>
      <c r="G302" s="2" t="s">
        <v>1670</v>
      </c>
      <c r="H302" s="4">
        <v>3526407</v>
      </c>
    </row>
    <row r="303" spans="1:8" x14ac:dyDescent="0.25">
      <c r="A303" s="4">
        <v>3526506</v>
      </c>
      <c r="B303" s="4" t="s">
        <v>1241</v>
      </c>
      <c r="C303" s="4" t="s">
        <v>1639</v>
      </c>
      <c r="E303" s="2">
        <v>3526506</v>
      </c>
      <c r="F303" s="2" t="s">
        <v>1241</v>
      </c>
      <c r="G303" s="2" t="s">
        <v>1639</v>
      </c>
      <c r="H303" s="4">
        <v>3526506</v>
      </c>
    </row>
    <row r="304" spans="1:8" x14ac:dyDescent="0.25">
      <c r="A304" s="4">
        <v>3526605</v>
      </c>
      <c r="B304" s="4" t="s">
        <v>1242</v>
      </c>
      <c r="C304" s="4" t="s">
        <v>1794</v>
      </c>
      <c r="E304" s="2">
        <v>3526605</v>
      </c>
      <c r="F304" s="2" t="s">
        <v>1242</v>
      </c>
      <c r="G304" s="2" t="s">
        <v>1794</v>
      </c>
      <c r="H304" s="4">
        <v>3526605</v>
      </c>
    </row>
    <row r="305" spans="1:8" x14ac:dyDescent="0.25">
      <c r="A305" s="4">
        <v>3526704</v>
      </c>
      <c r="B305" s="4" t="s">
        <v>1243</v>
      </c>
      <c r="C305" s="4" t="s">
        <v>1733</v>
      </c>
      <c r="E305" s="2">
        <v>3526704</v>
      </c>
      <c r="F305" s="2" t="s">
        <v>1243</v>
      </c>
      <c r="G305" s="2" t="s">
        <v>1733</v>
      </c>
      <c r="H305" s="4">
        <v>3526704</v>
      </c>
    </row>
    <row r="306" spans="1:8" x14ac:dyDescent="0.25">
      <c r="A306" s="4">
        <v>3526803</v>
      </c>
      <c r="B306" s="4" t="s">
        <v>1244</v>
      </c>
      <c r="C306" s="4" t="s">
        <v>1665</v>
      </c>
      <c r="E306" s="2">
        <v>3526803</v>
      </c>
      <c r="F306" s="2" t="s">
        <v>1244</v>
      </c>
      <c r="G306" s="2" t="s">
        <v>1665</v>
      </c>
      <c r="H306" s="4">
        <v>3526803</v>
      </c>
    </row>
    <row r="307" spans="1:8" x14ac:dyDescent="0.25">
      <c r="A307" s="4">
        <v>3526902</v>
      </c>
      <c r="B307" s="4" t="s">
        <v>1245</v>
      </c>
      <c r="C307" s="4" t="s">
        <v>1722</v>
      </c>
      <c r="E307" s="2">
        <v>3526902</v>
      </c>
      <c r="F307" s="2" t="s">
        <v>1245</v>
      </c>
      <c r="G307" s="2" t="s">
        <v>1722</v>
      </c>
      <c r="H307" s="4">
        <v>3526902</v>
      </c>
    </row>
    <row r="308" spans="1:8" x14ac:dyDescent="0.25">
      <c r="A308" s="4">
        <v>3527009</v>
      </c>
      <c r="B308" s="4" t="s">
        <v>1246</v>
      </c>
      <c r="C308" s="4" t="s">
        <v>1733</v>
      </c>
      <c r="E308" s="2">
        <v>3527009</v>
      </c>
      <c r="F308" s="2" t="s">
        <v>1246</v>
      </c>
      <c r="G308" s="2" t="s">
        <v>1733</v>
      </c>
      <c r="H308" s="4">
        <v>3527009</v>
      </c>
    </row>
    <row r="309" spans="1:8" x14ac:dyDescent="0.25">
      <c r="A309" s="4">
        <v>3527108</v>
      </c>
      <c r="B309" s="4" t="s">
        <v>1247</v>
      </c>
      <c r="C309" s="4" t="s">
        <v>1726</v>
      </c>
      <c r="E309" s="2">
        <v>3527108</v>
      </c>
      <c r="F309" s="2" t="s">
        <v>1247</v>
      </c>
      <c r="G309" s="2" t="s">
        <v>1726</v>
      </c>
      <c r="H309" s="4">
        <v>3527108</v>
      </c>
    </row>
    <row r="310" spans="1:8" x14ac:dyDescent="0.25">
      <c r="A310" s="4">
        <v>3527207</v>
      </c>
      <c r="B310" s="4" t="s">
        <v>1248</v>
      </c>
      <c r="C310" s="4" t="s">
        <v>1794</v>
      </c>
      <c r="E310" s="2">
        <v>3527207</v>
      </c>
      <c r="F310" s="2" t="s">
        <v>1248</v>
      </c>
      <c r="G310" s="2" t="s">
        <v>1794</v>
      </c>
      <c r="H310" s="4">
        <v>3527207</v>
      </c>
    </row>
    <row r="311" spans="1:8" x14ac:dyDescent="0.25">
      <c r="A311" s="4">
        <v>3527256</v>
      </c>
      <c r="B311" s="4" t="s">
        <v>1249</v>
      </c>
      <c r="C311" s="4" t="s">
        <v>1639</v>
      </c>
      <c r="E311" s="2">
        <v>3527256</v>
      </c>
      <c r="F311" s="2" t="s">
        <v>1249</v>
      </c>
      <c r="G311" s="2" t="s">
        <v>1639</v>
      </c>
      <c r="H311" s="4">
        <v>3527256</v>
      </c>
    </row>
    <row r="312" spans="1:8" x14ac:dyDescent="0.25">
      <c r="A312" s="4">
        <v>3527306</v>
      </c>
      <c r="B312" s="4" t="s">
        <v>1250</v>
      </c>
      <c r="C312" s="4" t="s">
        <v>1674</v>
      </c>
      <c r="E312" s="2">
        <v>3527306</v>
      </c>
      <c r="F312" s="2" t="s">
        <v>1250</v>
      </c>
      <c r="G312" s="2" t="s">
        <v>1674</v>
      </c>
      <c r="H312" s="4">
        <v>3527306</v>
      </c>
    </row>
    <row r="313" spans="1:8" x14ac:dyDescent="0.25">
      <c r="A313" s="4">
        <v>3527405</v>
      </c>
      <c r="B313" s="4" t="s">
        <v>1251</v>
      </c>
      <c r="C313" s="4" t="s">
        <v>1687</v>
      </c>
      <c r="E313" s="2">
        <v>3527405</v>
      </c>
      <c r="F313" s="2" t="s">
        <v>1251</v>
      </c>
      <c r="G313" s="2" t="s">
        <v>1687</v>
      </c>
      <c r="H313" s="4">
        <v>3527405</v>
      </c>
    </row>
    <row r="314" spans="1:8" x14ac:dyDescent="0.25">
      <c r="A314" s="4">
        <v>3527504</v>
      </c>
      <c r="B314" s="4" t="s">
        <v>1252</v>
      </c>
      <c r="C314" s="4" t="s">
        <v>1665</v>
      </c>
      <c r="E314" s="2">
        <v>3527504</v>
      </c>
      <c r="F314" s="2" t="s">
        <v>1252</v>
      </c>
      <c r="G314" s="2" t="s">
        <v>1665</v>
      </c>
      <c r="H314" s="4">
        <v>3527504</v>
      </c>
    </row>
    <row r="315" spans="1:8" x14ac:dyDescent="0.25">
      <c r="A315" s="4">
        <v>3527603</v>
      </c>
      <c r="B315" s="4" t="s">
        <v>1253</v>
      </c>
      <c r="C315" s="4" t="s">
        <v>1709</v>
      </c>
      <c r="E315" s="2">
        <v>3527603</v>
      </c>
      <c r="F315" s="2" t="s">
        <v>1253</v>
      </c>
      <c r="G315" s="2" t="s">
        <v>1709</v>
      </c>
      <c r="H315" s="4">
        <v>3527603</v>
      </c>
    </row>
    <row r="316" spans="1:8" x14ac:dyDescent="0.25">
      <c r="A316" s="4">
        <v>3527702</v>
      </c>
      <c r="B316" s="4" t="s">
        <v>1254</v>
      </c>
      <c r="C316" s="4" t="s">
        <v>1639</v>
      </c>
      <c r="E316" s="2">
        <v>3527702</v>
      </c>
      <c r="F316" s="2" t="s">
        <v>1254</v>
      </c>
      <c r="G316" s="2" t="s">
        <v>1639</v>
      </c>
      <c r="H316" s="4">
        <v>3527702</v>
      </c>
    </row>
    <row r="317" spans="1:8" x14ac:dyDescent="0.25">
      <c r="A317" s="4">
        <v>3527801</v>
      </c>
      <c r="B317" s="4" t="s">
        <v>1255</v>
      </c>
      <c r="C317" s="4" t="s">
        <v>1726</v>
      </c>
      <c r="E317" s="2">
        <v>3527801</v>
      </c>
      <c r="F317" s="2" t="s">
        <v>1255</v>
      </c>
      <c r="G317" s="2" t="s">
        <v>1726</v>
      </c>
      <c r="H317" s="4">
        <v>3527801</v>
      </c>
    </row>
    <row r="318" spans="1:8" x14ac:dyDescent="0.25">
      <c r="A318" s="4">
        <v>3527900</v>
      </c>
      <c r="B318" s="4" t="s">
        <v>1256</v>
      </c>
      <c r="C318" s="4" t="s">
        <v>1648</v>
      </c>
      <c r="E318" s="2">
        <v>3527900</v>
      </c>
      <c r="F318" s="2" t="s">
        <v>1256</v>
      </c>
      <c r="G318" s="2" t="s">
        <v>1648</v>
      </c>
      <c r="H318" s="4">
        <v>3527900</v>
      </c>
    </row>
    <row r="319" spans="1:8" x14ac:dyDescent="0.25">
      <c r="A319" s="4">
        <v>3528007</v>
      </c>
      <c r="B319" s="4" t="s">
        <v>1257</v>
      </c>
      <c r="C319" s="4" t="s">
        <v>1665</v>
      </c>
      <c r="E319" s="2">
        <v>3528007</v>
      </c>
      <c r="F319" s="2" t="s">
        <v>1257</v>
      </c>
      <c r="G319" s="2" t="s">
        <v>1665</v>
      </c>
      <c r="H319" s="4">
        <v>3528007</v>
      </c>
    </row>
    <row r="320" spans="1:8" x14ac:dyDescent="0.25">
      <c r="A320" s="4">
        <v>3528106</v>
      </c>
      <c r="B320" s="4" t="s">
        <v>1258</v>
      </c>
      <c r="C320" s="4" t="s">
        <v>1798</v>
      </c>
      <c r="E320" s="2">
        <v>3528106</v>
      </c>
      <c r="F320" s="2" t="s">
        <v>1258</v>
      </c>
      <c r="G320" s="2" t="s">
        <v>1798</v>
      </c>
      <c r="H320" s="4">
        <v>3528106</v>
      </c>
    </row>
    <row r="321" spans="1:8" x14ac:dyDescent="0.25">
      <c r="A321" s="4">
        <v>3528205</v>
      </c>
      <c r="B321" s="4" t="s">
        <v>1259</v>
      </c>
      <c r="C321" s="4" t="s">
        <v>1798</v>
      </c>
      <c r="E321" s="2">
        <v>3528205</v>
      </c>
      <c r="F321" s="2" t="s">
        <v>1259</v>
      </c>
      <c r="G321" s="2" t="s">
        <v>1798</v>
      </c>
      <c r="H321" s="4">
        <v>3528205</v>
      </c>
    </row>
    <row r="322" spans="1:8" x14ac:dyDescent="0.25">
      <c r="A322" s="4">
        <v>3528304</v>
      </c>
      <c r="B322" s="4" t="s">
        <v>1260</v>
      </c>
      <c r="C322" s="4" t="s">
        <v>1798</v>
      </c>
      <c r="E322" s="2">
        <v>3528304</v>
      </c>
      <c r="F322" s="2" t="s">
        <v>1260</v>
      </c>
      <c r="G322" s="2" t="s">
        <v>1798</v>
      </c>
      <c r="H322" s="4">
        <v>3528304</v>
      </c>
    </row>
    <row r="323" spans="1:8" x14ac:dyDescent="0.25">
      <c r="A323" s="4">
        <v>3528403</v>
      </c>
      <c r="B323" s="4" t="s">
        <v>1261</v>
      </c>
      <c r="C323" s="4" t="s">
        <v>1706</v>
      </c>
      <c r="E323" s="2">
        <v>3528403</v>
      </c>
      <c r="F323" s="2" t="s">
        <v>1261</v>
      </c>
      <c r="G323" s="2" t="s">
        <v>1706</v>
      </c>
      <c r="H323" s="4">
        <v>3528403</v>
      </c>
    </row>
    <row r="324" spans="1:8" x14ac:dyDescent="0.25">
      <c r="A324" s="4">
        <v>3528502</v>
      </c>
      <c r="B324" s="4" t="s">
        <v>1262</v>
      </c>
      <c r="C324" s="4" t="s">
        <v>1698</v>
      </c>
      <c r="E324" s="2">
        <v>3528502</v>
      </c>
      <c r="F324" s="2" t="s">
        <v>1262</v>
      </c>
      <c r="G324" s="2" t="s">
        <v>1698</v>
      </c>
      <c r="H324" s="4">
        <v>3528502</v>
      </c>
    </row>
    <row r="325" spans="1:8" x14ac:dyDescent="0.25">
      <c r="A325" s="4">
        <v>3528601</v>
      </c>
      <c r="B325" s="4" t="s">
        <v>1263</v>
      </c>
      <c r="C325" s="4" t="s">
        <v>1656</v>
      </c>
      <c r="E325" s="2">
        <v>3528601</v>
      </c>
      <c r="F325" s="2" t="s">
        <v>1263</v>
      </c>
      <c r="G325" s="2" t="s">
        <v>1656</v>
      </c>
      <c r="H325" s="4">
        <v>3528601</v>
      </c>
    </row>
    <row r="326" spans="1:8" x14ac:dyDescent="0.25">
      <c r="A326" s="4">
        <v>3528700</v>
      </c>
      <c r="B326" s="4" t="s">
        <v>1264</v>
      </c>
      <c r="C326" s="4" t="s">
        <v>1748</v>
      </c>
      <c r="E326" s="2">
        <v>3528700</v>
      </c>
      <c r="F326" s="2" t="s">
        <v>1264</v>
      </c>
      <c r="G326" s="2" t="s">
        <v>1748</v>
      </c>
      <c r="H326" s="4">
        <v>3528700</v>
      </c>
    </row>
    <row r="327" spans="1:8" x14ac:dyDescent="0.25">
      <c r="A327" s="4">
        <v>3528809</v>
      </c>
      <c r="B327" s="4" t="s">
        <v>1265</v>
      </c>
      <c r="C327" s="4" t="s">
        <v>1648</v>
      </c>
      <c r="E327" s="2">
        <v>3528809</v>
      </c>
      <c r="F327" s="2" t="s">
        <v>1265</v>
      </c>
      <c r="G327" s="2" t="s">
        <v>1648</v>
      </c>
      <c r="H327" s="4">
        <v>3528809</v>
      </c>
    </row>
    <row r="328" spans="1:8" x14ac:dyDescent="0.25">
      <c r="A328" s="4">
        <v>3528858</v>
      </c>
      <c r="B328" s="4" t="s">
        <v>1266</v>
      </c>
      <c r="C328" s="4" t="s">
        <v>1777</v>
      </c>
      <c r="E328" s="2">
        <v>3528858</v>
      </c>
      <c r="F328" s="2" t="s">
        <v>1266</v>
      </c>
      <c r="G328" s="2" t="s">
        <v>1777</v>
      </c>
      <c r="H328" s="4">
        <v>3528858</v>
      </c>
    </row>
    <row r="329" spans="1:8" x14ac:dyDescent="0.25">
      <c r="A329" s="4">
        <v>3528908</v>
      </c>
      <c r="B329" s="4" t="s">
        <v>1267</v>
      </c>
      <c r="C329" s="4" t="s">
        <v>1687</v>
      </c>
      <c r="E329" s="2">
        <v>3528908</v>
      </c>
      <c r="F329" s="2" t="s">
        <v>1267</v>
      </c>
      <c r="G329" s="2" t="s">
        <v>1687</v>
      </c>
      <c r="H329" s="4">
        <v>3528908</v>
      </c>
    </row>
    <row r="330" spans="1:8" x14ac:dyDescent="0.25">
      <c r="A330" s="4">
        <v>3529005</v>
      </c>
      <c r="B330" s="4" t="s">
        <v>1268</v>
      </c>
      <c r="C330" s="4" t="s">
        <v>1726</v>
      </c>
      <c r="E330" s="2">
        <v>3529005</v>
      </c>
      <c r="F330" s="2" t="s">
        <v>1268</v>
      </c>
      <c r="G330" s="2" t="s">
        <v>1726</v>
      </c>
      <c r="H330" s="4">
        <v>3529005</v>
      </c>
    </row>
    <row r="331" spans="1:8" x14ac:dyDescent="0.25">
      <c r="A331" s="4">
        <v>3529104</v>
      </c>
      <c r="B331" s="4" t="s">
        <v>1269</v>
      </c>
      <c r="C331" s="4" t="s">
        <v>1713</v>
      </c>
      <c r="E331" s="2">
        <v>3529104</v>
      </c>
      <c r="F331" s="2" t="s">
        <v>1269</v>
      </c>
      <c r="G331" s="2" t="s">
        <v>1713</v>
      </c>
      <c r="H331" s="4">
        <v>3529104</v>
      </c>
    </row>
    <row r="332" spans="1:8" x14ac:dyDescent="0.25">
      <c r="A332" s="4">
        <v>3529203</v>
      </c>
      <c r="B332" s="4" t="s">
        <v>1270</v>
      </c>
      <c r="C332" s="4" t="s">
        <v>1748</v>
      </c>
      <c r="E332" s="2">
        <v>3529203</v>
      </c>
      <c r="F332" s="2" t="s">
        <v>1270</v>
      </c>
      <c r="G332" s="2" t="s">
        <v>1748</v>
      </c>
      <c r="H332" s="4">
        <v>3529203</v>
      </c>
    </row>
    <row r="333" spans="1:8" x14ac:dyDescent="0.25">
      <c r="A333" s="4">
        <v>3529302</v>
      </c>
      <c r="B333" s="4" t="s">
        <v>1271</v>
      </c>
      <c r="C333" s="4" t="s">
        <v>1644</v>
      </c>
      <c r="E333" s="2">
        <v>3529302</v>
      </c>
      <c r="F333" s="2" t="s">
        <v>1271</v>
      </c>
      <c r="G333" s="2" t="s">
        <v>1644</v>
      </c>
      <c r="H333" s="4">
        <v>3529302</v>
      </c>
    </row>
    <row r="334" spans="1:8" x14ac:dyDescent="0.25">
      <c r="A334" s="4">
        <v>3529401</v>
      </c>
      <c r="B334" s="4" t="s">
        <v>1272</v>
      </c>
      <c r="C334" s="4" t="s">
        <v>1802</v>
      </c>
      <c r="E334" s="2">
        <v>3529401</v>
      </c>
      <c r="F334" s="2" t="s">
        <v>1272</v>
      </c>
      <c r="G334" s="2" t="s">
        <v>1802</v>
      </c>
      <c r="H334" s="4">
        <v>3529401</v>
      </c>
    </row>
    <row r="335" spans="1:8" x14ac:dyDescent="0.25">
      <c r="A335" s="4">
        <v>3529500</v>
      </c>
      <c r="B335" s="4" t="s">
        <v>1273</v>
      </c>
      <c r="C335" s="4" t="s">
        <v>1777</v>
      </c>
      <c r="E335" s="2">
        <v>3529500</v>
      </c>
      <c r="F335" s="2" t="s">
        <v>1273</v>
      </c>
      <c r="G335" s="2" t="s">
        <v>1777</v>
      </c>
      <c r="H335" s="4">
        <v>3529500</v>
      </c>
    </row>
    <row r="336" spans="1:8" x14ac:dyDescent="0.25">
      <c r="A336" s="4">
        <v>3529609</v>
      </c>
      <c r="B336" s="4" t="s">
        <v>1274</v>
      </c>
      <c r="C336" s="4" t="s">
        <v>1798</v>
      </c>
      <c r="E336" s="2">
        <v>3529609</v>
      </c>
      <c r="F336" s="2" t="s">
        <v>1274</v>
      </c>
      <c r="G336" s="2" t="s">
        <v>1798</v>
      </c>
      <c r="H336" s="4">
        <v>3529609</v>
      </c>
    </row>
    <row r="337" spans="1:8" x14ac:dyDescent="0.25">
      <c r="A337" s="4">
        <v>3529658</v>
      </c>
      <c r="B337" s="4" t="s">
        <v>1275</v>
      </c>
      <c r="C337" s="4" t="s">
        <v>1713</v>
      </c>
      <c r="E337" s="2">
        <v>3529658</v>
      </c>
      <c r="F337" s="2" t="s">
        <v>1275</v>
      </c>
      <c r="G337" s="2" t="s">
        <v>1713</v>
      </c>
      <c r="H337" s="4">
        <v>3529658</v>
      </c>
    </row>
    <row r="338" spans="1:8" x14ac:dyDescent="0.25">
      <c r="A338" s="4">
        <v>3529708</v>
      </c>
      <c r="B338" s="4" t="s">
        <v>1276</v>
      </c>
      <c r="C338" s="4" t="s">
        <v>1660</v>
      </c>
      <c r="E338" s="2">
        <v>3529708</v>
      </c>
      <c r="F338" s="2" t="s">
        <v>1276</v>
      </c>
      <c r="G338" s="2" t="s">
        <v>1660</v>
      </c>
      <c r="H338" s="4">
        <v>3529708</v>
      </c>
    </row>
    <row r="339" spans="1:8" x14ac:dyDescent="0.25">
      <c r="A339" s="4">
        <v>3529807</v>
      </c>
      <c r="B339" s="4" t="s">
        <v>1277</v>
      </c>
      <c r="C339" s="4" t="s">
        <v>1665</v>
      </c>
      <c r="E339" s="2">
        <v>3529807</v>
      </c>
      <c r="F339" s="2" t="s">
        <v>1277</v>
      </c>
      <c r="G339" s="2" t="s">
        <v>1665</v>
      </c>
      <c r="H339" s="4">
        <v>3529807</v>
      </c>
    </row>
    <row r="340" spans="1:8" x14ac:dyDescent="0.25">
      <c r="A340" s="4">
        <v>3529906</v>
      </c>
      <c r="B340" s="4" t="s">
        <v>1279</v>
      </c>
      <c r="C340" s="4" t="s">
        <v>1752</v>
      </c>
      <c r="E340" s="2">
        <v>3530003</v>
      </c>
      <c r="F340" s="2" t="s">
        <v>1278</v>
      </c>
      <c r="G340" s="2" t="s">
        <v>1798</v>
      </c>
      <c r="H340" s="4">
        <v>3530003</v>
      </c>
    </row>
    <row r="341" spans="1:8" x14ac:dyDescent="0.25">
      <c r="A341" s="4">
        <v>3530003</v>
      </c>
      <c r="B341" s="4" t="s">
        <v>1278</v>
      </c>
      <c r="C341" s="4" t="s">
        <v>1798</v>
      </c>
      <c r="E341" s="2">
        <v>3529906</v>
      </c>
      <c r="F341" s="2" t="s">
        <v>1279</v>
      </c>
      <c r="G341" s="2" t="s">
        <v>1752</v>
      </c>
      <c r="H341" s="4">
        <v>3529906</v>
      </c>
    </row>
    <row r="342" spans="1:8" x14ac:dyDescent="0.25">
      <c r="A342" s="4">
        <v>3530102</v>
      </c>
      <c r="B342" s="4" t="s">
        <v>1280</v>
      </c>
      <c r="C342" s="4" t="s">
        <v>1639</v>
      </c>
      <c r="E342" s="2">
        <v>3530102</v>
      </c>
      <c r="F342" s="2" t="s">
        <v>1280</v>
      </c>
      <c r="G342" s="2" t="s">
        <v>1639</v>
      </c>
      <c r="H342" s="4">
        <v>3530102</v>
      </c>
    </row>
    <row r="343" spans="1:8" x14ac:dyDescent="0.25">
      <c r="A343" s="4">
        <v>3530201</v>
      </c>
      <c r="B343" s="4" t="s">
        <v>1281</v>
      </c>
      <c r="C343" s="4" t="s">
        <v>1748</v>
      </c>
      <c r="E343" s="2">
        <v>3530201</v>
      </c>
      <c r="F343" s="2" t="s">
        <v>1281</v>
      </c>
      <c r="G343" s="2" t="s">
        <v>1748</v>
      </c>
      <c r="H343" s="4">
        <v>3530201</v>
      </c>
    </row>
    <row r="344" spans="1:8" x14ac:dyDescent="0.25">
      <c r="A344" s="4">
        <v>3530300</v>
      </c>
      <c r="B344" s="4" t="s">
        <v>1282</v>
      </c>
      <c r="C344" s="4" t="s">
        <v>1777</v>
      </c>
      <c r="E344" s="2">
        <v>3530300</v>
      </c>
      <c r="F344" s="2" t="s">
        <v>1282</v>
      </c>
      <c r="G344" s="2" t="s">
        <v>1777</v>
      </c>
      <c r="H344" s="4">
        <v>3530300</v>
      </c>
    </row>
    <row r="345" spans="1:8" x14ac:dyDescent="0.25">
      <c r="A345" s="4">
        <v>3530409</v>
      </c>
      <c r="B345" s="4" t="s">
        <v>1283</v>
      </c>
      <c r="C345" s="4" t="s">
        <v>1777</v>
      </c>
      <c r="E345" s="2">
        <v>3530409</v>
      </c>
      <c r="F345" s="2" t="s">
        <v>1283</v>
      </c>
      <c r="G345" s="2" t="s">
        <v>1777</v>
      </c>
      <c r="H345" s="4">
        <v>3530409</v>
      </c>
    </row>
    <row r="346" spans="1:8" x14ac:dyDescent="0.25">
      <c r="A346" s="4">
        <v>3530508</v>
      </c>
      <c r="B346" s="4" t="s">
        <v>1284</v>
      </c>
      <c r="C346" s="4" t="s">
        <v>1773</v>
      </c>
      <c r="E346" s="2">
        <v>3530508</v>
      </c>
      <c r="F346" s="2" t="s">
        <v>1284</v>
      </c>
      <c r="G346" s="2" t="s">
        <v>1773</v>
      </c>
      <c r="H346" s="4">
        <v>3530508</v>
      </c>
    </row>
    <row r="347" spans="1:8" x14ac:dyDescent="0.25">
      <c r="A347" s="4">
        <v>3530607</v>
      </c>
      <c r="B347" s="4" t="s">
        <v>1286</v>
      </c>
      <c r="C347" s="4" t="s">
        <v>1730</v>
      </c>
      <c r="E347" s="2">
        <v>3530706</v>
      </c>
      <c r="F347" s="2" t="s">
        <v>1285</v>
      </c>
      <c r="G347" s="2" t="s">
        <v>1733</v>
      </c>
      <c r="H347" s="4">
        <v>3530706</v>
      </c>
    </row>
    <row r="348" spans="1:8" x14ac:dyDescent="0.25">
      <c r="A348" s="4">
        <v>3530706</v>
      </c>
      <c r="B348" s="4" t="s">
        <v>1285</v>
      </c>
      <c r="C348" s="4" t="s">
        <v>1733</v>
      </c>
      <c r="E348" s="2">
        <v>3530607</v>
      </c>
      <c r="F348" s="2" t="s">
        <v>1286</v>
      </c>
      <c r="G348" s="2" t="s">
        <v>1730</v>
      </c>
      <c r="H348" s="4">
        <v>3530607</v>
      </c>
    </row>
    <row r="349" spans="1:8" x14ac:dyDescent="0.25">
      <c r="A349" s="4">
        <v>3530805</v>
      </c>
      <c r="B349" s="4" t="s">
        <v>1287</v>
      </c>
      <c r="C349" s="4" t="s">
        <v>1733</v>
      </c>
      <c r="E349" s="2">
        <v>3530805</v>
      </c>
      <c r="F349" s="2" t="s">
        <v>1287</v>
      </c>
      <c r="G349" s="2" t="s">
        <v>1733</v>
      </c>
      <c r="H349" s="4">
        <v>3530805</v>
      </c>
    </row>
    <row r="350" spans="1:8" x14ac:dyDescent="0.25">
      <c r="A350" s="4">
        <v>3530904</v>
      </c>
      <c r="B350" s="4" t="s">
        <v>1288</v>
      </c>
      <c r="C350" s="4" t="s">
        <v>1674</v>
      </c>
      <c r="E350" s="2">
        <v>3530904</v>
      </c>
      <c r="F350" s="2" t="s">
        <v>1288</v>
      </c>
      <c r="G350" s="2" t="s">
        <v>1674</v>
      </c>
      <c r="H350" s="4">
        <v>3530904</v>
      </c>
    </row>
    <row r="351" spans="1:8" x14ac:dyDescent="0.25">
      <c r="A351" s="4">
        <v>3531001</v>
      </c>
      <c r="B351" s="4" t="s">
        <v>1289</v>
      </c>
      <c r="C351" s="4" t="s">
        <v>1798</v>
      </c>
      <c r="E351" s="2">
        <v>3531001</v>
      </c>
      <c r="F351" s="2" t="s">
        <v>1289</v>
      </c>
      <c r="G351" s="2" t="s">
        <v>1798</v>
      </c>
      <c r="H351" s="4">
        <v>3531001</v>
      </c>
    </row>
    <row r="352" spans="1:8" x14ac:dyDescent="0.25">
      <c r="A352" s="4">
        <v>3531100</v>
      </c>
      <c r="B352" s="4" t="s">
        <v>1290</v>
      </c>
      <c r="C352" s="4" t="s">
        <v>1766</v>
      </c>
      <c r="E352" s="2">
        <v>3531100</v>
      </c>
      <c r="F352" s="2" t="s">
        <v>1290</v>
      </c>
      <c r="G352" s="2" t="s">
        <v>1766</v>
      </c>
      <c r="H352" s="4">
        <v>3531100</v>
      </c>
    </row>
    <row r="353" spans="1:8" x14ac:dyDescent="0.25">
      <c r="A353" s="4">
        <v>3531209</v>
      </c>
      <c r="B353" s="4" t="s">
        <v>1291</v>
      </c>
      <c r="C353" s="4" t="s">
        <v>1741</v>
      </c>
      <c r="E353" s="2">
        <v>3531209</v>
      </c>
      <c r="F353" s="2" t="s">
        <v>1291</v>
      </c>
      <c r="G353" s="2" t="s">
        <v>1741</v>
      </c>
      <c r="H353" s="4">
        <v>3531209</v>
      </c>
    </row>
    <row r="354" spans="1:8" x14ac:dyDescent="0.25">
      <c r="A354" s="4">
        <v>3531308</v>
      </c>
      <c r="B354" s="4" t="s">
        <v>1292</v>
      </c>
      <c r="C354" s="4" t="s">
        <v>1709</v>
      </c>
      <c r="E354" s="2">
        <v>3531308</v>
      </c>
      <c r="F354" s="2" t="s">
        <v>1292</v>
      </c>
      <c r="G354" s="2" t="s">
        <v>1709</v>
      </c>
      <c r="H354" s="4">
        <v>3531308</v>
      </c>
    </row>
    <row r="355" spans="1:8" x14ac:dyDescent="0.25">
      <c r="A355" s="4">
        <v>3531407</v>
      </c>
      <c r="B355" s="4" t="s">
        <v>1293</v>
      </c>
      <c r="C355" s="4" t="s">
        <v>1798</v>
      </c>
      <c r="E355" s="2">
        <v>3531407</v>
      </c>
      <c r="F355" s="2" t="s">
        <v>1293</v>
      </c>
      <c r="G355" s="2" t="s">
        <v>1798</v>
      </c>
      <c r="H355" s="4">
        <v>3531407</v>
      </c>
    </row>
    <row r="356" spans="1:8" x14ac:dyDescent="0.25">
      <c r="A356" s="4">
        <v>3531506</v>
      </c>
      <c r="B356" s="4" t="s">
        <v>1294</v>
      </c>
      <c r="C356" s="4" t="s">
        <v>1660</v>
      </c>
      <c r="E356" s="2">
        <v>3531506</v>
      </c>
      <c r="F356" s="2" t="s">
        <v>1294</v>
      </c>
      <c r="G356" s="2" t="s">
        <v>1660</v>
      </c>
      <c r="H356" s="4">
        <v>3531506</v>
      </c>
    </row>
    <row r="357" spans="1:8" x14ac:dyDescent="0.25">
      <c r="A357" s="4">
        <v>3531605</v>
      </c>
      <c r="B357" s="4" t="s">
        <v>1295</v>
      </c>
      <c r="C357" s="4" t="s">
        <v>1687</v>
      </c>
      <c r="E357" s="2">
        <v>3531605</v>
      </c>
      <c r="F357" s="2" t="s">
        <v>1295</v>
      </c>
      <c r="G357" s="2" t="s">
        <v>1687</v>
      </c>
      <c r="H357" s="4">
        <v>3531605</v>
      </c>
    </row>
    <row r="358" spans="1:8" x14ac:dyDescent="0.25">
      <c r="A358" s="4">
        <v>3531704</v>
      </c>
      <c r="B358" s="4" t="s">
        <v>1297</v>
      </c>
      <c r="C358" s="4" t="s">
        <v>1781</v>
      </c>
      <c r="E358" s="2">
        <v>3531803</v>
      </c>
      <c r="F358" s="2" t="s">
        <v>1296</v>
      </c>
      <c r="G358" s="2" t="s">
        <v>1674</v>
      </c>
      <c r="H358" s="4">
        <v>3531803</v>
      </c>
    </row>
    <row r="359" spans="1:8" x14ac:dyDescent="0.25">
      <c r="A359" s="4">
        <v>3531803</v>
      </c>
      <c r="B359" s="4" t="s">
        <v>1296</v>
      </c>
      <c r="C359" s="4" t="s">
        <v>1674</v>
      </c>
      <c r="E359" s="2">
        <v>3531704</v>
      </c>
      <c r="F359" s="2" t="s">
        <v>1297</v>
      </c>
      <c r="G359" s="2" t="s">
        <v>1781</v>
      </c>
      <c r="H359" s="4">
        <v>3531704</v>
      </c>
    </row>
    <row r="360" spans="1:8" x14ac:dyDescent="0.25">
      <c r="A360" s="4">
        <v>3531902</v>
      </c>
      <c r="B360" s="4" t="s">
        <v>1298</v>
      </c>
      <c r="C360" s="4" t="s">
        <v>1757</v>
      </c>
      <c r="E360" s="2">
        <v>3531902</v>
      </c>
      <c r="F360" s="2" t="s">
        <v>1298</v>
      </c>
      <c r="G360" s="2" t="s">
        <v>1757</v>
      </c>
      <c r="H360" s="4">
        <v>3531902</v>
      </c>
    </row>
    <row r="361" spans="1:8" x14ac:dyDescent="0.25">
      <c r="A361" s="4">
        <v>3532009</v>
      </c>
      <c r="B361" s="4" t="s">
        <v>1299</v>
      </c>
      <c r="C361" s="4" t="s">
        <v>1741</v>
      </c>
      <c r="E361" s="2">
        <v>3532009</v>
      </c>
      <c r="F361" s="2" t="s">
        <v>1299</v>
      </c>
      <c r="G361" s="2" t="s">
        <v>1741</v>
      </c>
      <c r="H361" s="4">
        <v>3532009</v>
      </c>
    </row>
    <row r="362" spans="1:8" x14ac:dyDescent="0.25">
      <c r="A362" s="4">
        <v>3532058</v>
      </c>
      <c r="B362" s="4" t="s">
        <v>1300</v>
      </c>
      <c r="C362" s="4" t="s">
        <v>1644</v>
      </c>
      <c r="E362" s="2">
        <v>3532058</v>
      </c>
      <c r="F362" s="2" t="s">
        <v>1300</v>
      </c>
      <c r="G362" s="2" t="s">
        <v>1644</v>
      </c>
      <c r="H362" s="4">
        <v>3532058</v>
      </c>
    </row>
    <row r="363" spans="1:8" x14ac:dyDescent="0.25">
      <c r="A363" s="4">
        <v>3532108</v>
      </c>
      <c r="B363" s="4" t="s">
        <v>1301</v>
      </c>
      <c r="C363" s="4" t="s">
        <v>1687</v>
      </c>
      <c r="E363" s="2">
        <v>3532108</v>
      </c>
      <c r="F363" s="2" t="s">
        <v>1301</v>
      </c>
      <c r="G363" s="2" t="s">
        <v>1687</v>
      </c>
      <c r="H363" s="4">
        <v>3532108</v>
      </c>
    </row>
    <row r="364" spans="1:8" x14ac:dyDescent="0.25">
      <c r="A364" s="4">
        <v>3532157</v>
      </c>
      <c r="B364" s="4" t="s">
        <v>1302</v>
      </c>
      <c r="C364" s="4" t="s">
        <v>1748</v>
      </c>
      <c r="E364" s="2">
        <v>3532157</v>
      </c>
      <c r="F364" s="2" t="s">
        <v>1302</v>
      </c>
      <c r="G364" s="2" t="s">
        <v>1748</v>
      </c>
      <c r="H364" s="4">
        <v>3532157</v>
      </c>
    </row>
    <row r="365" spans="1:8" x14ac:dyDescent="0.25">
      <c r="A365" s="4">
        <v>3532207</v>
      </c>
      <c r="B365" s="4" t="s">
        <v>1303</v>
      </c>
      <c r="C365" s="4" t="s">
        <v>1748</v>
      </c>
      <c r="E365" s="2">
        <v>3532207</v>
      </c>
      <c r="F365" s="2" t="s">
        <v>1303</v>
      </c>
      <c r="G365" s="2" t="s">
        <v>1748</v>
      </c>
      <c r="H365" s="4">
        <v>3532207</v>
      </c>
    </row>
    <row r="366" spans="1:8" x14ac:dyDescent="0.25">
      <c r="A366" s="4">
        <v>3532306</v>
      </c>
      <c r="B366" s="4" t="s">
        <v>1304</v>
      </c>
      <c r="C366" s="4" t="s">
        <v>1794</v>
      </c>
      <c r="E366" s="2">
        <v>3532306</v>
      </c>
      <c r="F366" s="2" t="s">
        <v>1304</v>
      </c>
      <c r="G366" s="2" t="s">
        <v>1794</v>
      </c>
      <c r="H366" s="4">
        <v>3532306</v>
      </c>
    </row>
    <row r="367" spans="1:8" x14ac:dyDescent="0.25">
      <c r="A367" s="4">
        <v>3532405</v>
      </c>
      <c r="B367" s="4" t="s">
        <v>1305</v>
      </c>
      <c r="C367" s="4" t="s">
        <v>1652</v>
      </c>
      <c r="E367" s="2">
        <v>3532405</v>
      </c>
      <c r="F367" s="2" t="s">
        <v>1305</v>
      </c>
      <c r="G367" s="2" t="s">
        <v>1652</v>
      </c>
      <c r="H367" s="4">
        <v>3532405</v>
      </c>
    </row>
    <row r="368" spans="1:8" x14ac:dyDescent="0.25">
      <c r="A368" s="4">
        <v>3532504</v>
      </c>
      <c r="B368" s="4" t="s">
        <v>1306</v>
      </c>
      <c r="C368" s="4" t="s">
        <v>1777</v>
      </c>
      <c r="E368" s="2">
        <v>3532504</v>
      </c>
      <c r="F368" s="2" t="s">
        <v>1306</v>
      </c>
      <c r="G368" s="2" t="s">
        <v>1777</v>
      </c>
      <c r="H368" s="4">
        <v>3532504</v>
      </c>
    </row>
    <row r="369" spans="1:8" x14ac:dyDescent="0.25">
      <c r="A369" s="4">
        <v>3532603</v>
      </c>
      <c r="B369" s="4" t="s">
        <v>1307</v>
      </c>
      <c r="C369" s="4" t="s">
        <v>1798</v>
      </c>
      <c r="E369" s="2">
        <v>3532603</v>
      </c>
      <c r="F369" s="2" t="s">
        <v>1307</v>
      </c>
      <c r="G369" s="2" t="s">
        <v>1798</v>
      </c>
      <c r="H369" s="4">
        <v>3532603</v>
      </c>
    </row>
    <row r="370" spans="1:8" x14ac:dyDescent="0.25">
      <c r="A370" s="4">
        <v>3532702</v>
      </c>
      <c r="B370" s="4" t="s">
        <v>1308</v>
      </c>
      <c r="C370" s="4" t="s">
        <v>1777</v>
      </c>
      <c r="E370" s="2">
        <v>3532702</v>
      </c>
      <c r="F370" s="2" t="s">
        <v>1308</v>
      </c>
      <c r="G370" s="2" t="s">
        <v>1777</v>
      </c>
      <c r="H370" s="4">
        <v>3532702</v>
      </c>
    </row>
    <row r="371" spans="1:8" x14ac:dyDescent="0.25">
      <c r="A371" s="4">
        <v>3532801</v>
      </c>
      <c r="B371" s="4" t="s">
        <v>1309</v>
      </c>
      <c r="C371" s="4" t="s">
        <v>1777</v>
      </c>
      <c r="E371" s="2">
        <v>3532801</v>
      </c>
      <c r="F371" s="2" t="s">
        <v>1309</v>
      </c>
      <c r="G371" s="2" t="s">
        <v>1777</v>
      </c>
      <c r="H371" s="4">
        <v>3532801</v>
      </c>
    </row>
    <row r="372" spans="1:8" x14ac:dyDescent="0.25">
      <c r="A372" s="4">
        <v>3532827</v>
      </c>
      <c r="B372" s="4" t="s">
        <v>1310</v>
      </c>
      <c r="C372" s="4" t="s">
        <v>1678</v>
      </c>
      <c r="E372" s="2">
        <v>3532827</v>
      </c>
      <c r="F372" s="2" t="s">
        <v>1310</v>
      </c>
      <c r="G372" s="2" t="s">
        <v>1678</v>
      </c>
      <c r="H372" s="4">
        <v>3532827</v>
      </c>
    </row>
    <row r="373" spans="1:8" x14ac:dyDescent="0.25">
      <c r="A373" s="4">
        <v>3532843</v>
      </c>
      <c r="B373" s="4" t="s">
        <v>1311</v>
      </c>
      <c r="C373" s="4" t="s">
        <v>1713</v>
      </c>
      <c r="E373" s="2">
        <v>3532843</v>
      </c>
      <c r="F373" s="2" t="s">
        <v>1311</v>
      </c>
      <c r="G373" s="2" t="s">
        <v>1713</v>
      </c>
      <c r="H373" s="4">
        <v>3532843</v>
      </c>
    </row>
    <row r="374" spans="1:8" x14ac:dyDescent="0.25">
      <c r="A374" s="4">
        <v>3532868</v>
      </c>
      <c r="B374" s="4" t="s">
        <v>1312</v>
      </c>
      <c r="C374" s="4" t="s">
        <v>1798</v>
      </c>
      <c r="E374" s="2">
        <v>3532868</v>
      </c>
      <c r="F374" s="2" t="s">
        <v>1312</v>
      </c>
      <c r="G374" s="2" t="s">
        <v>1798</v>
      </c>
      <c r="H374" s="4">
        <v>3532868</v>
      </c>
    </row>
    <row r="375" spans="1:8" x14ac:dyDescent="0.25">
      <c r="A375" s="4">
        <v>3532900</v>
      </c>
      <c r="B375" s="4" t="s">
        <v>1313</v>
      </c>
      <c r="C375" s="4" t="s">
        <v>1644</v>
      </c>
      <c r="E375" s="2">
        <v>3532900</v>
      </c>
      <c r="F375" s="2" t="s">
        <v>1313</v>
      </c>
      <c r="G375" s="2" t="s">
        <v>1644</v>
      </c>
      <c r="H375" s="4">
        <v>3532900</v>
      </c>
    </row>
    <row r="376" spans="1:8" x14ac:dyDescent="0.25">
      <c r="A376" s="4">
        <v>3533007</v>
      </c>
      <c r="B376" s="4" t="s">
        <v>1314</v>
      </c>
      <c r="C376" s="4" t="s">
        <v>1777</v>
      </c>
      <c r="E376" s="2">
        <v>3533007</v>
      </c>
      <c r="F376" s="2" t="s">
        <v>1314</v>
      </c>
      <c r="G376" s="2" t="s">
        <v>1777</v>
      </c>
      <c r="H376" s="4">
        <v>3533007</v>
      </c>
    </row>
    <row r="377" spans="1:8" x14ac:dyDescent="0.25">
      <c r="A377" s="4">
        <v>3533106</v>
      </c>
      <c r="B377" s="4" t="s">
        <v>1315</v>
      </c>
      <c r="C377" s="4" t="s">
        <v>1687</v>
      </c>
      <c r="E377" s="2">
        <v>3533106</v>
      </c>
      <c r="F377" s="2" t="s">
        <v>1315</v>
      </c>
      <c r="G377" s="2" t="s">
        <v>1687</v>
      </c>
      <c r="H377" s="4">
        <v>3533106</v>
      </c>
    </row>
    <row r="378" spans="1:8" x14ac:dyDescent="0.25">
      <c r="A378" s="4">
        <v>3533205</v>
      </c>
      <c r="B378" s="4" t="s">
        <v>1316</v>
      </c>
      <c r="C378" s="4" t="s">
        <v>1687</v>
      </c>
      <c r="E378" s="2">
        <v>3533205</v>
      </c>
      <c r="F378" s="2" t="s">
        <v>1316</v>
      </c>
      <c r="G378" s="2" t="s">
        <v>1687</v>
      </c>
      <c r="H378" s="4">
        <v>3533205</v>
      </c>
    </row>
    <row r="379" spans="1:8" x14ac:dyDescent="0.25">
      <c r="A379" s="4">
        <v>3533254</v>
      </c>
      <c r="B379" s="4" t="s">
        <v>1319</v>
      </c>
      <c r="C379" s="4" t="s">
        <v>1777</v>
      </c>
      <c r="E379" s="2">
        <v>3533304</v>
      </c>
      <c r="F379" s="2" t="s">
        <v>1317</v>
      </c>
      <c r="G379" s="2" t="s">
        <v>1639</v>
      </c>
      <c r="H379" s="4">
        <v>3533304</v>
      </c>
    </row>
    <row r="380" spans="1:8" x14ac:dyDescent="0.25">
      <c r="A380" s="4">
        <v>3533304</v>
      </c>
      <c r="B380" s="4" t="s">
        <v>1317</v>
      </c>
      <c r="C380" s="4" t="s">
        <v>1639</v>
      </c>
      <c r="E380" s="2">
        <v>3533403</v>
      </c>
      <c r="F380" s="2" t="s">
        <v>1318</v>
      </c>
      <c r="G380" s="2" t="s">
        <v>1635</v>
      </c>
      <c r="H380" s="4">
        <v>3533403</v>
      </c>
    </row>
    <row r="381" spans="1:8" x14ac:dyDescent="0.25">
      <c r="A381" s="4">
        <v>3533403</v>
      </c>
      <c r="B381" s="4" t="s">
        <v>1318</v>
      </c>
      <c r="C381" s="4" t="s">
        <v>1635</v>
      </c>
      <c r="E381" s="2">
        <v>3533254</v>
      </c>
      <c r="F381" s="2" t="s">
        <v>1319</v>
      </c>
      <c r="G381" s="2" t="s">
        <v>1777</v>
      </c>
      <c r="H381" s="4">
        <v>3533254</v>
      </c>
    </row>
    <row r="382" spans="1:8" x14ac:dyDescent="0.25">
      <c r="A382" s="4">
        <v>3533502</v>
      </c>
      <c r="B382" s="4" t="s">
        <v>1320</v>
      </c>
      <c r="C382" s="4" t="s">
        <v>1777</v>
      </c>
      <c r="E382" s="2">
        <v>3533502</v>
      </c>
      <c r="F382" s="2" t="s">
        <v>1320</v>
      </c>
      <c r="G382" s="2" t="s">
        <v>1777</v>
      </c>
      <c r="H382" s="4">
        <v>3533502</v>
      </c>
    </row>
    <row r="383" spans="1:8" x14ac:dyDescent="0.25">
      <c r="A383" s="4">
        <v>3533601</v>
      </c>
      <c r="B383" s="4" t="s">
        <v>1321</v>
      </c>
      <c r="C383" s="4" t="s">
        <v>1757</v>
      </c>
      <c r="E383" s="2">
        <v>3533601</v>
      </c>
      <c r="F383" s="2" t="s">
        <v>1321</v>
      </c>
      <c r="G383" s="2" t="s">
        <v>1757</v>
      </c>
      <c r="H383" s="4">
        <v>3533601</v>
      </c>
    </row>
    <row r="384" spans="1:8" x14ac:dyDescent="0.25">
      <c r="A384" s="4">
        <v>3533700</v>
      </c>
      <c r="B384" s="4" t="s">
        <v>1322</v>
      </c>
      <c r="C384" s="4" t="s">
        <v>1648</v>
      </c>
      <c r="E384" s="2">
        <v>3533700</v>
      </c>
      <c r="F384" s="2" t="s">
        <v>1322</v>
      </c>
      <c r="G384" s="2" t="s">
        <v>1648</v>
      </c>
      <c r="H384" s="4">
        <v>3533700</v>
      </c>
    </row>
    <row r="385" spans="1:8" x14ac:dyDescent="0.25">
      <c r="A385" s="4">
        <v>3533809</v>
      </c>
      <c r="B385" s="4" t="s">
        <v>1323</v>
      </c>
      <c r="C385" s="4" t="s">
        <v>1648</v>
      </c>
      <c r="E385" s="2">
        <v>3533809</v>
      </c>
      <c r="F385" s="2" t="s">
        <v>1323</v>
      </c>
      <c r="G385" s="2" t="s">
        <v>1648</v>
      </c>
      <c r="H385" s="4">
        <v>3533809</v>
      </c>
    </row>
    <row r="386" spans="1:8" x14ac:dyDescent="0.25">
      <c r="A386" s="4">
        <v>3533908</v>
      </c>
      <c r="B386" s="4" t="s">
        <v>1324</v>
      </c>
      <c r="C386" s="4" t="s">
        <v>1660</v>
      </c>
      <c r="E386" s="2">
        <v>3533908</v>
      </c>
      <c r="F386" s="2" t="s">
        <v>1324</v>
      </c>
      <c r="G386" s="2" t="s">
        <v>1660</v>
      </c>
      <c r="H386" s="4">
        <v>3533908</v>
      </c>
    </row>
    <row r="387" spans="1:8" x14ac:dyDescent="0.25">
      <c r="A387" s="4">
        <v>3534005</v>
      </c>
      <c r="B387" s="4" t="s">
        <v>1325</v>
      </c>
      <c r="C387" s="4" t="s">
        <v>1777</v>
      </c>
      <c r="E387" s="2">
        <v>3534005</v>
      </c>
      <c r="F387" s="2" t="s">
        <v>1325</v>
      </c>
      <c r="G387" s="2" t="s">
        <v>1777</v>
      </c>
      <c r="H387" s="4">
        <v>3534005</v>
      </c>
    </row>
    <row r="388" spans="1:8" x14ac:dyDescent="0.25">
      <c r="A388" s="4">
        <v>3534104</v>
      </c>
      <c r="B388" s="4" t="s">
        <v>1326</v>
      </c>
      <c r="C388" s="4" t="s">
        <v>1726</v>
      </c>
      <c r="E388" s="2">
        <v>3534104</v>
      </c>
      <c r="F388" s="2" t="s">
        <v>1326</v>
      </c>
      <c r="G388" s="2" t="s">
        <v>1726</v>
      </c>
      <c r="H388" s="4">
        <v>3534104</v>
      </c>
    </row>
    <row r="389" spans="1:8" x14ac:dyDescent="0.25">
      <c r="A389" s="4">
        <v>3534203</v>
      </c>
      <c r="B389" s="4" t="s">
        <v>1327</v>
      </c>
      <c r="C389" s="4" t="s">
        <v>1798</v>
      </c>
      <c r="E389" s="2">
        <v>3534203</v>
      </c>
      <c r="F389" s="2" t="s">
        <v>1327</v>
      </c>
      <c r="G389" s="2" t="s">
        <v>1798</v>
      </c>
      <c r="H389" s="4">
        <v>3534203</v>
      </c>
    </row>
    <row r="390" spans="1:8" x14ac:dyDescent="0.25">
      <c r="A390" s="4">
        <v>3534302</v>
      </c>
      <c r="B390" s="4" t="s">
        <v>1328</v>
      </c>
      <c r="C390" s="4" t="s">
        <v>1757</v>
      </c>
      <c r="E390" s="2">
        <v>3534302</v>
      </c>
      <c r="F390" s="2" t="s">
        <v>1328</v>
      </c>
      <c r="G390" s="2" t="s">
        <v>1757</v>
      </c>
      <c r="H390" s="4">
        <v>3534302</v>
      </c>
    </row>
    <row r="391" spans="1:8" x14ac:dyDescent="0.25">
      <c r="A391" s="4">
        <v>3534401</v>
      </c>
      <c r="B391" s="4" t="s">
        <v>1329</v>
      </c>
      <c r="C391" s="4" t="s">
        <v>1737</v>
      </c>
      <c r="E391" s="2">
        <v>3534401</v>
      </c>
      <c r="F391" s="2" t="s">
        <v>1329</v>
      </c>
      <c r="G391" s="2" t="s">
        <v>1737</v>
      </c>
      <c r="H391" s="4">
        <v>3534401</v>
      </c>
    </row>
    <row r="392" spans="1:8" x14ac:dyDescent="0.25">
      <c r="A392" s="4">
        <v>3534500</v>
      </c>
      <c r="B392" s="4" t="s">
        <v>1330</v>
      </c>
      <c r="C392" s="4" t="s">
        <v>1648</v>
      </c>
      <c r="E392" s="2">
        <v>3534500</v>
      </c>
      <c r="F392" s="2" t="s">
        <v>1330</v>
      </c>
      <c r="G392" s="2" t="s">
        <v>1648</v>
      </c>
      <c r="H392" s="4">
        <v>3534500</v>
      </c>
    </row>
    <row r="393" spans="1:8" x14ac:dyDescent="0.25">
      <c r="A393" s="4">
        <v>3534609</v>
      </c>
      <c r="B393" s="4" t="s">
        <v>1331</v>
      </c>
      <c r="C393" s="4" t="s">
        <v>1687</v>
      </c>
      <c r="E393" s="2">
        <v>3534609</v>
      </c>
      <c r="F393" s="2" t="s">
        <v>1331</v>
      </c>
      <c r="G393" s="2" t="s">
        <v>1687</v>
      </c>
      <c r="H393" s="4">
        <v>3534609</v>
      </c>
    </row>
    <row r="394" spans="1:8" x14ac:dyDescent="0.25">
      <c r="A394" s="4">
        <v>3534708</v>
      </c>
      <c r="B394" s="4" t="s">
        <v>1332</v>
      </c>
      <c r="C394" s="4" t="s">
        <v>1648</v>
      </c>
      <c r="E394" s="2">
        <v>3534708</v>
      </c>
      <c r="F394" s="2" t="s">
        <v>1332</v>
      </c>
      <c r="G394" s="2" t="s">
        <v>1648</v>
      </c>
      <c r="H394" s="4">
        <v>3534708</v>
      </c>
    </row>
    <row r="395" spans="1:8" x14ac:dyDescent="0.25">
      <c r="A395" s="4">
        <v>3534757</v>
      </c>
      <c r="B395" s="4" t="s">
        <v>1334</v>
      </c>
      <c r="C395" s="4" t="s">
        <v>1713</v>
      </c>
      <c r="E395" s="2">
        <v>3534807</v>
      </c>
      <c r="F395" s="2" t="s">
        <v>1333</v>
      </c>
      <c r="G395" s="2" t="s">
        <v>1687</v>
      </c>
      <c r="H395" s="4">
        <v>3534807</v>
      </c>
    </row>
    <row r="396" spans="1:8" x14ac:dyDescent="0.25">
      <c r="A396" s="4">
        <v>3534807</v>
      </c>
      <c r="B396" s="4" t="s">
        <v>1333</v>
      </c>
      <c r="C396" s="4" t="s">
        <v>1687</v>
      </c>
      <c r="E396" s="2">
        <v>3534757</v>
      </c>
      <c r="F396" s="2" t="s">
        <v>1334</v>
      </c>
      <c r="G396" s="2" t="s">
        <v>1713</v>
      </c>
      <c r="H396" s="4">
        <v>3534757</v>
      </c>
    </row>
    <row r="397" spans="1:8" x14ac:dyDescent="0.25">
      <c r="A397" s="4">
        <v>3534906</v>
      </c>
      <c r="B397" s="4" t="s">
        <v>1335</v>
      </c>
      <c r="C397" s="4" t="s">
        <v>1687</v>
      </c>
      <c r="E397" s="2">
        <v>3534906</v>
      </c>
      <c r="F397" s="2" t="s">
        <v>1335</v>
      </c>
      <c r="G397" s="2" t="s">
        <v>1687</v>
      </c>
      <c r="H397" s="4">
        <v>3534906</v>
      </c>
    </row>
    <row r="398" spans="1:8" x14ac:dyDescent="0.25">
      <c r="A398" s="4">
        <v>3535002</v>
      </c>
      <c r="B398" s="4" t="s">
        <v>1336</v>
      </c>
      <c r="C398" s="4" t="s">
        <v>1777</v>
      </c>
      <c r="E398" s="2">
        <v>3535002</v>
      </c>
      <c r="F398" s="2" t="s">
        <v>1336</v>
      </c>
      <c r="G398" s="2" t="s">
        <v>1777</v>
      </c>
      <c r="H398" s="4">
        <v>3535002</v>
      </c>
    </row>
    <row r="399" spans="1:8" x14ac:dyDescent="0.25">
      <c r="A399" s="4">
        <v>3535101</v>
      </c>
      <c r="B399" s="4" t="s">
        <v>1337</v>
      </c>
      <c r="C399" s="4" t="s">
        <v>1777</v>
      </c>
      <c r="E399" s="2">
        <v>3535101</v>
      </c>
      <c r="F399" s="2" t="s">
        <v>1337</v>
      </c>
      <c r="G399" s="2" t="s">
        <v>1777</v>
      </c>
      <c r="H399" s="4">
        <v>3535101</v>
      </c>
    </row>
    <row r="400" spans="1:8" x14ac:dyDescent="0.25">
      <c r="A400" s="4">
        <v>3535200</v>
      </c>
      <c r="B400" s="4" t="s">
        <v>1338</v>
      </c>
      <c r="C400" s="4" t="s">
        <v>1713</v>
      </c>
      <c r="E400" s="2">
        <v>3535200</v>
      </c>
      <c r="F400" s="2" t="s">
        <v>1338</v>
      </c>
      <c r="G400" s="2" t="s">
        <v>1713</v>
      </c>
      <c r="H400" s="4">
        <v>3535200</v>
      </c>
    </row>
    <row r="401" spans="1:8" x14ac:dyDescent="0.25">
      <c r="A401" s="4">
        <v>3535309</v>
      </c>
      <c r="B401" s="4" t="s">
        <v>1339</v>
      </c>
      <c r="C401" s="4" t="s">
        <v>1648</v>
      </c>
      <c r="E401" s="2">
        <v>3535309</v>
      </c>
      <c r="F401" s="2" t="s">
        <v>1339</v>
      </c>
      <c r="G401" s="2" t="s">
        <v>1648</v>
      </c>
      <c r="H401" s="4">
        <v>3535309</v>
      </c>
    </row>
    <row r="402" spans="1:8" x14ac:dyDescent="0.25">
      <c r="A402" s="4">
        <v>3535408</v>
      </c>
      <c r="B402" s="4" t="s">
        <v>1340</v>
      </c>
      <c r="C402" s="4" t="s">
        <v>1687</v>
      </c>
      <c r="E402" s="2">
        <v>3535408</v>
      </c>
      <c r="F402" s="2" t="s">
        <v>1340</v>
      </c>
      <c r="G402" s="2" t="s">
        <v>1687</v>
      </c>
      <c r="H402" s="4">
        <v>3535408</v>
      </c>
    </row>
    <row r="403" spans="1:8" x14ac:dyDescent="0.25">
      <c r="A403" s="4">
        <v>3535507</v>
      </c>
      <c r="B403" s="4" t="s">
        <v>1341</v>
      </c>
      <c r="C403" s="4" t="s">
        <v>1648</v>
      </c>
      <c r="E403" s="2">
        <v>3535507</v>
      </c>
      <c r="F403" s="2" t="s">
        <v>1341</v>
      </c>
      <c r="G403" s="2" t="s">
        <v>1648</v>
      </c>
      <c r="H403" s="4">
        <v>3535507</v>
      </c>
    </row>
    <row r="404" spans="1:8" x14ac:dyDescent="0.25">
      <c r="A404" s="4">
        <v>3535606</v>
      </c>
      <c r="B404" s="4" t="s">
        <v>1342</v>
      </c>
      <c r="C404" s="4" t="s">
        <v>1781</v>
      </c>
      <c r="E404" s="2">
        <v>3535606</v>
      </c>
      <c r="F404" s="2" t="s">
        <v>1342</v>
      </c>
      <c r="G404" s="2" t="s">
        <v>1781</v>
      </c>
      <c r="H404" s="4">
        <v>3535606</v>
      </c>
    </row>
    <row r="405" spans="1:8" x14ac:dyDescent="0.25">
      <c r="A405" s="4">
        <v>3535705</v>
      </c>
      <c r="B405" s="4" t="s">
        <v>1343</v>
      </c>
      <c r="C405" s="4" t="s">
        <v>1777</v>
      </c>
      <c r="E405" s="2">
        <v>3535705</v>
      </c>
      <c r="F405" s="2" t="s">
        <v>1343</v>
      </c>
      <c r="G405" s="2" t="s">
        <v>1777</v>
      </c>
      <c r="H405" s="4">
        <v>3535705</v>
      </c>
    </row>
    <row r="406" spans="1:8" x14ac:dyDescent="0.25">
      <c r="A406" s="4">
        <v>3535804</v>
      </c>
      <c r="B406" s="4" t="s">
        <v>1344</v>
      </c>
      <c r="C406" s="4" t="s">
        <v>1656</v>
      </c>
      <c r="E406" s="2">
        <v>3535804</v>
      </c>
      <c r="F406" s="2" t="s">
        <v>1344</v>
      </c>
      <c r="G406" s="2" t="s">
        <v>1656</v>
      </c>
      <c r="H406" s="4">
        <v>3535804</v>
      </c>
    </row>
    <row r="407" spans="1:8" x14ac:dyDescent="0.25">
      <c r="A407" s="4">
        <v>3535903</v>
      </c>
      <c r="B407" s="4" t="s">
        <v>1345</v>
      </c>
      <c r="C407" s="4" t="s">
        <v>1713</v>
      </c>
      <c r="E407" s="2">
        <v>3535903</v>
      </c>
      <c r="F407" s="2" t="s">
        <v>1345</v>
      </c>
      <c r="G407" s="2" t="s">
        <v>1713</v>
      </c>
      <c r="H407" s="4">
        <v>3535903</v>
      </c>
    </row>
    <row r="408" spans="1:8" x14ac:dyDescent="0.25">
      <c r="A408" s="4">
        <v>3536000</v>
      </c>
      <c r="B408" s="4" t="s">
        <v>1346</v>
      </c>
      <c r="C408" s="4" t="s">
        <v>1726</v>
      </c>
      <c r="E408" s="2">
        <v>3536000</v>
      </c>
      <c r="F408" s="2" t="s">
        <v>1346</v>
      </c>
      <c r="G408" s="2" t="s">
        <v>1726</v>
      </c>
      <c r="H408" s="4">
        <v>3536000</v>
      </c>
    </row>
    <row r="409" spans="1:8" x14ac:dyDescent="0.25">
      <c r="A409" s="4">
        <v>3536109</v>
      </c>
      <c r="B409" s="4" t="s">
        <v>1347</v>
      </c>
      <c r="C409" s="4" t="s">
        <v>1670</v>
      </c>
      <c r="E409" s="2">
        <v>3536109</v>
      </c>
      <c r="F409" s="2" t="s">
        <v>1347</v>
      </c>
      <c r="G409" s="2" t="s">
        <v>1670</v>
      </c>
      <c r="H409" s="4">
        <v>3536109</v>
      </c>
    </row>
    <row r="410" spans="1:8" x14ac:dyDescent="0.25">
      <c r="A410" s="4">
        <v>3536208</v>
      </c>
      <c r="B410" s="4" t="s">
        <v>1348</v>
      </c>
      <c r="C410" s="4" t="s">
        <v>1752</v>
      </c>
      <c r="E410" s="2">
        <v>3536208</v>
      </c>
      <c r="F410" s="2" t="s">
        <v>1348</v>
      </c>
      <c r="G410" s="2" t="s">
        <v>1752</v>
      </c>
      <c r="H410" s="4">
        <v>3536208</v>
      </c>
    </row>
    <row r="411" spans="1:8" x14ac:dyDescent="0.25">
      <c r="A411" s="4">
        <v>3536257</v>
      </c>
      <c r="B411" s="4" t="s">
        <v>1349</v>
      </c>
      <c r="C411" s="4" t="s">
        <v>1798</v>
      </c>
      <c r="E411" s="2">
        <v>3536257</v>
      </c>
      <c r="F411" s="2" t="s">
        <v>1349</v>
      </c>
      <c r="G411" s="2" t="s">
        <v>1798</v>
      </c>
      <c r="H411" s="4">
        <v>3536257</v>
      </c>
    </row>
    <row r="412" spans="1:8" x14ac:dyDescent="0.25">
      <c r="A412" s="4">
        <v>3536307</v>
      </c>
      <c r="B412" s="4" t="s">
        <v>1350</v>
      </c>
      <c r="C412" s="4" t="s">
        <v>1694</v>
      </c>
      <c r="E412" s="2">
        <v>3536307</v>
      </c>
      <c r="F412" s="2" t="s">
        <v>1350</v>
      </c>
      <c r="G412" s="2" t="s">
        <v>1694</v>
      </c>
      <c r="H412" s="4">
        <v>3536307</v>
      </c>
    </row>
    <row r="413" spans="1:8" x14ac:dyDescent="0.25">
      <c r="A413" s="4">
        <v>3536406</v>
      </c>
      <c r="B413" s="4" t="s">
        <v>1351</v>
      </c>
      <c r="C413" s="4" t="s">
        <v>1687</v>
      </c>
      <c r="E413" s="2">
        <v>3536406</v>
      </c>
      <c r="F413" s="2" t="s">
        <v>1351</v>
      </c>
      <c r="G413" s="2" t="s">
        <v>1687</v>
      </c>
      <c r="H413" s="4">
        <v>3536406</v>
      </c>
    </row>
    <row r="414" spans="1:8" x14ac:dyDescent="0.25">
      <c r="A414" s="4">
        <v>3536505</v>
      </c>
      <c r="B414" s="4" t="s">
        <v>1352</v>
      </c>
      <c r="C414" s="4" t="s">
        <v>1741</v>
      </c>
      <c r="E414" s="2">
        <v>3536505</v>
      </c>
      <c r="F414" s="2" t="s">
        <v>1352</v>
      </c>
      <c r="G414" s="2" t="s">
        <v>1741</v>
      </c>
      <c r="H414" s="4">
        <v>3536505</v>
      </c>
    </row>
    <row r="415" spans="1:8" x14ac:dyDescent="0.25">
      <c r="A415" s="4">
        <v>3536570</v>
      </c>
      <c r="B415" s="4" t="s">
        <v>1353</v>
      </c>
      <c r="C415" s="4" t="s">
        <v>1665</v>
      </c>
      <c r="E415" s="2">
        <v>3536570</v>
      </c>
      <c r="F415" s="2" t="s">
        <v>1353</v>
      </c>
      <c r="G415" s="2" t="s">
        <v>1665</v>
      </c>
      <c r="H415" s="4">
        <v>3536570</v>
      </c>
    </row>
    <row r="416" spans="1:8" x14ac:dyDescent="0.25">
      <c r="A416" s="4">
        <v>3536604</v>
      </c>
      <c r="B416" s="4" t="s">
        <v>1354</v>
      </c>
      <c r="C416" s="4" t="s">
        <v>1798</v>
      </c>
      <c r="E416" s="2">
        <v>3536604</v>
      </c>
      <c r="F416" s="2" t="s">
        <v>1354</v>
      </c>
      <c r="G416" s="2" t="s">
        <v>1798</v>
      </c>
      <c r="H416" s="4">
        <v>3536604</v>
      </c>
    </row>
    <row r="417" spans="1:8" x14ac:dyDescent="0.25">
      <c r="A417" s="4">
        <v>3536703</v>
      </c>
      <c r="B417" s="4" t="s">
        <v>1355</v>
      </c>
      <c r="C417" s="4" t="s">
        <v>1665</v>
      </c>
      <c r="E417" s="2">
        <v>3536703</v>
      </c>
      <c r="F417" s="2" t="s">
        <v>1355</v>
      </c>
      <c r="G417" s="2" t="s">
        <v>1665</v>
      </c>
      <c r="H417" s="4">
        <v>3536703</v>
      </c>
    </row>
    <row r="418" spans="1:8" x14ac:dyDescent="0.25">
      <c r="A418" s="4">
        <v>3536802</v>
      </c>
      <c r="B418" s="4" t="s">
        <v>1356</v>
      </c>
      <c r="C418" s="4" t="s">
        <v>1652</v>
      </c>
      <c r="E418" s="2">
        <v>3536802</v>
      </c>
      <c r="F418" s="2" t="s">
        <v>1356</v>
      </c>
      <c r="G418" s="2" t="s">
        <v>1652</v>
      </c>
      <c r="H418" s="4">
        <v>3536802</v>
      </c>
    </row>
    <row r="419" spans="1:8" x14ac:dyDescent="0.25">
      <c r="A419" s="4">
        <v>3536901</v>
      </c>
      <c r="B419" s="4" t="s">
        <v>1357</v>
      </c>
      <c r="C419" s="4" t="s">
        <v>1798</v>
      </c>
      <c r="E419" s="2">
        <v>3536901</v>
      </c>
      <c r="F419" s="2" t="s">
        <v>1357</v>
      </c>
      <c r="G419" s="2" t="s">
        <v>1798</v>
      </c>
      <c r="H419" s="4">
        <v>3536901</v>
      </c>
    </row>
    <row r="420" spans="1:8" x14ac:dyDescent="0.25">
      <c r="A420" s="4">
        <v>3537008</v>
      </c>
      <c r="B420" s="4" t="s">
        <v>1358</v>
      </c>
      <c r="C420" s="4" t="s">
        <v>1694</v>
      </c>
      <c r="E420" s="2">
        <v>3537008</v>
      </c>
      <c r="F420" s="2" t="s">
        <v>1358</v>
      </c>
      <c r="G420" s="2" t="s">
        <v>1694</v>
      </c>
      <c r="H420" s="4">
        <v>3537008</v>
      </c>
    </row>
    <row r="421" spans="1:8" x14ac:dyDescent="0.25">
      <c r="A421" s="4">
        <v>3537107</v>
      </c>
      <c r="B421" s="4" t="s">
        <v>1359</v>
      </c>
      <c r="C421" s="4" t="s">
        <v>1741</v>
      </c>
      <c r="E421" s="2">
        <v>3537107</v>
      </c>
      <c r="F421" s="2" t="s">
        <v>1359</v>
      </c>
      <c r="G421" s="2" t="s">
        <v>1741</v>
      </c>
      <c r="H421" s="4">
        <v>3537107</v>
      </c>
    </row>
    <row r="422" spans="1:8" x14ac:dyDescent="0.25">
      <c r="A422" s="4">
        <v>3537156</v>
      </c>
      <c r="B422" s="4" t="s">
        <v>1360</v>
      </c>
      <c r="C422" s="4" t="s">
        <v>1648</v>
      </c>
      <c r="E422" s="2">
        <v>3537156</v>
      </c>
      <c r="F422" s="2" t="s">
        <v>1360</v>
      </c>
      <c r="G422" s="2" t="s">
        <v>1648</v>
      </c>
      <c r="H422" s="4">
        <v>3537156</v>
      </c>
    </row>
    <row r="423" spans="1:8" x14ac:dyDescent="0.25">
      <c r="A423" s="4">
        <v>3537206</v>
      </c>
      <c r="B423" s="4" t="s">
        <v>1361</v>
      </c>
      <c r="C423" s="4" t="s">
        <v>1752</v>
      </c>
      <c r="E423" s="2">
        <v>3537206</v>
      </c>
      <c r="F423" s="2" t="s">
        <v>1361</v>
      </c>
      <c r="G423" s="2" t="s">
        <v>1752</v>
      </c>
      <c r="H423" s="4">
        <v>3537206</v>
      </c>
    </row>
    <row r="424" spans="1:8" x14ac:dyDescent="0.25">
      <c r="A424" s="4">
        <v>3537305</v>
      </c>
      <c r="B424" s="4" t="s">
        <v>1362</v>
      </c>
      <c r="C424" s="4" t="s">
        <v>1639</v>
      </c>
      <c r="E424" s="2">
        <v>3537305</v>
      </c>
      <c r="F424" s="2" t="s">
        <v>1362</v>
      </c>
      <c r="G424" s="2" t="s">
        <v>1639</v>
      </c>
      <c r="H424" s="4">
        <v>3537305</v>
      </c>
    </row>
    <row r="425" spans="1:8" x14ac:dyDescent="0.25">
      <c r="A425" s="4">
        <v>3537404</v>
      </c>
      <c r="B425" s="4" t="s">
        <v>1363</v>
      </c>
      <c r="C425" s="4" t="s">
        <v>1713</v>
      </c>
      <c r="E425" s="2">
        <v>3537404</v>
      </c>
      <c r="F425" s="2" t="s">
        <v>1363</v>
      </c>
      <c r="G425" s="2" t="s">
        <v>1713</v>
      </c>
      <c r="H425" s="4">
        <v>3537404</v>
      </c>
    </row>
    <row r="426" spans="1:8" x14ac:dyDescent="0.25">
      <c r="A426" s="4">
        <v>3537503</v>
      </c>
      <c r="B426" s="4" t="s">
        <v>1364</v>
      </c>
      <c r="C426" s="4" t="s">
        <v>1670</v>
      </c>
      <c r="E426" s="2">
        <v>3537503</v>
      </c>
      <c r="F426" s="2" t="s">
        <v>1364</v>
      </c>
      <c r="G426" s="2" t="s">
        <v>1670</v>
      </c>
      <c r="H426" s="4">
        <v>3537503</v>
      </c>
    </row>
    <row r="427" spans="1:8" x14ac:dyDescent="0.25">
      <c r="A427" s="4">
        <v>3537602</v>
      </c>
      <c r="B427" s="4" t="s">
        <v>1365</v>
      </c>
      <c r="C427" s="4" t="s">
        <v>1766</v>
      </c>
      <c r="E427" s="2">
        <v>3537602</v>
      </c>
      <c r="F427" s="2" t="s">
        <v>1365</v>
      </c>
      <c r="G427" s="2" t="s">
        <v>1766</v>
      </c>
      <c r="H427" s="4">
        <v>3537602</v>
      </c>
    </row>
    <row r="428" spans="1:8" x14ac:dyDescent="0.25">
      <c r="A428" s="4">
        <v>3537701</v>
      </c>
      <c r="B428" s="4" t="s">
        <v>1366</v>
      </c>
      <c r="C428" s="4" t="s">
        <v>1639</v>
      </c>
      <c r="E428" s="2">
        <v>3537701</v>
      </c>
      <c r="F428" s="2" t="s">
        <v>1366</v>
      </c>
      <c r="G428" s="2" t="s">
        <v>1639</v>
      </c>
      <c r="H428" s="4">
        <v>3537701</v>
      </c>
    </row>
    <row r="429" spans="1:8" x14ac:dyDescent="0.25">
      <c r="A429" s="4">
        <v>3537800</v>
      </c>
      <c r="B429" s="4" t="s">
        <v>1367</v>
      </c>
      <c r="C429" s="4" t="s">
        <v>1789</v>
      </c>
      <c r="E429" s="2">
        <v>3537800</v>
      </c>
      <c r="F429" s="2" t="s">
        <v>1367</v>
      </c>
      <c r="G429" s="2" t="s">
        <v>1789</v>
      </c>
      <c r="H429" s="4">
        <v>3537800</v>
      </c>
    </row>
    <row r="430" spans="1:8" x14ac:dyDescent="0.25">
      <c r="A430" s="4">
        <v>3537909</v>
      </c>
      <c r="B430" s="4" t="s">
        <v>1368</v>
      </c>
      <c r="C430" s="4" t="s">
        <v>1789</v>
      </c>
      <c r="E430" s="2">
        <v>3537909</v>
      </c>
      <c r="F430" s="2" t="s">
        <v>1368</v>
      </c>
      <c r="G430" s="2" t="s">
        <v>1789</v>
      </c>
      <c r="H430" s="4">
        <v>3537909</v>
      </c>
    </row>
    <row r="431" spans="1:8" x14ac:dyDescent="0.25">
      <c r="A431" s="4">
        <v>3538006</v>
      </c>
      <c r="B431" s="4" t="s">
        <v>1369</v>
      </c>
      <c r="C431" s="4" t="s">
        <v>1794</v>
      </c>
      <c r="E431" s="2">
        <v>3538006</v>
      </c>
      <c r="F431" s="2" t="s">
        <v>1369</v>
      </c>
      <c r="G431" s="2" t="s">
        <v>1794</v>
      </c>
      <c r="H431" s="4">
        <v>3538006</v>
      </c>
    </row>
    <row r="432" spans="1:8" x14ac:dyDescent="0.25">
      <c r="A432" s="4">
        <v>3538105</v>
      </c>
      <c r="B432" s="4" t="s">
        <v>1370</v>
      </c>
      <c r="C432" s="4" t="s">
        <v>1777</v>
      </c>
      <c r="E432" s="2">
        <v>3538105</v>
      </c>
      <c r="F432" s="2" t="s">
        <v>1370</v>
      </c>
      <c r="G432" s="2" t="s">
        <v>1777</v>
      </c>
      <c r="H432" s="4">
        <v>3538105</v>
      </c>
    </row>
    <row r="433" spans="1:8" x14ac:dyDescent="0.25">
      <c r="A433" s="4">
        <v>3538204</v>
      </c>
      <c r="B433" s="4" t="s">
        <v>1371</v>
      </c>
      <c r="C433" s="4" t="s">
        <v>1652</v>
      </c>
      <c r="E433" s="2">
        <v>3538204</v>
      </c>
      <c r="F433" s="2" t="s">
        <v>1371</v>
      </c>
      <c r="G433" s="2" t="s">
        <v>1652</v>
      </c>
      <c r="H433" s="4">
        <v>3538204</v>
      </c>
    </row>
    <row r="434" spans="1:8" x14ac:dyDescent="0.25">
      <c r="A434" s="4">
        <v>3538303</v>
      </c>
      <c r="B434" s="4" t="s">
        <v>1372</v>
      </c>
      <c r="C434" s="4" t="s">
        <v>1748</v>
      </c>
      <c r="E434" s="2">
        <v>3538303</v>
      </c>
      <c r="F434" s="2" t="s">
        <v>1372</v>
      </c>
      <c r="G434" s="2" t="s">
        <v>1748</v>
      </c>
      <c r="H434" s="4">
        <v>3538303</v>
      </c>
    </row>
    <row r="435" spans="1:8" x14ac:dyDescent="0.25">
      <c r="A435" s="4">
        <v>3538501</v>
      </c>
      <c r="B435" s="4" t="s">
        <v>1373</v>
      </c>
      <c r="C435" s="4" t="s">
        <v>1794</v>
      </c>
      <c r="E435" s="2">
        <v>3538501</v>
      </c>
      <c r="F435" s="2" t="s">
        <v>1373</v>
      </c>
      <c r="G435" s="2" t="s">
        <v>1794</v>
      </c>
      <c r="H435" s="4">
        <v>3538501</v>
      </c>
    </row>
    <row r="436" spans="1:8" x14ac:dyDescent="0.25">
      <c r="A436" s="4">
        <v>3538600</v>
      </c>
      <c r="B436" s="4" t="s">
        <v>1374</v>
      </c>
      <c r="C436" s="4" t="s">
        <v>1652</v>
      </c>
      <c r="E436" s="2">
        <v>3538600</v>
      </c>
      <c r="F436" s="2" t="s">
        <v>1374</v>
      </c>
      <c r="G436" s="2" t="s">
        <v>1652</v>
      </c>
      <c r="H436" s="4">
        <v>3538600</v>
      </c>
    </row>
    <row r="437" spans="1:8" x14ac:dyDescent="0.25">
      <c r="A437" s="4">
        <v>3538709</v>
      </c>
      <c r="B437" s="4" t="s">
        <v>1375</v>
      </c>
      <c r="C437" s="4" t="s">
        <v>1745</v>
      </c>
      <c r="E437" s="2">
        <v>3538709</v>
      </c>
      <c r="F437" s="2" t="s">
        <v>1375</v>
      </c>
      <c r="G437" s="2" t="s">
        <v>1745</v>
      </c>
      <c r="H437" s="4">
        <v>3538709</v>
      </c>
    </row>
    <row r="438" spans="1:8" x14ac:dyDescent="0.25">
      <c r="A438" s="4">
        <v>3538808</v>
      </c>
      <c r="B438" s="4" t="s">
        <v>1376</v>
      </c>
      <c r="C438" s="4" t="s">
        <v>1656</v>
      </c>
      <c r="E438" s="2">
        <v>3538808</v>
      </c>
      <c r="F438" s="2" t="s">
        <v>1376</v>
      </c>
      <c r="G438" s="2" t="s">
        <v>1656</v>
      </c>
      <c r="H438" s="4">
        <v>3538808</v>
      </c>
    </row>
    <row r="439" spans="1:8" x14ac:dyDescent="0.25">
      <c r="A439" s="4">
        <v>3538907</v>
      </c>
      <c r="B439" s="4" t="s">
        <v>1377</v>
      </c>
      <c r="C439" s="4" t="s">
        <v>1665</v>
      </c>
      <c r="E439" s="2">
        <v>3538907</v>
      </c>
      <c r="F439" s="2" t="s">
        <v>1377</v>
      </c>
      <c r="G439" s="2" t="s">
        <v>1665</v>
      </c>
      <c r="H439" s="4">
        <v>3538907</v>
      </c>
    </row>
    <row r="440" spans="1:8" x14ac:dyDescent="0.25">
      <c r="A440" s="4">
        <v>3539004</v>
      </c>
      <c r="B440" s="4" t="s">
        <v>1378</v>
      </c>
      <c r="C440" s="4" t="s">
        <v>1660</v>
      </c>
      <c r="E440" s="2">
        <v>3539004</v>
      </c>
      <c r="F440" s="2" t="s">
        <v>1378</v>
      </c>
      <c r="G440" s="2" t="s">
        <v>1660</v>
      </c>
      <c r="H440" s="4">
        <v>3539004</v>
      </c>
    </row>
    <row r="441" spans="1:8" x14ac:dyDescent="0.25">
      <c r="A441" s="4">
        <v>3539103</v>
      </c>
      <c r="B441" s="4" t="s">
        <v>1379</v>
      </c>
      <c r="C441" s="4" t="s">
        <v>1737</v>
      </c>
      <c r="E441" s="2">
        <v>3539103</v>
      </c>
      <c r="F441" s="2" t="s">
        <v>1379</v>
      </c>
      <c r="G441" s="2" t="s">
        <v>1737</v>
      </c>
      <c r="H441" s="4">
        <v>3539103</v>
      </c>
    </row>
    <row r="442" spans="1:8" x14ac:dyDescent="0.25">
      <c r="A442" s="4">
        <v>3539202</v>
      </c>
      <c r="B442" s="4" t="s">
        <v>1380</v>
      </c>
      <c r="C442" s="4" t="s">
        <v>1748</v>
      </c>
      <c r="E442" s="2">
        <v>3539202</v>
      </c>
      <c r="F442" s="2" t="s">
        <v>1380</v>
      </c>
      <c r="G442" s="2" t="s">
        <v>1748</v>
      </c>
      <c r="H442" s="4">
        <v>3539202</v>
      </c>
    </row>
    <row r="443" spans="1:8" x14ac:dyDescent="0.25">
      <c r="A443" s="4">
        <v>3539301</v>
      </c>
      <c r="B443" s="4" t="s">
        <v>1381</v>
      </c>
      <c r="C443" s="4" t="s">
        <v>1733</v>
      </c>
      <c r="E443" s="2">
        <v>3539301</v>
      </c>
      <c r="F443" s="2" t="s">
        <v>1381</v>
      </c>
      <c r="G443" s="2" t="s">
        <v>1733</v>
      </c>
      <c r="H443" s="4">
        <v>3539301</v>
      </c>
    </row>
    <row r="444" spans="1:8" x14ac:dyDescent="0.25">
      <c r="A444" s="4">
        <v>3539400</v>
      </c>
      <c r="B444" s="4" t="s">
        <v>1382</v>
      </c>
      <c r="C444" s="4" t="s">
        <v>1665</v>
      </c>
      <c r="E444" s="2">
        <v>3539400</v>
      </c>
      <c r="F444" s="2" t="s">
        <v>1382</v>
      </c>
      <c r="G444" s="2" t="s">
        <v>1665</v>
      </c>
      <c r="H444" s="4">
        <v>3539400</v>
      </c>
    </row>
    <row r="445" spans="1:8" x14ac:dyDescent="0.25">
      <c r="A445" s="4">
        <v>3539509</v>
      </c>
      <c r="B445" s="4" t="s">
        <v>1383</v>
      </c>
      <c r="C445" s="4" t="s">
        <v>1709</v>
      </c>
      <c r="E445" s="2">
        <v>3539509</v>
      </c>
      <c r="F445" s="2" t="s">
        <v>1383</v>
      </c>
      <c r="G445" s="2" t="s">
        <v>1709</v>
      </c>
      <c r="H445" s="4">
        <v>3539509</v>
      </c>
    </row>
    <row r="446" spans="1:8" x14ac:dyDescent="0.25">
      <c r="A446" s="4">
        <v>3539608</v>
      </c>
      <c r="B446" s="4" t="s">
        <v>1384</v>
      </c>
      <c r="C446" s="4" t="s">
        <v>1639</v>
      </c>
      <c r="E446" s="2">
        <v>3539608</v>
      </c>
      <c r="F446" s="2" t="s">
        <v>1384</v>
      </c>
      <c r="G446" s="2" t="s">
        <v>1639</v>
      </c>
      <c r="H446" s="4">
        <v>3539608</v>
      </c>
    </row>
    <row r="447" spans="1:8" x14ac:dyDescent="0.25">
      <c r="A447" s="4">
        <v>3539707</v>
      </c>
      <c r="B447" s="4" t="s">
        <v>1385</v>
      </c>
      <c r="C447" s="4" t="s">
        <v>1648</v>
      </c>
      <c r="E447" s="2">
        <v>3539707</v>
      </c>
      <c r="F447" s="2" t="s">
        <v>1385</v>
      </c>
      <c r="G447" s="2" t="s">
        <v>1648</v>
      </c>
      <c r="H447" s="4">
        <v>3539707</v>
      </c>
    </row>
    <row r="448" spans="1:8" x14ac:dyDescent="0.25">
      <c r="A448" s="4">
        <v>3539806</v>
      </c>
      <c r="B448" s="4" t="s">
        <v>1386</v>
      </c>
      <c r="C448" s="4" t="s">
        <v>1730</v>
      </c>
      <c r="E448" s="2">
        <v>3539806</v>
      </c>
      <c r="F448" s="2" t="s">
        <v>1386</v>
      </c>
      <c r="G448" s="2" t="s">
        <v>1730</v>
      </c>
      <c r="H448" s="4">
        <v>3539806</v>
      </c>
    </row>
    <row r="449" spans="1:8" x14ac:dyDescent="0.25">
      <c r="A449" s="4">
        <v>3539905</v>
      </c>
      <c r="B449" s="4" t="s">
        <v>1387</v>
      </c>
      <c r="C449" s="4" t="s">
        <v>1798</v>
      </c>
      <c r="E449" s="2">
        <v>3539905</v>
      </c>
      <c r="F449" s="2" t="s">
        <v>1387</v>
      </c>
      <c r="G449" s="2" t="s">
        <v>1798</v>
      </c>
      <c r="H449" s="4">
        <v>3539905</v>
      </c>
    </row>
    <row r="450" spans="1:8" x14ac:dyDescent="0.25">
      <c r="A450" s="4">
        <v>3540002</v>
      </c>
      <c r="B450" s="4" t="s">
        <v>1388</v>
      </c>
      <c r="C450" s="4" t="s">
        <v>1726</v>
      </c>
      <c r="E450" s="2">
        <v>3540002</v>
      </c>
      <c r="F450" s="2" t="s">
        <v>1388</v>
      </c>
      <c r="G450" s="2" t="s">
        <v>1726</v>
      </c>
      <c r="H450" s="4">
        <v>3540002</v>
      </c>
    </row>
    <row r="451" spans="1:8" x14ac:dyDescent="0.25">
      <c r="A451" s="4">
        <v>3540101</v>
      </c>
      <c r="B451" s="4" t="s">
        <v>1389</v>
      </c>
      <c r="C451" s="4" t="s">
        <v>1726</v>
      </c>
      <c r="E451" s="2">
        <v>3540101</v>
      </c>
      <c r="F451" s="2" t="s">
        <v>1389</v>
      </c>
      <c r="G451" s="2" t="s">
        <v>1726</v>
      </c>
      <c r="H451" s="4">
        <v>3540101</v>
      </c>
    </row>
    <row r="452" spans="1:8" x14ac:dyDescent="0.25">
      <c r="A452" s="4">
        <v>3540200</v>
      </c>
      <c r="B452" s="4" t="s">
        <v>1390</v>
      </c>
      <c r="C452" s="4" t="s">
        <v>1757</v>
      </c>
      <c r="E452" s="2">
        <v>3540200</v>
      </c>
      <c r="F452" s="2" t="s">
        <v>1390</v>
      </c>
      <c r="G452" s="2" t="s">
        <v>1757</v>
      </c>
      <c r="H452" s="4">
        <v>3540200</v>
      </c>
    </row>
    <row r="453" spans="1:8" x14ac:dyDescent="0.25">
      <c r="A453" s="4">
        <v>3540259</v>
      </c>
      <c r="B453" s="4" t="s">
        <v>1391</v>
      </c>
      <c r="C453" s="4" t="s">
        <v>1713</v>
      </c>
      <c r="E453" s="2">
        <v>3540259</v>
      </c>
      <c r="F453" s="2" t="s">
        <v>1391</v>
      </c>
      <c r="G453" s="2" t="s">
        <v>1713</v>
      </c>
      <c r="H453" s="4">
        <v>3540259</v>
      </c>
    </row>
    <row r="454" spans="1:8" x14ac:dyDescent="0.25">
      <c r="A454" s="4">
        <v>3540309</v>
      </c>
      <c r="B454" s="4" t="s">
        <v>1392</v>
      </c>
      <c r="C454" s="4" t="s">
        <v>1798</v>
      </c>
      <c r="E454" s="2">
        <v>3540309</v>
      </c>
      <c r="F454" s="2" t="s">
        <v>1392</v>
      </c>
      <c r="G454" s="2" t="s">
        <v>1798</v>
      </c>
      <c r="H454" s="4">
        <v>3540309</v>
      </c>
    </row>
    <row r="455" spans="1:8" x14ac:dyDescent="0.25">
      <c r="A455" s="4">
        <v>3540408</v>
      </c>
      <c r="B455" s="4" t="s">
        <v>1393</v>
      </c>
      <c r="C455" s="4" t="s">
        <v>1713</v>
      </c>
      <c r="E455" s="2">
        <v>3540408</v>
      </c>
      <c r="F455" s="2" t="s">
        <v>1393</v>
      </c>
      <c r="G455" s="2" t="s">
        <v>1713</v>
      </c>
      <c r="H455" s="4">
        <v>3540408</v>
      </c>
    </row>
    <row r="456" spans="1:8" x14ac:dyDescent="0.25">
      <c r="A456" s="4">
        <v>3540507</v>
      </c>
      <c r="B456" s="4" t="s">
        <v>1394</v>
      </c>
      <c r="C456" s="4" t="s">
        <v>1670</v>
      </c>
      <c r="E456" s="2">
        <v>3540507</v>
      </c>
      <c r="F456" s="2" t="s">
        <v>1394</v>
      </c>
      <c r="G456" s="2" t="s">
        <v>1670</v>
      </c>
      <c r="H456" s="4">
        <v>3540507</v>
      </c>
    </row>
    <row r="457" spans="1:8" x14ac:dyDescent="0.25">
      <c r="A457" s="4">
        <v>3540606</v>
      </c>
      <c r="B457" s="4" t="s">
        <v>1395</v>
      </c>
      <c r="C457" s="4" t="s">
        <v>1706</v>
      </c>
      <c r="E457" s="2">
        <v>3540606</v>
      </c>
      <c r="F457" s="2" t="s">
        <v>1395</v>
      </c>
      <c r="G457" s="2" t="s">
        <v>1706</v>
      </c>
      <c r="H457" s="4">
        <v>3540606</v>
      </c>
    </row>
    <row r="458" spans="1:8" x14ac:dyDescent="0.25">
      <c r="A458" s="4">
        <v>3540705</v>
      </c>
      <c r="B458" s="4" t="s">
        <v>1396</v>
      </c>
      <c r="C458" s="4" t="s">
        <v>1757</v>
      </c>
      <c r="E458" s="2">
        <v>3540705</v>
      </c>
      <c r="F458" s="2" t="s">
        <v>1396</v>
      </c>
      <c r="G458" s="2" t="s">
        <v>1757</v>
      </c>
      <c r="H458" s="4">
        <v>3540705</v>
      </c>
    </row>
    <row r="459" spans="1:8" x14ac:dyDescent="0.25">
      <c r="A459" s="4">
        <v>3540754</v>
      </c>
      <c r="B459" s="4" t="s">
        <v>1397</v>
      </c>
      <c r="C459" s="4" t="s">
        <v>1794</v>
      </c>
      <c r="E459" s="2">
        <v>3540754</v>
      </c>
      <c r="F459" s="2" t="s">
        <v>1397</v>
      </c>
      <c r="G459" s="2" t="s">
        <v>1794</v>
      </c>
      <c r="H459" s="4">
        <v>3540754</v>
      </c>
    </row>
    <row r="460" spans="1:8" x14ac:dyDescent="0.25">
      <c r="A460" s="4">
        <v>3540804</v>
      </c>
      <c r="B460" s="4" t="s">
        <v>1398</v>
      </c>
      <c r="C460" s="4" t="s">
        <v>1777</v>
      </c>
      <c r="E460" s="2">
        <v>3540804</v>
      </c>
      <c r="F460" s="2" t="s">
        <v>1398</v>
      </c>
      <c r="G460" s="2" t="s">
        <v>1777</v>
      </c>
      <c r="H460" s="4">
        <v>3540804</v>
      </c>
    </row>
    <row r="461" spans="1:8" x14ac:dyDescent="0.25">
      <c r="A461" s="4">
        <v>3540853</v>
      </c>
      <c r="B461" s="4" t="s">
        <v>1399</v>
      </c>
      <c r="C461" s="4" t="s">
        <v>1687</v>
      </c>
      <c r="E461" s="2">
        <v>3540853</v>
      </c>
      <c r="F461" s="2" t="s">
        <v>1399</v>
      </c>
      <c r="G461" s="2" t="s">
        <v>1687</v>
      </c>
      <c r="H461" s="4">
        <v>3540853</v>
      </c>
    </row>
    <row r="462" spans="1:8" x14ac:dyDescent="0.25">
      <c r="A462" s="4">
        <v>3540903</v>
      </c>
      <c r="B462" s="4" t="s">
        <v>1400</v>
      </c>
      <c r="C462" s="4" t="s">
        <v>1709</v>
      </c>
      <c r="E462" s="2">
        <v>3540903</v>
      </c>
      <c r="F462" s="2" t="s">
        <v>1400</v>
      </c>
      <c r="G462" s="2" t="s">
        <v>1709</v>
      </c>
      <c r="H462" s="4">
        <v>3540903</v>
      </c>
    </row>
    <row r="463" spans="1:8" x14ac:dyDescent="0.25">
      <c r="A463" s="4">
        <v>3541000</v>
      </c>
      <c r="B463" s="4" t="s">
        <v>1401</v>
      </c>
      <c r="C463" s="4" t="s">
        <v>1766</v>
      </c>
      <c r="E463" s="2">
        <v>3541000</v>
      </c>
      <c r="F463" s="2" t="s">
        <v>1401</v>
      </c>
      <c r="G463" s="2" t="s">
        <v>1766</v>
      </c>
      <c r="H463" s="4">
        <v>3541000</v>
      </c>
    </row>
    <row r="464" spans="1:8" x14ac:dyDescent="0.25">
      <c r="A464" s="4">
        <v>3541059</v>
      </c>
      <c r="B464" s="4" t="s">
        <v>1402</v>
      </c>
      <c r="C464" s="4" t="s">
        <v>1670</v>
      </c>
      <c r="E464" s="2">
        <v>3541059</v>
      </c>
      <c r="F464" s="2" t="s">
        <v>1402</v>
      </c>
      <c r="G464" s="2" t="s">
        <v>1670</v>
      </c>
      <c r="H464" s="4">
        <v>3541059</v>
      </c>
    </row>
    <row r="465" spans="1:8" x14ac:dyDescent="0.25">
      <c r="A465" s="4">
        <v>3541109</v>
      </c>
      <c r="B465" s="4" t="s">
        <v>1403</v>
      </c>
      <c r="C465" s="4" t="s">
        <v>1665</v>
      </c>
      <c r="E465" s="2">
        <v>3541109</v>
      </c>
      <c r="F465" s="2" t="s">
        <v>1403</v>
      </c>
      <c r="G465" s="2" t="s">
        <v>1665</v>
      </c>
      <c r="H465" s="4">
        <v>3541109</v>
      </c>
    </row>
    <row r="466" spans="1:8" x14ac:dyDescent="0.25">
      <c r="A466" s="4">
        <v>3541208</v>
      </c>
      <c r="B466" s="4" t="s">
        <v>1404</v>
      </c>
      <c r="C466" s="4" t="s">
        <v>1748</v>
      </c>
      <c r="E466" s="2">
        <v>3541208</v>
      </c>
      <c r="F466" s="2" t="s">
        <v>1404</v>
      </c>
      <c r="G466" s="2" t="s">
        <v>1748</v>
      </c>
      <c r="H466" s="4">
        <v>3541208</v>
      </c>
    </row>
    <row r="467" spans="1:8" x14ac:dyDescent="0.25">
      <c r="A467" s="4">
        <v>3541307</v>
      </c>
      <c r="B467" s="4" t="s">
        <v>1405</v>
      </c>
      <c r="C467" s="4" t="s">
        <v>1748</v>
      </c>
      <c r="E467" s="2">
        <v>3541307</v>
      </c>
      <c r="F467" s="2" t="s">
        <v>1405</v>
      </c>
      <c r="G467" s="2" t="s">
        <v>1748</v>
      </c>
      <c r="H467" s="4">
        <v>3541307</v>
      </c>
    </row>
    <row r="468" spans="1:8" x14ac:dyDescent="0.25">
      <c r="A468" s="4">
        <v>3541406</v>
      </c>
      <c r="B468" s="4" t="s">
        <v>1406</v>
      </c>
      <c r="C468" s="4" t="s">
        <v>1748</v>
      </c>
      <c r="E468" s="2">
        <v>3541406</v>
      </c>
      <c r="F468" s="2" t="s">
        <v>1406</v>
      </c>
      <c r="G468" s="2" t="s">
        <v>1748</v>
      </c>
      <c r="H468" s="4">
        <v>3541406</v>
      </c>
    </row>
    <row r="469" spans="1:8" x14ac:dyDescent="0.25">
      <c r="A469" s="4">
        <v>3541505</v>
      </c>
      <c r="B469" s="4" t="s">
        <v>1407</v>
      </c>
      <c r="C469" s="4" t="s">
        <v>1748</v>
      </c>
      <c r="E469" s="2">
        <v>3541505</v>
      </c>
      <c r="F469" s="2" t="s">
        <v>1407</v>
      </c>
      <c r="G469" s="2" t="s">
        <v>1748</v>
      </c>
      <c r="H469" s="4">
        <v>3541505</v>
      </c>
    </row>
    <row r="470" spans="1:8" x14ac:dyDescent="0.25">
      <c r="A470" s="4">
        <v>3541604</v>
      </c>
      <c r="B470" s="4" t="s">
        <v>1408</v>
      </c>
      <c r="C470" s="4" t="s">
        <v>1639</v>
      </c>
      <c r="E470" s="2">
        <v>3541604</v>
      </c>
      <c r="F470" s="2" t="s">
        <v>1408</v>
      </c>
      <c r="G470" s="2" t="s">
        <v>1639</v>
      </c>
      <c r="H470" s="4">
        <v>3541604</v>
      </c>
    </row>
    <row r="471" spans="1:8" x14ac:dyDescent="0.25">
      <c r="A471" s="4">
        <v>3541653</v>
      </c>
      <c r="B471" s="4" t="s">
        <v>1409</v>
      </c>
      <c r="C471" s="4" t="s">
        <v>1702</v>
      </c>
      <c r="E471" s="2">
        <v>3541653</v>
      </c>
      <c r="F471" s="2" t="s">
        <v>1409</v>
      </c>
      <c r="G471" s="2" t="s">
        <v>1702</v>
      </c>
      <c r="H471" s="4">
        <v>3541653</v>
      </c>
    </row>
    <row r="472" spans="1:8" x14ac:dyDescent="0.25">
      <c r="A472" s="4">
        <v>3541703</v>
      </c>
      <c r="B472" s="4" t="s">
        <v>1410</v>
      </c>
      <c r="C472" s="4" t="s">
        <v>1648</v>
      </c>
      <c r="E472" s="2">
        <v>3541703</v>
      </c>
      <c r="F472" s="2" t="s">
        <v>1410</v>
      </c>
      <c r="G472" s="2" t="s">
        <v>1648</v>
      </c>
      <c r="H472" s="4">
        <v>3541703</v>
      </c>
    </row>
    <row r="473" spans="1:8" x14ac:dyDescent="0.25">
      <c r="A473" s="4">
        <v>3541802</v>
      </c>
      <c r="B473" s="4" t="s">
        <v>1411</v>
      </c>
      <c r="C473" s="4" t="s">
        <v>1726</v>
      </c>
      <c r="E473" s="2">
        <v>3541802</v>
      </c>
      <c r="F473" s="2" t="s">
        <v>1411</v>
      </c>
      <c r="G473" s="2" t="s">
        <v>1726</v>
      </c>
      <c r="H473" s="4">
        <v>3541802</v>
      </c>
    </row>
    <row r="474" spans="1:8" x14ac:dyDescent="0.25">
      <c r="A474" s="4">
        <v>3541901</v>
      </c>
      <c r="B474" s="4" t="s">
        <v>1412</v>
      </c>
      <c r="C474" s="4" t="s">
        <v>1794</v>
      </c>
      <c r="E474" s="2">
        <v>3541901</v>
      </c>
      <c r="F474" s="2" t="s">
        <v>1412</v>
      </c>
      <c r="G474" s="2" t="s">
        <v>1794</v>
      </c>
      <c r="H474" s="4">
        <v>3541901</v>
      </c>
    </row>
    <row r="475" spans="1:8" x14ac:dyDescent="0.25">
      <c r="A475" s="4">
        <v>3542008</v>
      </c>
      <c r="B475" s="4" t="s">
        <v>1413</v>
      </c>
      <c r="C475" s="4" t="s">
        <v>1726</v>
      </c>
      <c r="E475" s="2">
        <v>3542008</v>
      </c>
      <c r="F475" s="2" t="s">
        <v>1413</v>
      </c>
      <c r="G475" s="2" t="s">
        <v>1726</v>
      </c>
      <c r="H475" s="4">
        <v>3542008</v>
      </c>
    </row>
    <row r="476" spans="1:8" x14ac:dyDescent="0.25">
      <c r="A476" s="4">
        <v>3542107</v>
      </c>
      <c r="B476" s="4" t="s">
        <v>1414</v>
      </c>
      <c r="C476" s="4" t="s">
        <v>1674</v>
      </c>
      <c r="E476" s="2">
        <v>3542107</v>
      </c>
      <c r="F476" s="2" t="s">
        <v>1414</v>
      </c>
      <c r="G476" s="2" t="s">
        <v>1674</v>
      </c>
      <c r="H476" s="4">
        <v>3542107</v>
      </c>
    </row>
    <row r="477" spans="1:8" x14ac:dyDescent="0.25">
      <c r="A477" s="4">
        <v>3542206</v>
      </c>
      <c r="B477" s="4" t="s">
        <v>1415</v>
      </c>
      <c r="C477" s="4" t="s">
        <v>1748</v>
      </c>
      <c r="E477" s="2">
        <v>3542206</v>
      </c>
      <c r="F477" s="2" t="s">
        <v>1415</v>
      </c>
      <c r="G477" s="2" t="s">
        <v>1748</v>
      </c>
      <c r="H477" s="4">
        <v>3542206</v>
      </c>
    </row>
    <row r="478" spans="1:8" x14ac:dyDescent="0.25">
      <c r="A478" s="4">
        <v>3542305</v>
      </c>
      <c r="B478" s="4" t="s">
        <v>1416</v>
      </c>
      <c r="C478" s="4" t="s">
        <v>1794</v>
      </c>
      <c r="E478" s="2">
        <v>3542305</v>
      </c>
      <c r="F478" s="2" t="s">
        <v>1416</v>
      </c>
      <c r="G478" s="2" t="s">
        <v>1794</v>
      </c>
      <c r="H478" s="4">
        <v>3542305</v>
      </c>
    </row>
    <row r="479" spans="1:8" x14ac:dyDescent="0.25">
      <c r="A479" s="4">
        <v>3542404</v>
      </c>
      <c r="B479" s="4" t="s">
        <v>1417</v>
      </c>
      <c r="C479" s="4" t="s">
        <v>1748</v>
      </c>
      <c r="E479" s="2">
        <v>3542404</v>
      </c>
      <c r="F479" s="2" t="s">
        <v>1417</v>
      </c>
      <c r="G479" s="2" t="s">
        <v>1748</v>
      </c>
      <c r="H479" s="4">
        <v>3542404</v>
      </c>
    </row>
    <row r="480" spans="1:8" x14ac:dyDescent="0.25">
      <c r="A480" s="4">
        <v>3542503</v>
      </c>
      <c r="B480" s="4" t="s">
        <v>1418</v>
      </c>
      <c r="C480" s="4" t="s">
        <v>1665</v>
      </c>
      <c r="E480" s="2">
        <v>3542503</v>
      </c>
      <c r="F480" s="2" t="s">
        <v>1418</v>
      </c>
      <c r="G480" s="2" t="s">
        <v>1665</v>
      </c>
      <c r="H480" s="4">
        <v>3542503</v>
      </c>
    </row>
    <row r="481" spans="1:8" x14ac:dyDescent="0.25">
      <c r="A481" s="4">
        <v>3542602</v>
      </c>
      <c r="B481" s="4" t="s">
        <v>1419</v>
      </c>
      <c r="C481" s="4" t="s">
        <v>1752</v>
      </c>
      <c r="E481" s="2">
        <v>3542602</v>
      </c>
      <c r="F481" s="2" t="s">
        <v>1419</v>
      </c>
      <c r="G481" s="2" t="s">
        <v>1752</v>
      </c>
      <c r="H481" s="4">
        <v>3542602</v>
      </c>
    </row>
    <row r="482" spans="1:8" x14ac:dyDescent="0.25">
      <c r="A482" s="4">
        <v>3542701</v>
      </c>
      <c r="B482" s="4" t="s">
        <v>1420</v>
      </c>
      <c r="C482" s="4" t="s">
        <v>1694</v>
      </c>
      <c r="E482" s="2">
        <v>3542701</v>
      </c>
      <c r="F482" s="2" t="s">
        <v>1420</v>
      </c>
      <c r="G482" s="2" t="s">
        <v>1694</v>
      </c>
      <c r="H482" s="4">
        <v>3542701</v>
      </c>
    </row>
    <row r="483" spans="1:8" x14ac:dyDescent="0.25">
      <c r="A483" s="4">
        <v>3542800</v>
      </c>
      <c r="B483" s="4" t="s">
        <v>1421</v>
      </c>
      <c r="C483" s="4" t="s">
        <v>1678</v>
      </c>
      <c r="E483" s="2">
        <v>3542800</v>
      </c>
      <c r="F483" s="2" t="s">
        <v>1421</v>
      </c>
      <c r="G483" s="2" t="s">
        <v>1678</v>
      </c>
      <c r="H483" s="4">
        <v>3542800</v>
      </c>
    </row>
    <row r="484" spans="1:8" x14ac:dyDescent="0.25">
      <c r="A484" s="4">
        <v>3542909</v>
      </c>
      <c r="B484" s="4" t="s">
        <v>1422</v>
      </c>
      <c r="C484" s="4" t="s">
        <v>1770</v>
      </c>
      <c r="E484" s="2">
        <v>3542909</v>
      </c>
      <c r="F484" s="2" t="s">
        <v>1422</v>
      </c>
      <c r="G484" s="2" t="s">
        <v>1770</v>
      </c>
      <c r="H484" s="4">
        <v>3542909</v>
      </c>
    </row>
    <row r="485" spans="1:8" x14ac:dyDescent="0.25">
      <c r="A485" s="4">
        <v>3543006</v>
      </c>
      <c r="B485" s="4" t="s">
        <v>1423</v>
      </c>
      <c r="C485" s="4" t="s">
        <v>1678</v>
      </c>
      <c r="E485" s="2">
        <v>3543006</v>
      </c>
      <c r="F485" s="2" t="s">
        <v>1423</v>
      </c>
      <c r="G485" s="2" t="s">
        <v>1678</v>
      </c>
      <c r="H485" s="4">
        <v>3543006</v>
      </c>
    </row>
    <row r="486" spans="1:8" x14ac:dyDescent="0.25">
      <c r="A486" s="4">
        <v>3543105</v>
      </c>
      <c r="B486" s="4" t="s">
        <v>1424</v>
      </c>
      <c r="C486" s="4" t="s">
        <v>1694</v>
      </c>
      <c r="E486" s="2">
        <v>3543105</v>
      </c>
      <c r="F486" s="2" t="s">
        <v>1424</v>
      </c>
      <c r="G486" s="2" t="s">
        <v>1694</v>
      </c>
      <c r="H486" s="4">
        <v>3543105</v>
      </c>
    </row>
    <row r="487" spans="1:8" x14ac:dyDescent="0.25">
      <c r="A487" s="4">
        <v>3543204</v>
      </c>
      <c r="B487" s="4" t="s">
        <v>1425</v>
      </c>
      <c r="C487" s="4" t="s">
        <v>1648</v>
      </c>
      <c r="E487" s="2">
        <v>3543204</v>
      </c>
      <c r="F487" s="2" t="s">
        <v>1425</v>
      </c>
      <c r="G487" s="2" t="s">
        <v>1648</v>
      </c>
      <c r="H487" s="4">
        <v>3543204</v>
      </c>
    </row>
    <row r="488" spans="1:8" x14ac:dyDescent="0.25">
      <c r="A488" s="4">
        <v>3543238</v>
      </c>
      <c r="B488" s="4" t="s">
        <v>1426</v>
      </c>
      <c r="C488" s="4" t="s">
        <v>1748</v>
      </c>
      <c r="E488" s="2">
        <v>3543238</v>
      </c>
      <c r="F488" s="2" t="s">
        <v>1426</v>
      </c>
      <c r="G488" s="2" t="s">
        <v>1748</v>
      </c>
      <c r="H488" s="4">
        <v>3543238</v>
      </c>
    </row>
    <row r="489" spans="1:8" x14ac:dyDescent="0.25">
      <c r="A489" s="4">
        <v>3543253</v>
      </c>
      <c r="B489" s="4" t="s">
        <v>1427</v>
      </c>
      <c r="C489" s="4" t="s">
        <v>1678</v>
      </c>
      <c r="E489" s="2">
        <v>3543253</v>
      </c>
      <c r="F489" s="2" t="s">
        <v>1427</v>
      </c>
      <c r="G489" s="2" t="s">
        <v>1678</v>
      </c>
      <c r="H489" s="4">
        <v>3543253</v>
      </c>
    </row>
    <row r="490" spans="1:8" x14ac:dyDescent="0.25">
      <c r="A490" s="4">
        <v>3543303</v>
      </c>
      <c r="B490" s="4" t="s">
        <v>1428</v>
      </c>
      <c r="C490" s="4" t="s">
        <v>1802</v>
      </c>
      <c r="E490" s="2">
        <v>3543303</v>
      </c>
      <c r="F490" s="2" t="s">
        <v>1428</v>
      </c>
      <c r="G490" s="2" t="s">
        <v>1802</v>
      </c>
      <c r="H490" s="4">
        <v>3543303</v>
      </c>
    </row>
    <row r="491" spans="1:8" x14ac:dyDescent="0.25">
      <c r="A491" s="4">
        <v>3543402</v>
      </c>
      <c r="B491" s="4" t="s">
        <v>1429</v>
      </c>
      <c r="C491" s="4" t="s">
        <v>1757</v>
      </c>
      <c r="E491" s="2">
        <v>3543402</v>
      </c>
      <c r="F491" s="2" t="s">
        <v>1429</v>
      </c>
      <c r="G491" s="2" t="s">
        <v>1757</v>
      </c>
      <c r="H491" s="4">
        <v>3543402</v>
      </c>
    </row>
    <row r="492" spans="1:8" x14ac:dyDescent="0.25">
      <c r="A492" s="4">
        <v>3543501</v>
      </c>
      <c r="B492" s="4" t="s">
        <v>1437</v>
      </c>
      <c r="C492" s="4" t="s">
        <v>1678</v>
      </c>
      <c r="E492" s="2">
        <v>3543600</v>
      </c>
      <c r="F492" s="2" t="s">
        <v>1430</v>
      </c>
      <c r="G492" s="2" t="s">
        <v>1694</v>
      </c>
      <c r="H492" s="4">
        <v>3543600</v>
      </c>
    </row>
    <row r="493" spans="1:8" x14ac:dyDescent="0.25">
      <c r="A493" s="4">
        <v>3543600</v>
      </c>
      <c r="B493" s="4" t="s">
        <v>1430</v>
      </c>
      <c r="C493" s="4" t="s">
        <v>1694</v>
      </c>
      <c r="E493" s="2">
        <v>3543709</v>
      </c>
      <c r="F493" s="2" t="s">
        <v>1431</v>
      </c>
      <c r="G493" s="2" t="s">
        <v>1644</v>
      </c>
      <c r="H493" s="4">
        <v>3543709</v>
      </c>
    </row>
    <row r="494" spans="1:8" x14ac:dyDescent="0.25">
      <c r="A494" s="4">
        <v>3543709</v>
      </c>
      <c r="B494" s="4" t="s">
        <v>1431</v>
      </c>
      <c r="C494" s="4" t="s">
        <v>1644</v>
      </c>
      <c r="E494" s="2">
        <v>3543808</v>
      </c>
      <c r="F494" s="2" t="s">
        <v>1432</v>
      </c>
      <c r="G494" s="2" t="s">
        <v>1726</v>
      </c>
      <c r="H494" s="4">
        <v>3543808</v>
      </c>
    </row>
    <row r="495" spans="1:8" x14ac:dyDescent="0.25">
      <c r="A495" s="4">
        <v>3543808</v>
      </c>
      <c r="B495" s="4" t="s">
        <v>1432</v>
      </c>
      <c r="C495" s="4" t="s">
        <v>1726</v>
      </c>
      <c r="E495" s="2">
        <v>3543907</v>
      </c>
      <c r="F495" s="2" t="s">
        <v>1433</v>
      </c>
      <c r="G495" s="2" t="s">
        <v>1745</v>
      </c>
      <c r="H495" s="4">
        <v>3543907</v>
      </c>
    </row>
    <row r="496" spans="1:8" x14ac:dyDescent="0.25">
      <c r="A496" s="4">
        <v>3543907</v>
      </c>
      <c r="B496" s="4" t="s">
        <v>1433</v>
      </c>
      <c r="C496" s="4" t="s">
        <v>1745</v>
      </c>
      <c r="E496" s="2">
        <v>3544004</v>
      </c>
      <c r="F496" s="2" t="s">
        <v>1434</v>
      </c>
      <c r="G496" s="2" t="s">
        <v>1745</v>
      </c>
      <c r="H496" s="4">
        <v>3544004</v>
      </c>
    </row>
    <row r="497" spans="1:8" x14ac:dyDescent="0.25">
      <c r="A497" s="4">
        <v>3544004</v>
      </c>
      <c r="B497" s="4" t="s">
        <v>1434</v>
      </c>
      <c r="C497" s="4" t="s">
        <v>1745</v>
      </c>
      <c r="E497" s="2">
        <v>3544103</v>
      </c>
      <c r="F497" s="2" t="s">
        <v>1435</v>
      </c>
      <c r="G497" s="2" t="s">
        <v>1802</v>
      </c>
      <c r="H497" s="4">
        <v>3544103</v>
      </c>
    </row>
    <row r="498" spans="1:8" x14ac:dyDescent="0.25">
      <c r="A498" s="4">
        <v>3544103</v>
      </c>
      <c r="B498" s="4" t="s">
        <v>1435</v>
      </c>
      <c r="C498" s="4" t="s">
        <v>1802</v>
      </c>
      <c r="E498" s="2">
        <v>3544202</v>
      </c>
      <c r="F498" s="2" t="s">
        <v>1436</v>
      </c>
      <c r="G498" s="2" t="s">
        <v>1798</v>
      </c>
      <c r="H498" s="4">
        <v>3544202</v>
      </c>
    </row>
    <row r="499" spans="1:8" x14ac:dyDescent="0.25">
      <c r="A499" s="4">
        <v>3544202</v>
      </c>
      <c r="B499" s="4" t="s">
        <v>1436</v>
      </c>
      <c r="C499" s="4" t="s">
        <v>1798</v>
      </c>
      <c r="E499" s="2">
        <v>3543501</v>
      </c>
      <c r="F499" s="2" t="s">
        <v>1437</v>
      </c>
      <c r="G499" s="2" t="s">
        <v>1678</v>
      </c>
      <c r="H499" s="4">
        <v>3543501</v>
      </c>
    </row>
    <row r="500" spans="1:8" x14ac:dyDescent="0.25">
      <c r="A500" s="4">
        <v>3544251</v>
      </c>
      <c r="B500" s="4" t="s">
        <v>1438</v>
      </c>
      <c r="C500" s="4" t="s">
        <v>1748</v>
      </c>
      <c r="E500" s="2">
        <v>3544251</v>
      </c>
      <c r="F500" s="2" t="s">
        <v>1438</v>
      </c>
      <c r="G500" s="2" t="s">
        <v>1748</v>
      </c>
      <c r="H500" s="4">
        <v>3544251</v>
      </c>
    </row>
    <row r="501" spans="1:8" x14ac:dyDescent="0.25">
      <c r="A501" s="4">
        <v>3544301</v>
      </c>
      <c r="B501" s="4" t="s">
        <v>1439</v>
      </c>
      <c r="C501" s="4" t="s">
        <v>1794</v>
      </c>
      <c r="E501" s="2">
        <v>3544301</v>
      </c>
      <c r="F501" s="2" t="s">
        <v>1439</v>
      </c>
      <c r="G501" s="2" t="s">
        <v>1794</v>
      </c>
      <c r="H501" s="4">
        <v>3544301</v>
      </c>
    </row>
    <row r="502" spans="1:8" x14ac:dyDescent="0.25">
      <c r="A502" s="4">
        <v>3544400</v>
      </c>
      <c r="B502" s="4" t="s">
        <v>1440</v>
      </c>
      <c r="C502" s="4" t="s">
        <v>1639</v>
      </c>
      <c r="E502" s="2">
        <v>3544400</v>
      </c>
      <c r="F502" s="2" t="s">
        <v>1440</v>
      </c>
      <c r="G502" s="2" t="s">
        <v>1639</v>
      </c>
      <c r="H502" s="4">
        <v>3544400</v>
      </c>
    </row>
    <row r="503" spans="1:8" x14ac:dyDescent="0.25">
      <c r="A503" s="4">
        <v>3544509</v>
      </c>
      <c r="B503" s="4" t="s">
        <v>1441</v>
      </c>
      <c r="C503" s="4" t="s">
        <v>1713</v>
      </c>
      <c r="E503" s="2">
        <v>3544509</v>
      </c>
      <c r="F503" s="2" t="s">
        <v>1441</v>
      </c>
      <c r="G503" s="2" t="s">
        <v>1713</v>
      </c>
      <c r="H503" s="4">
        <v>3544509</v>
      </c>
    </row>
    <row r="504" spans="1:8" x14ac:dyDescent="0.25">
      <c r="A504" s="4">
        <v>3544608</v>
      </c>
      <c r="B504" s="4" t="s">
        <v>1442</v>
      </c>
      <c r="C504" s="4" t="s">
        <v>1726</v>
      </c>
      <c r="E504" s="2">
        <v>3544608</v>
      </c>
      <c r="F504" s="2" t="s">
        <v>1442</v>
      </c>
      <c r="G504" s="2" t="s">
        <v>1726</v>
      </c>
      <c r="H504" s="4">
        <v>3544608</v>
      </c>
    </row>
    <row r="505" spans="1:8" x14ac:dyDescent="0.25">
      <c r="A505" s="4">
        <v>3544707</v>
      </c>
      <c r="B505" s="4" t="s">
        <v>1443</v>
      </c>
      <c r="C505" s="4" t="s">
        <v>1687</v>
      </c>
      <c r="E505" s="2">
        <v>3544707</v>
      </c>
      <c r="F505" s="2" t="s">
        <v>1443</v>
      </c>
      <c r="G505" s="2" t="s">
        <v>1687</v>
      </c>
      <c r="H505" s="4">
        <v>3544707</v>
      </c>
    </row>
    <row r="506" spans="1:8" x14ac:dyDescent="0.25">
      <c r="A506" s="4">
        <v>3544806</v>
      </c>
      <c r="B506" s="4" t="s">
        <v>1444</v>
      </c>
      <c r="C506" s="4" t="s">
        <v>1777</v>
      </c>
      <c r="E506" s="2">
        <v>3544806</v>
      </c>
      <c r="F506" s="2" t="s">
        <v>1444</v>
      </c>
      <c r="G506" s="2" t="s">
        <v>1777</v>
      </c>
      <c r="H506" s="4">
        <v>3544806</v>
      </c>
    </row>
    <row r="507" spans="1:8" x14ac:dyDescent="0.25">
      <c r="A507" s="4">
        <v>3544905</v>
      </c>
      <c r="B507" s="4" t="s">
        <v>1445</v>
      </c>
      <c r="C507" s="4" t="s">
        <v>1757</v>
      </c>
      <c r="E507" s="2">
        <v>3544905</v>
      </c>
      <c r="F507" s="2" t="s">
        <v>1445</v>
      </c>
      <c r="G507" s="2" t="s">
        <v>1757</v>
      </c>
      <c r="H507" s="4">
        <v>3544905</v>
      </c>
    </row>
    <row r="508" spans="1:8" x14ac:dyDescent="0.25">
      <c r="A508" s="4">
        <v>3545001</v>
      </c>
      <c r="B508" s="4" t="s">
        <v>1446</v>
      </c>
      <c r="C508" s="4" t="s">
        <v>1730</v>
      </c>
      <c r="E508" s="2">
        <v>3545001</v>
      </c>
      <c r="F508" s="2" t="s">
        <v>1446</v>
      </c>
      <c r="G508" s="2" t="s">
        <v>1730</v>
      </c>
      <c r="H508" s="4">
        <v>3545001</v>
      </c>
    </row>
    <row r="509" spans="1:8" x14ac:dyDescent="0.25">
      <c r="A509" s="4">
        <v>3545100</v>
      </c>
      <c r="B509" s="4" t="s">
        <v>1447</v>
      </c>
      <c r="C509" s="4" t="s">
        <v>1687</v>
      </c>
      <c r="E509" s="2">
        <v>3545100</v>
      </c>
      <c r="F509" s="2" t="s">
        <v>1447</v>
      </c>
      <c r="G509" s="2" t="s">
        <v>1687</v>
      </c>
      <c r="H509" s="4">
        <v>3545100</v>
      </c>
    </row>
    <row r="510" spans="1:8" x14ac:dyDescent="0.25">
      <c r="A510" s="4">
        <v>3545159</v>
      </c>
      <c r="B510" s="4" t="s">
        <v>1448</v>
      </c>
      <c r="C510" s="4" t="s">
        <v>1745</v>
      </c>
      <c r="E510" s="2">
        <v>3545159</v>
      </c>
      <c r="F510" s="2" t="s">
        <v>1448</v>
      </c>
      <c r="G510" s="2" t="s">
        <v>1745</v>
      </c>
      <c r="H510" s="4">
        <v>3545159</v>
      </c>
    </row>
    <row r="511" spans="1:8" x14ac:dyDescent="0.25">
      <c r="A511" s="4">
        <v>3545209</v>
      </c>
      <c r="B511" s="4" t="s">
        <v>1449</v>
      </c>
      <c r="C511" s="4" t="s">
        <v>1717</v>
      </c>
      <c r="E511" s="2">
        <v>3545209</v>
      </c>
      <c r="F511" s="2" t="s">
        <v>1449</v>
      </c>
      <c r="G511" s="2" t="s">
        <v>1717</v>
      </c>
      <c r="H511" s="4">
        <v>3545209</v>
      </c>
    </row>
    <row r="512" spans="1:8" x14ac:dyDescent="0.25">
      <c r="A512" s="4">
        <v>3545308</v>
      </c>
      <c r="B512" s="4" t="s">
        <v>1450</v>
      </c>
      <c r="C512" s="4" t="s">
        <v>1789</v>
      </c>
      <c r="E512" s="2">
        <v>3545308</v>
      </c>
      <c r="F512" s="2" t="s">
        <v>1450</v>
      </c>
      <c r="G512" s="2" t="s">
        <v>1789</v>
      </c>
      <c r="H512" s="4">
        <v>3545308</v>
      </c>
    </row>
    <row r="513" spans="1:8" x14ac:dyDescent="0.25">
      <c r="A513" s="4">
        <v>3545407</v>
      </c>
      <c r="B513" s="4" t="s">
        <v>1451</v>
      </c>
      <c r="C513" s="4" t="s">
        <v>1648</v>
      </c>
      <c r="E513" s="2">
        <v>3545407</v>
      </c>
      <c r="F513" s="2" t="s">
        <v>1451</v>
      </c>
      <c r="G513" s="2" t="s">
        <v>1648</v>
      </c>
      <c r="H513" s="4">
        <v>3545407</v>
      </c>
    </row>
    <row r="514" spans="1:8" x14ac:dyDescent="0.25">
      <c r="A514" s="4">
        <v>3545506</v>
      </c>
      <c r="B514" s="4" t="s">
        <v>1452</v>
      </c>
      <c r="C514" s="4" t="s">
        <v>1748</v>
      </c>
      <c r="E514" s="2">
        <v>3545506</v>
      </c>
      <c r="F514" s="2" t="s">
        <v>1452</v>
      </c>
      <c r="G514" s="2" t="s">
        <v>1748</v>
      </c>
      <c r="H514" s="4">
        <v>3545506</v>
      </c>
    </row>
    <row r="515" spans="1:8" x14ac:dyDescent="0.25">
      <c r="A515" s="4">
        <v>3545605</v>
      </c>
      <c r="B515" s="4" t="s">
        <v>1453</v>
      </c>
      <c r="C515" s="4" t="s">
        <v>1777</v>
      </c>
      <c r="E515" s="2">
        <v>3545605</v>
      </c>
      <c r="F515" s="2" t="s">
        <v>1453</v>
      </c>
      <c r="G515" s="2" t="s">
        <v>1777</v>
      </c>
      <c r="H515" s="4">
        <v>3545605</v>
      </c>
    </row>
    <row r="516" spans="1:8" x14ac:dyDescent="0.25">
      <c r="A516" s="4">
        <v>3545704</v>
      </c>
      <c r="B516" s="4" t="s">
        <v>1454</v>
      </c>
      <c r="C516" s="4" t="s">
        <v>1713</v>
      </c>
      <c r="E516" s="2">
        <v>3545704</v>
      </c>
      <c r="F516" s="2" t="s">
        <v>1454</v>
      </c>
      <c r="G516" s="2" t="s">
        <v>1713</v>
      </c>
      <c r="H516" s="4">
        <v>3545704</v>
      </c>
    </row>
    <row r="517" spans="1:8" x14ac:dyDescent="0.25">
      <c r="A517" s="4">
        <v>3545803</v>
      </c>
      <c r="B517" s="4" t="s">
        <v>1455</v>
      </c>
      <c r="C517" s="4" t="s">
        <v>1635</v>
      </c>
      <c r="E517" s="2">
        <v>3545803</v>
      </c>
      <c r="F517" s="2" t="s">
        <v>1455</v>
      </c>
      <c r="G517" s="2" t="s">
        <v>1635</v>
      </c>
      <c r="H517" s="4">
        <v>3545803</v>
      </c>
    </row>
    <row r="518" spans="1:8" x14ac:dyDescent="0.25">
      <c r="A518" s="4">
        <v>3546009</v>
      </c>
      <c r="B518" s="4" t="s">
        <v>1456</v>
      </c>
      <c r="C518" s="4" t="s">
        <v>1781</v>
      </c>
      <c r="E518" s="2">
        <v>3546009</v>
      </c>
      <c r="F518" s="2" t="s">
        <v>1456</v>
      </c>
      <c r="G518" s="2" t="s">
        <v>1781</v>
      </c>
      <c r="H518" s="4">
        <v>3546009</v>
      </c>
    </row>
    <row r="519" spans="1:8" x14ac:dyDescent="0.25">
      <c r="A519" s="4">
        <v>3546108</v>
      </c>
      <c r="B519" s="4" t="s">
        <v>1457</v>
      </c>
      <c r="C519" s="4" t="s">
        <v>1713</v>
      </c>
      <c r="E519" s="2">
        <v>3546108</v>
      </c>
      <c r="F519" s="2" t="s">
        <v>1457</v>
      </c>
      <c r="G519" s="2" t="s">
        <v>1713</v>
      </c>
      <c r="H519" s="4">
        <v>3546108</v>
      </c>
    </row>
    <row r="520" spans="1:8" x14ac:dyDescent="0.25">
      <c r="A520" s="4">
        <v>3546207</v>
      </c>
      <c r="B520" s="4" t="s">
        <v>1458</v>
      </c>
      <c r="C520" s="4" t="s">
        <v>1733</v>
      </c>
      <c r="E520" s="2">
        <v>3546207</v>
      </c>
      <c r="F520" s="2" t="s">
        <v>1458</v>
      </c>
      <c r="G520" s="2" t="s">
        <v>1733</v>
      </c>
      <c r="H520" s="4">
        <v>3546207</v>
      </c>
    </row>
    <row r="521" spans="1:8" x14ac:dyDescent="0.25">
      <c r="A521" s="4">
        <v>3546256</v>
      </c>
      <c r="B521" s="4" t="s">
        <v>1459</v>
      </c>
      <c r="C521" s="4" t="s">
        <v>1757</v>
      </c>
      <c r="E521" s="2">
        <v>3546256</v>
      </c>
      <c r="F521" s="2" t="s">
        <v>1459</v>
      </c>
      <c r="G521" s="2" t="s">
        <v>1757</v>
      </c>
      <c r="H521" s="4">
        <v>3546256</v>
      </c>
    </row>
    <row r="522" spans="1:8" x14ac:dyDescent="0.25">
      <c r="A522" s="4">
        <v>3546306</v>
      </c>
      <c r="B522" s="4" t="s">
        <v>1460</v>
      </c>
      <c r="C522" s="4" t="s">
        <v>1773</v>
      </c>
      <c r="E522" s="2">
        <v>3546306</v>
      </c>
      <c r="F522" s="2" t="s">
        <v>1460</v>
      </c>
      <c r="G522" s="2" t="s">
        <v>1773</v>
      </c>
      <c r="H522" s="4">
        <v>3546306</v>
      </c>
    </row>
    <row r="523" spans="1:8" x14ac:dyDescent="0.25">
      <c r="A523" s="4">
        <v>3546405</v>
      </c>
      <c r="B523" s="4" t="s">
        <v>1461</v>
      </c>
      <c r="C523" s="4" t="s">
        <v>1648</v>
      </c>
      <c r="E523" s="2">
        <v>3546405</v>
      </c>
      <c r="F523" s="2" t="s">
        <v>1461</v>
      </c>
      <c r="G523" s="2" t="s">
        <v>1648</v>
      </c>
      <c r="H523" s="4">
        <v>3546405</v>
      </c>
    </row>
    <row r="524" spans="1:8" x14ac:dyDescent="0.25">
      <c r="A524" s="4">
        <v>3546504</v>
      </c>
      <c r="B524" s="4" t="s">
        <v>1462</v>
      </c>
      <c r="C524" s="4" t="s">
        <v>1644</v>
      </c>
      <c r="E524" s="2">
        <v>3546504</v>
      </c>
      <c r="F524" s="2" t="s">
        <v>1462</v>
      </c>
      <c r="G524" s="2" t="s">
        <v>1644</v>
      </c>
      <c r="H524" s="4">
        <v>3546504</v>
      </c>
    </row>
    <row r="525" spans="1:8" x14ac:dyDescent="0.25">
      <c r="A525" s="4">
        <v>3546603</v>
      </c>
      <c r="B525" s="4" t="s">
        <v>1463</v>
      </c>
      <c r="C525" s="4" t="s">
        <v>1713</v>
      </c>
      <c r="E525" s="2">
        <v>3546603</v>
      </c>
      <c r="F525" s="2" t="s">
        <v>1463</v>
      </c>
      <c r="G525" s="2" t="s">
        <v>1713</v>
      </c>
      <c r="H525" s="4">
        <v>3546603</v>
      </c>
    </row>
    <row r="526" spans="1:8" x14ac:dyDescent="0.25">
      <c r="A526" s="4">
        <v>3546702</v>
      </c>
      <c r="B526" s="4" t="s">
        <v>1464</v>
      </c>
      <c r="C526" s="4" t="s">
        <v>1722</v>
      </c>
      <c r="E526" s="2">
        <v>3546702</v>
      </c>
      <c r="F526" s="2" t="s">
        <v>1464</v>
      </c>
      <c r="G526" s="2" t="s">
        <v>1722</v>
      </c>
      <c r="H526" s="4">
        <v>3546702</v>
      </c>
    </row>
    <row r="527" spans="1:8" x14ac:dyDescent="0.25">
      <c r="A527" s="4">
        <v>3546801</v>
      </c>
      <c r="B527" s="4" t="s">
        <v>1465</v>
      </c>
      <c r="C527" s="4" t="s">
        <v>1730</v>
      </c>
      <c r="E527" s="2">
        <v>3546801</v>
      </c>
      <c r="F527" s="2" t="s">
        <v>1465</v>
      </c>
      <c r="G527" s="2" t="s">
        <v>1730</v>
      </c>
      <c r="H527" s="4">
        <v>3546801</v>
      </c>
    </row>
    <row r="528" spans="1:8" x14ac:dyDescent="0.25">
      <c r="A528" s="4">
        <v>3546900</v>
      </c>
      <c r="B528" s="4" t="s">
        <v>1466</v>
      </c>
      <c r="C528" s="4" t="s">
        <v>1644</v>
      </c>
      <c r="E528" s="2">
        <v>3546900</v>
      </c>
      <c r="F528" s="2" t="s">
        <v>1466</v>
      </c>
      <c r="G528" s="2" t="s">
        <v>1644</v>
      </c>
      <c r="H528" s="4">
        <v>3546900</v>
      </c>
    </row>
    <row r="529" spans="1:8" x14ac:dyDescent="0.25">
      <c r="A529" s="4">
        <v>3547007</v>
      </c>
      <c r="B529" s="4" t="s">
        <v>1467</v>
      </c>
      <c r="C529" s="4" t="s">
        <v>1745</v>
      </c>
      <c r="E529" s="2">
        <v>3547007</v>
      </c>
      <c r="F529" s="2" t="s">
        <v>1467</v>
      </c>
      <c r="G529" s="2" t="s">
        <v>1745</v>
      </c>
      <c r="H529" s="4">
        <v>3547007</v>
      </c>
    </row>
    <row r="530" spans="1:8" x14ac:dyDescent="0.25">
      <c r="A530" s="4">
        <v>3547106</v>
      </c>
      <c r="B530" s="4" t="s">
        <v>1468</v>
      </c>
      <c r="C530" s="4" t="s">
        <v>1687</v>
      </c>
      <c r="E530" s="2">
        <v>3547106</v>
      </c>
      <c r="F530" s="2" t="s">
        <v>1468</v>
      </c>
      <c r="G530" s="2" t="s">
        <v>1687</v>
      </c>
      <c r="H530" s="4">
        <v>3547106</v>
      </c>
    </row>
    <row r="531" spans="1:8" x14ac:dyDescent="0.25">
      <c r="A531" s="4">
        <v>3547205</v>
      </c>
      <c r="B531" s="4" t="s">
        <v>1473</v>
      </c>
      <c r="C531" s="4" t="s">
        <v>1713</v>
      </c>
      <c r="E531" s="2">
        <v>3547502</v>
      </c>
      <c r="F531" s="2" t="s">
        <v>1469</v>
      </c>
      <c r="G531" s="2" t="s">
        <v>1757</v>
      </c>
      <c r="H531" s="4">
        <v>3547502</v>
      </c>
    </row>
    <row r="532" spans="1:8" x14ac:dyDescent="0.25">
      <c r="A532" s="4">
        <v>3547304</v>
      </c>
      <c r="B532" s="4" t="s">
        <v>1474</v>
      </c>
      <c r="C532" s="4" t="s">
        <v>1737</v>
      </c>
      <c r="E532" s="2">
        <v>3547403</v>
      </c>
      <c r="F532" s="2" t="s">
        <v>1470</v>
      </c>
      <c r="G532" s="2" t="s">
        <v>1713</v>
      </c>
      <c r="H532" s="4">
        <v>3547403</v>
      </c>
    </row>
    <row r="533" spans="1:8" x14ac:dyDescent="0.25">
      <c r="A533" s="4">
        <v>3547403</v>
      </c>
      <c r="B533" s="4" t="s">
        <v>1470</v>
      </c>
      <c r="C533" s="4" t="s">
        <v>1713</v>
      </c>
      <c r="E533" s="2">
        <v>3547601</v>
      </c>
      <c r="F533" s="2" t="s">
        <v>1471</v>
      </c>
      <c r="G533" s="2" t="s">
        <v>1757</v>
      </c>
      <c r="H533" s="4">
        <v>3547601</v>
      </c>
    </row>
    <row r="534" spans="1:8" x14ac:dyDescent="0.25">
      <c r="A534" s="4">
        <v>3547502</v>
      </c>
      <c r="B534" s="4" t="s">
        <v>1469</v>
      </c>
      <c r="C534" s="4" t="s">
        <v>1757</v>
      </c>
      <c r="E534" s="2">
        <v>3547650</v>
      </c>
      <c r="F534" s="2" t="s">
        <v>1472</v>
      </c>
      <c r="G534" s="2" t="s">
        <v>1713</v>
      </c>
      <c r="H534" s="4">
        <v>3547650</v>
      </c>
    </row>
    <row r="535" spans="1:8" x14ac:dyDescent="0.25">
      <c r="A535" s="4">
        <v>3547601</v>
      </c>
      <c r="B535" s="4" t="s">
        <v>1471</v>
      </c>
      <c r="C535" s="4" t="s">
        <v>1757</v>
      </c>
      <c r="E535" s="2">
        <v>3547205</v>
      </c>
      <c r="F535" s="2" t="s">
        <v>1473</v>
      </c>
      <c r="G535" s="2" t="s">
        <v>1713</v>
      </c>
      <c r="H535" s="4">
        <v>3547205</v>
      </c>
    </row>
    <row r="536" spans="1:8" x14ac:dyDescent="0.25">
      <c r="A536" s="4">
        <v>3547650</v>
      </c>
      <c r="B536" s="4" t="s">
        <v>1472</v>
      </c>
      <c r="C536" s="4" t="s">
        <v>1713</v>
      </c>
      <c r="E536" s="2">
        <v>3547304</v>
      </c>
      <c r="F536" s="2" t="s">
        <v>1474</v>
      </c>
      <c r="G536" s="2" t="s">
        <v>1737</v>
      </c>
      <c r="H536" s="4">
        <v>3547304</v>
      </c>
    </row>
    <row r="537" spans="1:8" x14ac:dyDescent="0.25">
      <c r="A537" s="4">
        <v>3547700</v>
      </c>
      <c r="B537" s="4" t="s">
        <v>1475</v>
      </c>
      <c r="C537" s="4" t="s">
        <v>1748</v>
      </c>
      <c r="E537" s="2">
        <v>3547700</v>
      </c>
      <c r="F537" s="2" t="s">
        <v>1475</v>
      </c>
      <c r="G537" s="2" t="s">
        <v>1748</v>
      </c>
      <c r="H537" s="4">
        <v>3547700</v>
      </c>
    </row>
    <row r="538" spans="1:8" x14ac:dyDescent="0.25">
      <c r="A538" s="4">
        <v>3547809</v>
      </c>
      <c r="B538" s="4" t="s">
        <v>1476</v>
      </c>
      <c r="C538" s="4" t="s">
        <v>1802</v>
      </c>
      <c r="E538" s="2">
        <v>3547809</v>
      </c>
      <c r="F538" s="2" t="s">
        <v>1476</v>
      </c>
      <c r="G538" s="2" t="s">
        <v>1802</v>
      </c>
      <c r="H538" s="4">
        <v>3547809</v>
      </c>
    </row>
    <row r="539" spans="1:8" x14ac:dyDescent="0.25">
      <c r="A539" s="4">
        <v>3547908</v>
      </c>
      <c r="B539" s="4" t="s">
        <v>1477</v>
      </c>
      <c r="C539" s="4" t="s">
        <v>1757</v>
      </c>
      <c r="E539" s="2">
        <v>3547908</v>
      </c>
      <c r="F539" s="2" t="s">
        <v>1477</v>
      </c>
      <c r="G539" s="2" t="s">
        <v>1757</v>
      </c>
      <c r="H539" s="4">
        <v>3547908</v>
      </c>
    </row>
    <row r="540" spans="1:8" x14ac:dyDescent="0.25">
      <c r="A540" s="4">
        <v>3548005</v>
      </c>
      <c r="B540" s="4" t="s">
        <v>1478</v>
      </c>
      <c r="C540" s="4" t="s">
        <v>1741</v>
      </c>
      <c r="E540" s="2">
        <v>3548005</v>
      </c>
      <c r="F540" s="2" t="s">
        <v>1478</v>
      </c>
      <c r="G540" s="2" t="s">
        <v>1741</v>
      </c>
      <c r="H540" s="4">
        <v>3548005</v>
      </c>
    </row>
    <row r="541" spans="1:8" x14ac:dyDescent="0.25">
      <c r="A541" s="4">
        <v>3548054</v>
      </c>
      <c r="B541" s="4" t="s">
        <v>1479</v>
      </c>
      <c r="C541" s="4" t="s">
        <v>1639</v>
      </c>
      <c r="E541" s="2">
        <v>3548054</v>
      </c>
      <c r="F541" s="2" t="s">
        <v>1479</v>
      </c>
      <c r="G541" s="2" t="s">
        <v>1639</v>
      </c>
      <c r="H541" s="4">
        <v>3548054</v>
      </c>
    </row>
    <row r="542" spans="1:8" x14ac:dyDescent="0.25">
      <c r="A542" s="4">
        <v>3548104</v>
      </c>
      <c r="B542" s="4" t="s">
        <v>1480</v>
      </c>
      <c r="C542" s="4" t="s">
        <v>1773</v>
      </c>
      <c r="E542" s="2">
        <v>3548104</v>
      </c>
      <c r="F542" s="2" t="s">
        <v>1480</v>
      </c>
      <c r="G542" s="2" t="s">
        <v>1773</v>
      </c>
      <c r="H542" s="4">
        <v>3548104</v>
      </c>
    </row>
    <row r="543" spans="1:8" x14ac:dyDescent="0.25">
      <c r="A543" s="4">
        <v>3548203</v>
      </c>
      <c r="B543" s="4" t="s">
        <v>1481</v>
      </c>
      <c r="C543" s="4" t="s">
        <v>1794</v>
      </c>
      <c r="E543" s="2">
        <v>3548203</v>
      </c>
      <c r="F543" s="2" t="s">
        <v>1481</v>
      </c>
      <c r="G543" s="2" t="s">
        <v>1794</v>
      </c>
      <c r="H543" s="4">
        <v>3548203</v>
      </c>
    </row>
    <row r="544" spans="1:8" x14ac:dyDescent="0.25">
      <c r="A544" s="4">
        <v>3548302</v>
      </c>
      <c r="B544" s="4" t="s">
        <v>1482</v>
      </c>
      <c r="C544" s="4" t="s">
        <v>1748</v>
      </c>
      <c r="E544" s="2">
        <v>3548302</v>
      </c>
      <c r="F544" s="2" t="s">
        <v>1482</v>
      </c>
      <c r="G544" s="2" t="s">
        <v>1748</v>
      </c>
      <c r="H544" s="4">
        <v>3548302</v>
      </c>
    </row>
    <row r="545" spans="1:8" x14ac:dyDescent="0.25">
      <c r="A545" s="4">
        <v>3548401</v>
      </c>
      <c r="B545" s="4" t="s">
        <v>1483</v>
      </c>
      <c r="C545" s="4" t="s">
        <v>1639</v>
      </c>
      <c r="E545" s="2">
        <v>3548401</v>
      </c>
      <c r="F545" s="2" t="s">
        <v>1483</v>
      </c>
      <c r="G545" s="2" t="s">
        <v>1639</v>
      </c>
      <c r="H545" s="4">
        <v>3548401</v>
      </c>
    </row>
    <row r="546" spans="1:8" x14ac:dyDescent="0.25">
      <c r="A546" s="4">
        <v>3548500</v>
      </c>
      <c r="B546" s="4" t="s">
        <v>1484</v>
      </c>
      <c r="C546" s="4" t="s">
        <v>1766</v>
      </c>
      <c r="E546" s="2">
        <v>3548500</v>
      </c>
      <c r="F546" s="2" t="s">
        <v>1484</v>
      </c>
      <c r="G546" s="2" t="s">
        <v>1766</v>
      </c>
      <c r="H546" s="4">
        <v>3548500</v>
      </c>
    </row>
    <row r="547" spans="1:8" x14ac:dyDescent="0.25">
      <c r="A547" s="4">
        <v>3548609</v>
      </c>
      <c r="B547" s="4" t="s">
        <v>1485</v>
      </c>
      <c r="C547" s="4" t="s">
        <v>1794</v>
      </c>
      <c r="E547" s="2">
        <v>3548609</v>
      </c>
      <c r="F547" s="2" t="s">
        <v>1485</v>
      </c>
      <c r="G547" s="2" t="s">
        <v>1794</v>
      </c>
      <c r="H547" s="4">
        <v>3548609</v>
      </c>
    </row>
    <row r="548" spans="1:8" x14ac:dyDescent="0.25">
      <c r="A548" s="4">
        <v>3548708</v>
      </c>
      <c r="B548" s="4" t="s">
        <v>1486</v>
      </c>
      <c r="C548" s="4" t="s">
        <v>1803</v>
      </c>
      <c r="E548" s="2">
        <v>3548708</v>
      </c>
      <c r="F548" s="2" t="s">
        <v>1486</v>
      </c>
      <c r="G548" s="2" t="s">
        <v>1803</v>
      </c>
      <c r="H548" s="4">
        <v>3548708</v>
      </c>
    </row>
    <row r="549" spans="1:8" x14ac:dyDescent="0.25">
      <c r="A549" s="4">
        <v>3548807</v>
      </c>
      <c r="B549" s="4" t="s">
        <v>1487</v>
      </c>
      <c r="C549" s="4" t="s">
        <v>1802</v>
      </c>
      <c r="E549" s="2">
        <v>3548807</v>
      </c>
      <c r="F549" s="2" t="s">
        <v>1487</v>
      </c>
      <c r="G549" s="2" t="s">
        <v>1802</v>
      </c>
      <c r="H549" s="4">
        <v>3548807</v>
      </c>
    </row>
    <row r="550" spans="1:8" x14ac:dyDescent="0.25">
      <c r="A550" s="4">
        <v>3548906</v>
      </c>
      <c r="B550" s="4" t="s">
        <v>1488</v>
      </c>
      <c r="C550" s="4" t="s">
        <v>1770</v>
      </c>
      <c r="E550" s="2">
        <v>3548906</v>
      </c>
      <c r="F550" s="2" t="s">
        <v>1488</v>
      </c>
      <c r="G550" s="2" t="s">
        <v>1770</v>
      </c>
      <c r="H550" s="4">
        <v>3548906</v>
      </c>
    </row>
    <row r="551" spans="1:8" x14ac:dyDescent="0.25">
      <c r="A551" s="4">
        <v>3549003</v>
      </c>
      <c r="B551" s="4" t="s">
        <v>1489</v>
      </c>
      <c r="C551" s="4" t="s">
        <v>1713</v>
      </c>
      <c r="E551" s="2">
        <v>3549003</v>
      </c>
      <c r="F551" s="2" t="s">
        <v>1489</v>
      </c>
      <c r="G551" s="2" t="s">
        <v>1713</v>
      </c>
      <c r="H551" s="4">
        <v>3549003</v>
      </c>
    </row>
    <row r="552" spans="1:8" x14ac:dyDescent="0.25">
      <c r="A552" s="4">
        <v>3549102</v>
      </c>
      <c r="B552" s="4" t="s">
        <v>1490</v>
      </c>
      <c r="C552" s="4" t="s">
        <v>1773</v>
      </c>
      <c r="E552" s="2">
        <v>3549102</v>
      </c>
      <c r="F552" s="2" t="s">
        <v>1490</v>
      </c>
      <c r="G552" s="2" t="s">
        <v>1773</v>
      </c>
      <c r="H552" s="4">
        <v>3549102</v>
      </c>
    </row>
    <row r="553" spans="1:8" x14ac:dyDescent="0.25">
      <c r="A553" s="4">
        <v>3549201</v>
      </c>
      <c r="B553" s="4" t="s">
        <v>1491</v>
      </c>
      <c r="C553" s="4" t="s">
        <v>1713</v>
      </c>
      <c r="E553" s="2">
        <v>3549201</v>
      </c>
      <c r="F553" s="2" t="s">
        <v>1491</v>
      </c>
      <c r="G553" s="2" t="s">
        <v>1713</v>
      </c>
      <c r="H553" s="4">
        <v>3549201</v>
      </c>
    </row>
    <row r="554" spans="1:8" x14ac:dyDescent="0.25">
      <c r="A554" s="4">
        <v>3549250</v>
      </c>
      <c r="B554" s="4" t="s">
        <v>1492</v>
      </c>
      <c r="C554" s="4" t="s">
        <v>1798</v>
      </c>
      <c r="E554" s="2">
        <v>3549250</v>
      </c>
      <c r="F554" s="2" t="s">
        <v>1492</v>
      </c>
      <c r="G554" s="2" t="s">
        <v>1798</v>
      </c>
      <c r="H554" s="4">
        <v>3549250</v>
      </c>
    </row>
    <row r="555" spans="1:8" x14ac:dyDescent="0.25">
      <c r="A555" s="4">
        <v>3549300</v>
      </c>
      <c r="B555" s="4" t="s">
        <v>1493</v>
      </c>
      <c r="C555" s="4" t="s">
        <v>1687</v>
      </c>
      <c r="E555" s="2">
        <v>3549300</v>
      </c>
      <c r="F555" s="2" t="s">
        <v>1493</v>
      </c>
      <c r="G555" s="2" t="s">
        <v>1687</v>
      </c>
      <c r="H555" s="4">
        <v>3549300</v>
      </c>
    </row>
    <row r="556" spans="1:8" x14ac:dyDescent="0.25">
      <c r="A556" s="4">
        <v>3549409</v>
      </c>
      <c r="B556" s="4" t="s">
        <v>1494</v>
      </c>
      <c r="C556" s="4" t="s">
        <v>1757</v>
      </c>
      <c r="E556" s="2">
        <v>3549409</v>
      </c>
      <c r="F556" s="2" t="s">
        <v>1494</v>
      </c>
      <c r="G556" s="2" t="s">
        <v>1757</v>
      </c>
      <c r="H556" s="4">
        <v>3549409</v>
      </c>
    </row>
    <row r="557" spans="1:8" x14ac:dyDescent="0.25">
      <c r="A557" s="4">
        <v>3549508</v>
      </c>
      <c r="B557" s="4" t="s">
        <v>1495</v>
      </c>
      <c r="C557" s="4" t="s">
        <v>1694</v>
      </c>
      <c r="E557" s="2">
        <v>3549508</v>
      </c>
      <c r="F557" s="2" t="s">
        <v>1495</v>
      </c>
      <c r="G557" s="2" t="s">
        <v>1694</v>
      </c>
      <c r="H557" s="4">
        <v>3549508</v>
      </c>
    </row>
    <row r="558" spans="1:8" x14ac:dyDescent="0.25">
      <c r="A558" s="4">
        <v>3549607</v>
      </c>
      <c r="B558" s="4" t="s">
        <v>1496</v>
      </c>
      <c r="C558" s="4" t="s">
        <v>1794</v>
      </c>
      <c r="E558" s="2">
        <v>3549607</v>
      </c>
      <c r="F558" s="2" t="s">
        <v>1496</v>
      </c>
      <c r="G558" s="2" t="s">
        <v>1794</v>
      </c>
      <c r="H558" s="4">
        <v>3549607</v>
      </c>
    </row>
    <row r="559" spans="1:8" x14ac:dyDescent="0.25">
      <c r="A559" s="4">
        <v>3549706</v>
      </c>
      <c r="B559" s="4" t="s">
        <v>1497</v>
      </c>
      <c r="C559" s="4" t="s">
        <v>1773</v>
      </c>
      <c r="E559" s="2">
        <v>3549706</v>
      </c>
      <c r="F559" s="2" t="s">
        <v>1497</v>
      </c>
      <c r="G559" s="2" t="s">
        <v>1773</v>
      </c>
      <c r="H559" s="4">
        <v>3549706</v>
      </c>
    </row>
    <row r="560" spans="1:8" x14ac:dyDescent="0.25">
      <c r="A560" s="4">
        <v>3549805</v>
      </c>
      <c r="B560" s="4" t="s">
        <v>1498</v>
      </c>
      <c r="C560" s="4" t="s">
        <v>1777</v>
      </c>
      <c r="E560" s="2">
        <v>3549805</v>
      </c>
      <c r="F560" s="2" t="s">
        <v>1498</v>
      </c>
      <c r="G560" s="2" t="s">
        <v>1777</v>
      </c>
      <c r="H560" s="4">
        <v>3549805</v>
      </c>
    </row>
    <row r="561" spans="1:8" x14ac:dyDescent="0.25">
      <c r="A561" s="4">
        <v>3549904</v>
      </c>
      <c r="B561" s="4" t="s">
        <v>1499</v>
      </c>
      <c r="C561" s="4" t="s">
        <v>1781</v>
      </c>
      <c r="E561" s="2">
        <v>3549904</v>
      </c>
      <c r="F561" s="2" t="s">
        <v>1499</v>
      </c>
      <c r="G561" s="2" t="s">
        <v>1781</v>
      </c>
      <c r="H561" s="4">
        <v>3549904</v>
      </c>
    </row>
    <row r="562" spans="1:8" x14ac:dyDescent="0.25">
      <c r="A562" s="4">
        <v>3549953</v>
      </c>
      <c r="B562" s="4" t="s">
        <v>1500</v>
      </c>
      <c r="C562" s="4" t="s">
        <v>1690</v>
      </c>
      <c r="E562" s="2">
        <v>3549953</v>
      </c>
      <c r="F562" s="2" t="s">
        <v>1500</v>
      </c>
      <c r="G562" s="2" t="s">
        <v>1690</v>
      </c>
      <c r="H562" s="4">
        <v>3549953</v>
      </c>
    </row>
    <row r="563" spans="1:8" x14ac:dyDescent="0.25">
      <c r="A563" s="4">
        <v>3550001</v>
      </c>
      <c r="B563" s="4" t="s">
        <v>1501</v>
      </c>
      <c r="C563" s="4" t="s">
        <v>1794</v>
      </c>
      <c r="E563" s="2">
        <v>3550001</v>
      </c>
      <c r="F563" s="2" t="s">
        <v>1501</v>
      </c>
      <c r="G563" s="2" t="s">
        <v>1794</v>
      </c>
      <c r="H563" s="4">
        <v>3550001</v>
      </c>
    </row>
    <row r="564" spans="1:8" x14ac:dyDescent="0.25">
      <c r="A564" s="4">
        <v>3550100</v>
      </c>
      <c r="B564" s="4" t="s">
        <v>1502</v>
      </c>
      <c r="C564" s="4" t="s">
        <v>1670</v>
      </c>
      <c r="E564" s="2">
        <v>3550100</v>
      </c>
      <c r="F564" s="2" t="s">
        <v>1502</v>
      </c>
      <c r="G564" s="2" t="s">
        <v>1670</v>
      </c>
      <c r="H564" s="4">
        <v>3550100</v>
      </c>
    </row>
    <row r="565" spans="1:8" x14ac:dyDescent="0.25">
      <c r="A565" s="4">
        <v>3550209</v>
      </c>
      <c r="B565" s="4" t="s">
        <v>1503</v>
      </c>
      <c r="C565" s="4" t="s">
        <v>1702</v>
      </c>
      <c r="E565" s="2">
        <v>3550209</v>
      </c>
      <c r="F565" s="2" t="s">
        <v>1503</v>
      </c>
      <c r="G565" s="2" t="s">
        <v>1702</v>
      </c>
      <c r="H565" s="4">
        <v>3550209</v>
      </c>
    </row>
    <row r="566" spans="1:8" x14ac:dyDescent="0.25">
      <c r="A566" s="4">
        <v>3550308</v>
      </c>
      <c r="B566" s="4" t="s">
        <v>1504</v>
      </c>
      <c r="C566" s="4" t="s">
        <v>1964</v>
      </c>
      <c r="E566" s="2">
        <v>3550308</v>
      </c>
      <c r="F566" s="2" t="s">
        <v>1504</v>
      </c>
      <c r="G566" s="2" t="s">
        <v>1926</v>
      </c>
      <c r="H566" s="4">
        <v>3550308</v>
      </c>
    </row>
    <row r="567" spans="1:8" x14ac:dyDescent="0.25">
      <c r="A567" s="4">
        <v>3550407</v>
      </c>
      <c r="B567" s="4" t="s">
        <v>1505</v>
      </c>
      <c r="C567" s="4" t="s">
        <v>1745</v>
      </c>
      <c r="E567" s="2">
        <v>3550407</v>
      </c>
      <c r="F567" s="2" t="s">
        <v>1505</v>
      </c>
      <c r="G567" s="2" t="s">
        <v>1745</v>
      </c>
      <c r="H567" s="4">
        <v>3550407</v>
      </c>
    </row>
    <row r="568" spans="1:8" x14ac:dyDescent="0.25">
      <c r="A568" s="4">
        <v>3550506</v>
      </c>
      <c r="B568" s="4" t="s">
        <v>1506</v>
      </c>
      <c r="C568" s="4" t="s">
        <v>1648</v>
      </c>
      <c r="E568" s="2">
        <v>3550506</v>
      </c>
      <c r="F568" s="2" t="s">
        <v>1506</v>
      </c>
      <c r="G568" s="2" t="s">
        <v>1648</v>
      </c>
      <c r="H568" s="4">
        <v>3550506</v>
      </c>
    </row>
    <row r="569" spans="1:8" x14ac:dyDescent="0.25">
      <c r="A569" s="4">
        <v>3550605</v>
      </c>
      <c r="B569" s="4" t="s">
        <v>1507</v>
      </c>
      <c r="C569" s="4" t="s">
        <v>1706</v>
      </c>
      <c r="E569" s="2">
        <v>3550605</v>
      </c>
      <c r="F569" s="2" t="s">
        <v>1507</v>
      </c>
      <c r="G569" s="2" t="s">
        <v>1706</v>
      </c>
      <c r="H569" s="4">
        <v>3550605</v>
      </c>
    </row>
    <row r="570" spans="1:8" x14ac:dyDescent="0.25">
      <c r="A570" s="4">
        <v>3550704</v>
      </c>
      <c r="B570" s="4" t="s">
        <v>1508</v>
      </c>
      <c r="C570" s="4" t="s">
        <v>1785</v>
      </c>
      <c r="E570" s="2">
        <v>3550704</v>
      </c>
      <c r="F570" s="2" t="s">
        <v>1508</v>
      </c>
      <c r="G570" s="2" t="s">
        <v>1785</v>
      </c>
      <c r="H570" s="4">
        <v>3550704</v>
      </c>
    </row>
    <row r="571" spans="1:8" x14ac:dyDescent="0.25">
      <c r="A571" s="4">
        <v>3550803</v>
      </c>
      <c r="B571" s="4" t="s">
        <v>1509</v>
      </c>
      <c r="C571" s="4" t="s">
        <v>1773</v>
      </c>
      <c r="E571" s="2">
        <v>3550803</v>
      </c>
      <c r="F571" s="2" t="s">
        <v>1509</v>
      </c>
      <c r="G571" s="2" t="s">
        <v>1773</v>
      </c>
      <c r="H571" s="4">
        <v>3550803</v>
      </c>
    </row>
    <row r="572" spans="1:8" x14ac:dyDescent="0.25">
      <c r="A572" s="4">
        <v>3550902</v>
      </c>
      <c r="B572" s="4" t="s">
        <v>1510</v>
      </c>
      <c r="C572" s="4" t="s">
        <v>1757</v>
      </c>
      <c r="E572" s="2">
        <v>3550902</v>
      </c>
      <c r="F572" s="2" t="s">
        <v>1510</v>
      </c>
      <c r="G572" s="2" t="s">
        <v>1757</v>
      </c>
      <c r="H572" s="4">
        <v>3550902</v>
      </c>
    </row>
    <row r="573" spans="1:8" x14ac:dyDescent="0.25">
      <c r="A573" s="4">
        <v>3551009</v>
      </c>
      <c r="B573" s="4" t="s">
        <v>1511</v>
      </c>
      <c r="C573" s="4" t="s">
        <v>1766</v>
      </c>
      <c r="E573" s="2">
        <v>3551009</v>
      </c>
      <c r="F573" s="2" t="s">
        <v>1511</v>
      </c>
      <c r="G573" s="2" t="s">
        <v>1766</v>
      </c>
      <c r="H573" s="4">
        <v>3551009</v>
      </c>
    </row>
    <row r="574" spans="1:8" x14ac:dyDescent="0.25">
      <c r="A574" s="4">
        <v>3551108</v>
      </c>
      <c r="B574" s="4" t="s">
        <v>1512</v>
      </c>
      <c r="C574" s="4" t="s">
        <v>1702</v>
      </c>
      <c r="E574" s="2">
        <v>3551108</v>
      </c>
      <c r="F574" s="2" t="s">
        <v>1512</v>
      </c>
      <c r="G574" s="2" t="s">
        <v>1702</v>
      </c>
      <c r="H574" s="4">
        <v>3551108</v>
      </c>
    </row>
    <row r="575" spans="1:8" x14ac:dyDescent="0.25">
      <c r="A575" s="4">
        <v>3551207</v>
      </c>
      <c r="B575" s="4" t="s">
        <v>1513</v>
      </c>
      <c r="C575" s="4" t="s">
        <v>1656</v>
      </c>
      <c r="E575" s="2">
        <v>3551207</v>
      </c>
      <c r="F575" s="2" t="s">
        <v>1513</v>
      </c>
      <c r="G575" s="2" t="s">
        <v>1656</v>
      </c>
      <c r="H575" s="4">
        <v>3551207</v>
      </c>
    </row>
    <row r="576" spans="1:8" x14ac:dyDescent="0.25">
      <c r="A576" s="4">
        <v>3551306</v>
      </c>
      <c r="B576" s="4" t="s">
        <v>1514</v>
      </c>
      <c r="C576" s="4" t="s">
        <v>1798</v>
      </c>
      <c r="E576" s="2">
        <v>3551306</v>
      </c>
      <c r="F576" s="2" t="s">
        <v>1514</v>
      </c>
      <c r="G576" s="2" t="s">
        <v>1798</v>
      </c>
      <c r="H576" s="4">
        <v>3551306</v>
      </c>
    </row>
    <row r="577" spans="1:8" x14ac:dyDescent="0.25">
      <c r="A577" s="4">
        <v>3551405</v>
      </c>
      <c r="B577" s="4" t="s">
        <v>1515</v>
      </c>
      <c r="C577" s="4" t="s">
        <v>1757</v>
      </c>
      <c r="E577" s="2">
        <v>3551405</v>
      </c>
      <c r="F577" s="2" t="s">
        <v>1515</v>
      </c>
      <c r="G577" s="2" t="s">
        <v>1757</v>
      </c>
      <c r="H577" s="4">
        <v>3551405</v>
      </c>
    </row>
    <row r="578" spans="1:8" x14ac:dyDescent="0.25">
      <c r="A578" s="4">
        <v>3551504</v>
      </c>
      <c r="B578" s="4" t="s">
        <v>1517</v>
      </c>
      <c r="C578" s="4" t="s">
        <v>1757</v>
      </c>
      <c r="E578" s="2">
        <v>3551603</v>
      </c>
      <c r="F578" s="2" t="s">
        <v>1516</v>
      </c>
      <c r="G578" s="2" t="s">
        <v>1733</v>
      </c>
      <c r="H578" s="4">
        <v>3551603</v>
      </c>
    </row>
    <row r="579" spans="1:8" x14ac:dyDescent="0.25">
      <c r="A579" s="4">
        <v>3551603</v>
      </c>
      <c r="B579" s="4" t="s">
        <v>1516</v>
      </c>
      <c r="C579" s="4" t="s">
        <v>1733</v>
      </c>
      <c r="E579" s="2">
        <v>3551504</v>
      </c>
      <c r="F579" s="2" t="s">
        <v>1517</v>
      </c>
      <c r="G579" s="2" t="s">
        <v>1757</v>
      </c>
      <c r="H579" s="4">
        <v>3551504</v>
      </c>
    </row>
    <row r="580" spans="1:8" x14ac:dyDescent="0.25">
      <c r="A580" s="4">
        <v>3551702</v>
      </c>
      <c r="B580" s="4" t="s">
        <v>1518</v>
      </c>
      <c r="C580" s="4" t="s">
        <v>1757</v>
      </c>
      <c r="E580" s="2">
        <v>3551702</v>
      </c>
      <c r="F580" s="2" t="s">
        <v>1518</v>
      </c>
      <c r="G580" s="2" t="s">
        <v>1757</v>
      </c>
      <c r="H580" s="4">
        <v>3551702</v>
      </c>
    </row>
    <row r="581" spans="1:8" x14ac:dyDescent="0.25">
      <c r="A581" s="4">
        <v>3551801</v>
      </c>
      <c r="B581" s="4" t="s">
        <v>1519</v>
      </c>
      <c r="C581" s="4" t="s">
        <v>1752</v>
      </c>
      <c r="E581" s="2">
        <v>3551801</v>
      </c>
      <c r="F581" s="2" t="s">
        <v>1519</v>
      </c>
      <c r="G581" s="2" t="s">
        <v>1752</v>
      </c>
      <c r="H581" s="4">
        <v>3551801</v>
      </c>
    </row>
    <row r="582" spans="1:8" x14ac:dyDescent="0.25">
      <c r="A582" s="4">
        <v>3551900</v>
      </c>
      <c r="B582" s="4" t="s">
        <v>1520</v>
      </c>
      <c r="C582" s="4" t="s">
        <v>1660</v>
      </c>
      <c r="E582" s="2">
        <v>3551900</v>
      </c>
      <c r="F582" s="2" t="s">
        <v>1520</v>
      </c>
      <c r="G582" s="2" t="s">
        <v>1660</v>
      </c>
      <c r="H582" s="4">
        <v>3551900</v>
      </c>
    </row>
    <row r="583" spans="1:8" x14ac:dyDescent="0.25">
      <c r="A583" s="4">
        <v>3552007</v>
      </c>
      <c r="B583" s="4" t="s">
        <v>1521</v>
      </c>
      <c r="C583" s="4" t="s">
        <v>1794</v>
      </c>
      <c r="E583" s="2">
        <v>3552007</v>
      </c>
      <c r="F583" s="2" t="s">
        <v>1521</v>
      </c>
      <c r="G583" s="2" t="s">
        <v>1794</v>
      </c>
      <c r="H583" s="4">
        <v>3552007</v>
      </c>
    </row>
    <row r="584" spans="1:8" x14ac:dyDescent="0.25">
      <c r="A584" s="4">
        <v>3552106</v>
      </c>
      <c r="B584" s="4" t="s">
        <v>1522</v>
      </c>
      <c r="C584" s="4" t="s">
        <v>1733</v>
      </c>
      <c r="E584" s="2">
        <v>3552106</v>
      </c>
      <c r="F584" s="2" t="s">
        <v>1522</v>
      </c>
      <c r="G584" s="2" t="s">
        <v>1733</v>
      </c>
      <c r="H584" s="4">
        <v>3552106</v>
      </c>
    </row>
    <row r="585" spans="1:8" x14ac:dyDescent="0.25">
      <c r="A585" s="4">
        <v>3552205</v>
      </c>
      <c r="B585" s="4" t="s">
        <v>1523</v>
      </c>
      <c r="C585" s="4" t="s">
        <v>1789</v>
      </c>
      <c r="E585" s="2">
        <v>3552205</v>
      </c>
      <c r="F585" s="2" t="s">
        <v>1523</v>
      </c>
      <c r="G585" s="2" t="s">
        <v>1789</v>
      </c>
      <c r="H585" s="4">
        <v>3552205</v>
      </c>
    </row>
    <row r="586" spans="1:8" x14ac:dyDescent="0.25">
      <c r="A586" s="4">
        <v>3552304</v>
      </c>
      <c r="B586" s="4" t="s">
        <v>1524</v>
      </c>
      <c r="C586" s="4" t="s">
        <v>1713</v>
      </c>
      <c r="E586" s="2">
        <v>3552304</v>
      </c>
      <c r="F586" s="2" t="s">
        <v>1524</v>
      </c>
      <c r="G586" s="2" t="s">
        <v>1713</v>
      </c>
      <c r="H586" s="4">
        <v>3552304</v>
      </c>
    </row>
    <row r="587" spans="1:8" x14ac:dyDescent="0.25">
      <c r="A587" s="4">
        <v>3552403</v>
      </c>
      <c r="B587" s="4" t="s">
        <v>1525</v>
      </c>
      <c r="C587" s="4" t="s">
        <v>1635</v>
      </c>
      <c r="E587" s="2">
        <v>3552403</v>
      </c>
      <c r="F587" s="2" t="s">
        <v>1525</v>
      </c>
      <c r="G587" s="2" t="s">
        <v>1635</v>
      </c>
      <c r="H587" s="4">
        <v>3552403</v>
      </c>
    </row>
    <row r="588" spans="1:8" x14ac:dyDescent="0.25">
      <c r="A588" s="4">
        <v>3552502</v>
      </c>
      <c r="B588" s="4" t="s">
        <v>1527</v>
      </c>
      <c r="C588" s="4" t="s">
        <v>1730</v>
      </c>
      <c r="E588" s="2">
        <v>3552551</v>
      </c>
      <c r="F588" s="2" t="s">
        <v>1526</v>
      </c>
      <c r="G588" s="2" t="s">
        <v>1713</v>
      </c>
      <c r="H588" s="4">
        <v>3552551</v>
      </c>
    </row>
    <row r="589" spans="1:8" x14ac:dyDescent="0.25">
      <c r="A589" s="4">
        <v>3552551</v>
      </c>
      <c r="B589" s="4" t="s">
        <v>1526</v>
      </c>
      <c r="C589" s="4" t="s">
        <v>1713</v>
      </c>
      <c r="E589" s="2">
        <v>3552502</v>
      </c>
      <c r="F589" s="2" t="s">
        <v>1527</v>
      </c>
      <c r="G589" s="2" t="s">
        <v>1730</v>
      </c>
      <c r="H589" s="4">
        <v>3552502</v>
      </c>
    </row>
    <row r="590" spans="1:8" x14ac:dyDescent="0.25">
      <c r="A590" s="4">
        <v>3552601</v>
      </c>
      <c r="B590" s="4" t="s">
        <v>1528</v>
      </c>
      <c r="C590" s="4" t="s">
        <v>1777</v>
      </c>
      <c r="E590" s="2">
        <v>3552601</v>
      </c>
      <c r="F590" s="2" t="s">
        <v>1528</v>
      </c>
      <c r="G590" s="2" t="s">
        <v>1777</v>
      </c>
      <c r="H590" s="4">
        <v>3552601</v>
      </c>
    </row>
    <row r="591" spans="1:8" x14ac:dyDescent="0.25">
      <c r="A591" s="4">
        <v>3552700</v>
      </c>
      <c r="B591" s="4" t="s">
        <v>1529</v>
      </c>
      <c r="C591" s="4" t="s">
        <v>1644</v>
      </c>
      <c r="E591" s="2">
        <v>3552700</v>
      </c>
      <c r="F591" s="2" t="s">
        <v>1529</v>
      </c>
      <c r="G591" s="2" t="s">
        <v>1644</v>
      </c>
      <c r="H591" s="4">
        <v>3552700</v>
      </c>
    </row>
    <row r="592" spans="1:8" x14ac:dyDescent="0.25">
      <c r="A592" s="4">
        <v>3552809</v>
      </c>
      <c r="B592" s="4" t="s">
        <v>1530</v>
      </c>
      <c r="C592" s="4" t="s">
        <v>1690</v>
      </c>
      <c r="E592" s="2">
        <v>3552809</v>
      </c>
      <c r="F592" s="2" t="s">
        <v>1530</v>
      </c>
      <c r="G592" s="2" t="s">
        <v>1690</v>
      </c>
      <c r="H592" s="4">
        <v>3552809</v>
      </c>
    </row>
    <row r="593" spans="1:8" x14ac:dyDescent="0.25">
      <c r="A593" s="4">
        <v>3552908</v>
      </c>
      <c r="B593" s="4" t="s">
        <v>1531</v>
      </c>
      <c r="C593" s="4" t="s">
        <v>1748</v>
      </c>
      <c r="E593" s="2">
        <v>3552908</v>
      </c>
      <c r="F593" s="2" t="s">
        <v>1531</v>
      </c>
      <c r="G593" s="2" t="s">
        <v>1748</v>
      </c>
      <c r="H593" s="4">
        <v>3552908</v>
      </c>
    </row>
    <row r="594" spans="1:8" x14ac:dyDescent="0.25">
      <c r="A594" s="4">
        <v>3553005</v>
      </c>
      <c r="B594" s="4" t="s">
        <v>1532</v>
      </c>
      <c r="C594" s="4" t="s">
        <v>1656</v>
      </c>
      <c r="E594" s="2">
        <v>3553005</v>
      </c>
      <c r="F594" s="2" t="s">
        <v>1532</v>
      </c>
      <c r="G594" s="2" t="s">
        <v>1656</v>
      </c>
      <c r="H594" s="4">
        <v>3553005</v>
      </c>
    </row>
    <row r="595" spans="1:8" x14ac:dyDescent="0.25">
      <c r="A595" s="4">
        <v>3553104</v>
      </c>
      <c r="B595" s="4" t="s">
        <v>1533</v>
      </c>
      <c r="C595" s="4" t="s">
        <v>1709</v>
      </c>
      <c r="E595" s="2">
        <v>3553104</v>
      </c>
      <c r="F595" s="2" t="s">
        <v>1533</v>
      </c>
      <c r="G595" s="2" t="s">
        <v>1709</v>
      </c>
      <c r="H595" s="4">
        <v>3553104</v>
      </c>
    </row>
    <row r="596" spans="1:8" x14ac:dyDescent="0.25">
      <c r="A596" s="4">
        <v>3553203</v>
      </c>
      <c r="B596" s="4" t="s">
        <v>1534</v>
      </c>
      <c r="C596" s="4" t="s">
        <v>1709</v>
      </c>
      <c r="E596" s="2">
        <v>3553203</v>
      </c>
      <c r="F596" s="2" t="s">
        <v>1534</v>
      </c>
      <c r="G596" s="2" t="s">
        <v>1709</v>
      </c>
      <c r="H596" s="4">
        <v>3553203</v>
      </c>
    </row>
    <row r="597" spans="1:8" x14ac:dyDescent="0.25">
      <c r="A597" s="4">
        <v>3553302</v>
      </c>
      <c r="B597" s="4" t="s">
        <v>1535</v>
      </c>
      <c r="C597" s="4" t="s">
        <v>1773</v>
      </c>
      <c r="E597" s="2">
        <v>3553302</v>
      </c>
      <c r="F597" s="2" t="s">
        <v>1535</v>
      </c>
      <c r="G597" s="2" t="s">
        <v>1773</v>
      </c>
      <c r="H597" s="4">
        <v>3553302</v>
      </c>
    </row>
    <row r="598" spans="1:8" x14ac:dyDescent="0.25">
      <c r="A598" s="4">
        <v>3553401</v>
      </c>
      <c r="B598" s="4" t="s">
        <v>1536</v>
      </c>
      <c r="C598" s="4" t="s">
        <v>1798</v>
      </c>
      <c r="E598" s="2">
        <v>3553401</v>
      </c>
      <c r="F598" s="2" t="s">
        <v>1536</v>
      </c>
      <c r="G598" s="2" t="s">
        <v>1798</v>
      </c>
      <c r="H598" s="4">
        <v>3553401</v>
      </c>
    </row>
    <row r="599" spans="1:8" x14ac:dyDescent="0.25">
      <c r="A599" s="4">
        <v>3553500</v>
      </c>
      <c r="B599" s="4" t="s">
        <v>1537</v>
      </c>
      <c r="C599" s="4" t="s">
        <v>1789</v>
      </c>
      <c r="E599" s="2">
        <v>3553500</v>
      </c>
      <c r="F599" s="2" t="s">
        <v>1537</v>
      </c>
      <c r="G599" s="2" t="s">
        <v>1789</v>
      </c>
      <c r="H599" s="4">
        <v>3553500</v>
      </c>
    </row>
    <row r="600" spans="1:8" x14ac:dyDescent="0.25">
      <c r="A600" s="4">
        <v>3553609</v>
      </c>
      <c r="B600" s="4" t="s">
        <v>1538</v>
      </c>
      <c r="C600" s="4" t="s">
        <v>1773</v>
      </c>
      <c r="E600" s="2">
        <v>3553609</v>
      </c>
      <c r="F600" s="2" t="s">
        <v>1538</v>
      </c>
      <c r="G600" s="2" t="s">
        <v>1773</v>
      </c>
      <c r="H600" s="4">
        <v>3553609</v>
      </c>
    </row>
    <row r="601" spans="1:8" x14ac:dyDescent="0.25">
      <c r="A601" s="4">
        <v>3553658</v>
      </c>
      <c r="B601" s="4" t="s">
        <v>1539</v>
      </c>
      <c r="C601" s="4" t="s">
        <v>1709</v>
      </c>
      <c r="E601" s="2">
        <v>3553658</v>
      </c>
      <c r="F601" s="2" t="s">
        <v>1539</v>
      </c>
      <c r="G601" s="2" t="s">
        <v>1709</v>
      </c>
      <c r="H601" s="4">
        <v>3553658</v>
      </c>
    </row>
    <row r="602" spans="1:8" x14ac:dyDescent="0.25">
      <c r="A602" s="4">
        <v>3553708</v>
      </c>
      <c r="B602" s="4" t="s">
        <v>1540</v>
      </c>
      <c r="C602" s="4" t="s">
        <v>1709</v>
      </c>
      <c r="E602" s="2">
        <v>3553708</v>
      </c>
      <c r="F602" s="2" t="s">
        <v>1540</v>
      </c>
      <c r="G602" s="2" t="s">
        <v>1709</v>
      </c>
      <c r="H602" s="4">
        <v>3553708</v>
      </c>
    </row>
    <row r="603" spans="1:8" x14ac:dyDescent="0.25">
      <c r="A603" s="4">
        <v>3553807</v>
      </c>
      <c r="B603" s="4" t="s">
        <v>1541</v>
      </c>
      <c r="C603" s="4" t="s">
        <v>1656</v>
      </c>
      <c r="E603" s="2">
        <v>3553807</v>
      </c>
      <c r="F603" s="2" t="s">
        <v>1541</v>
      </c>
      <c r="G603" s="2" t="s">
        <v>1656</v>
      </c>
      <c r="H603" s="4">
        <v>3553807</v>
      </c>
    </row>
    <row r="604" spans="1:8" x14ac:dyDescent="0.25">
      <c r="A604" s="4">
        <v>3553856</v>
      </c>
      <c r="B604" s="4" t="s">
        <v>1542</v>
      </c>
      <c r="C604" s="4" t="s">
        <v>1678</v>
      </c>
      <c r="E604" s="2">
        <v>3553856</v>
      </c>
      <c r="F604" s="2" t="s">
        <v>1542</v>
      </c>
      <c r="G604" s="2" t="s">
        <v>1678</v>
      </c>
      <c r="H604" s="4">
        <v>3553856</v>
      </c>
    </row>
    <row r="605" spans="1:8" x14ac:dyDescent="0.25">
      <c r="A605" s="4">
        <v>3553906</v>
      </c>
      <c r="B605" s="4" t="s">
        <v>1543</v>
      </c>
      <c r="C605" s="4" t="s">
        <v>1748</v>
      </c>
      <c r="E605" s="2">
        <v>3553906</v>
      </c>
      <c r="F605" s="2" t="s">
        <v>1543</v>
      </c>
      <c r="G605" s="2" t="s">
        <v>1748</v>
      </c>
      <c r="H605" s="4">
        <v>3553906</v>
      </c>
    </row>
    <row r="606" spans="1:8" x14ac:dyDescent="0.25">
      <c r="A606" s="4">
        <v>3553955</v>
      </c>
      <c r="B606" s="4" t="s">
        <v>1544</v>
      </c>
      <c r="C606" s="4" t="s">
        <v>1648</v>
      </c>
      <c r="E606" s="2">
        <v>3553955</v>
      </c>
      <c r="F606" s="2" t="s">
        <v>1544</v>
      </c>
      <c r="G606" s="2" t="s">
        <v>1648</v>
      </c>
      <c r="H606" s="4">
        <v>3553955</v>
      </c>
    </row>
    <row r="607" spans="1:8" x14ac:dyDescent="0.25">
      <c r="A607" s="4">
        <v>3554003</v>
      </c>
      <c r="B607" s="4" t="s">
        <v>1545</v>
      </c>
      <c r="C607" s="4" t="s">
        <v>1789</v>
      </c>
      <c r="E607" s="2">
        <v>3554003</v>
      </c>
      <c r="F607" s="2" t="s">
        <v>1545</v>
      </c>
      <c r="G607" s="2" t="s">
        <v>1789</v>
      </c>
      <c r="H607" s="4">
        <v>3554003</v>
      </c>
    </row>
    <row r="608" spans="1:8" x14ac:dyDescent="0.25">
      <c r="A608" s="4">
        <v>3554102</v>
      </c>
      <c r="B608" s="4" t="s">
        <v>1546</v>
      </c>
      <c r="C608" s="4" t="s">
        <v>1794</v>
      </c>
      <c r="E608" s="2">
        <v>3554102</v>
      </c>
      <c r="F608" s="2" t="s">
        <v>1546</v>
      </c>
      <c r="G608" s="2" t="s">
        <v>1794</v>
      </c>
      <c r="H608" s="4">
        <v>3554102</v>
      </c>
    </row>
    <row r="609" spans="1:8" x14ac:dyDescent="0.25">
      <c r="A609" s="4">
        <v>3554201</v>
      </c>
      <c r="B609" s="4" t="s">
        <v>1547</v>
      </c>
      <c r="C609" s="4" t="s">
        <v>1656</v>
      </c>
      <c r="E609" s="2">
        <v>3554201</v>
      </c>
      <c r="F609" s="2" t="s">
        <v>1547</v>
      </c>
      <c r="G609" s="2" t="s">
        <v>1656</v>
      </c>
      <c r="H609" s="4">
        <v>3554201</v>
      </c>
    </row>
    <row r="610" spans="1:8" x14ac:dyDescent="0.25">
      <c r="A610" s="4">
        <v>3554300</v>
      </c>
      <c r="B610" s="4" t="s">
        <v>1548</v>
      </c>
      <c r="C610" s="4" t="s">
        <v>1748</v>
      </c>
      <c r="E610" s="2">
        <v>3554300</v>
      </c>
      <c r="F610" s="2" t="s">
        <v>1548</v>
      </c>
      <c r="G610" s="2" t="s">
        <v>1748</v>
      </c>
      <c r="H610" s="4">
        <v>3554300</v>
      </c>
    </row>
    <row r="611" spans="1:8" x14ac:dyDescent="0.25">
      <c r="A611" s="4">
        <v>3554409</v>
      </c>
      <c r="B611" s="4" t="s">
        <v>1549</v>
      </c>
      <c r="C611" s="4" t="s">
        <v>1660</v>
      </c>
      <c r="E611" s="2">
        <v>3554409</v>
      </c>
      <c r="F611" s="2" t="s">
        <v>1549</v>
      </c>
      <c r="G611" s="2" t="s">
        <v>1660</v>
      </c>
      <c r="H611" s="4">
        <v>3554409</v>
      </c>
    </row>
    <row r="612" spans="1:8" x14ac:dyDescent="0.25">
      <c r="A612" s="4">
        <v>3554508</v>
      </c>
      <c r="B612" s="4" t="s">
        <v>1550</v>
      </c>
      <c r="C612" s="4" t="s">
        <v>1706</v>
      </c>
      <c r="E612" s="2">
        <v>3554508</v>
      </c>
      <c r="F612" s="2" t="s">
        <v>1550</v>
      </c>
      <c r="G612" s="2" t="s">
        <v>1706</v>
      </c>
      <c r="H612" s="4">
        <v>3554508</v>
      </c>
    </row>
    <row r="613" spans="1:8" x14ac:dyDescent="0.25">
      <c r="A613" s="4">
        <v>3554607</v>
      </c>
      <c r="B613" s="4" t="s">
        <v>1551</v>
      </c>
      <c r="C613" s="4" t="s">
        <v>1648</v>
      </c>
      <c r="E613" s="2">
        <v>3554607</v>
      </c>
      <c r="F613" s="2" t="s">
        <v>1551</v>
      </c>
      <c r="G613" s="2" t="s">
        <v>1648</v>
      </c>
      <c r="H613" s="4">
        <v>3554607</v>
      </c>
    </row>
    <row r="614" spans="1:8" x14ac:dyDescent="0.25">
      <c r="A614" s="4">
        <v>3554656</v>
      </c>
      <c r="B614" s="4" t="s">
        <v>1552</v>
      </c>
      <c r="C614" s="4" t="s">
        <v>1670</v>
      </c>
      <c r="E614" s="2">
        <v>3554656</v>
      </c>
      <c r="F614" s="2" t="s">
        <v>1552</v>
      </c>
      <c r="G614" s="2" t="s">
        <v>1670</v>
      </c>
      <c r="H614" s="4">
        <v>3554656</v>
      </c>
    </row>
    <row r="615" spans="1:8" x14ac:dyDescent="0.25">
      <c r="A615" s="4">
        <v>3554706</v>
      </c>
      <c r="B615" s="4" t="s">
        <v>1553</v>
      </c>
      <c r="C615" s="4" t="s">
        <v>1770</v>
      </c>
      <c r="E615" s="2">
        <v>3554706</v>
      </c>
      <c r="F615" s="2" t="s">
        <v>1553</v>
      </c>
      <c r="G615" s="2" t="s">
        <v>1770</v>
      </c>
      <c r="H615" s="4">
        <v>3554706</v>
      </c>
    </row>
    <row r="616" spans="1:8" x14ac:dyDescent="0.25">
      <c r="A616" s="4">
        <v>3554755</v>
      </c>
      <c r="B616" s="4" t="s">
        <v>1554</v>
      </c>
      <c r="C616" s="4" t="s">
        <v>1644</v>
      </c>
      <c r="E616" s="2">
        <v>3554755</v>
      </c>
      <c r="F616" s="2" t="s">
        <v>1554</v>
      </c>
      <c r="G616" s="2" t="s">
        <v>1644</v>
      </c>
      <c r="H616" s="4">
        <v>3554755</v>
      </c>
    </row>
    <row r="617" spans="1:8" x14ac:dyDescent="0.25">
      <c r="A617" s="4">
        <v>3554805</v>
      </c>
      <c r="B617" s="4" t="s">
        <v>1555</v>
      </c>
      <c r="C617" s="4" t="s">
        <v>1794</v>
      </c>
      <c r="E617" s="2">
        <v>3554805</v>
      </c>
      <c r="F617" s="2" t="s">
        <v>1555</v>
      </c>
      <c r="G617" s="2" t="s">
        <v>1794</v>
      </c>
      <c r="H617" s="4">
        <v>3554805</v>
      </c>
    </row>
    <row r="618" spans="1:8" x14ac:dyDescent="0.25">
      <c r="A618" s="4">
        <v>3554904</v>
      </c>
      <c r="B618" s="4" t="s">
        <v>1556</v>
      </c>
      <c r="C618" s="4" t="s">
        <v>1713</v>
      </c>
      <c r="E618" s="2">
        <v>3554904</v>
      </c>
      <c r="F618" s="2" t="s">
        <v>1556</v>
      </c>
      <c r="G618" s="2" t="s">
        <v>1713</v>
      </c>
      <c r="H618" s="4">
        <v>3554904</v>
      </c>
    </row>
    <row r="619" spans="1:8" x14ac:dyDescent="0.25">
      <c r="A619" s="4">
        <v>3554953</v>
      </c>
      <c r="B619" s="4" t="s">
        <v>1557</v>
      </c>
      <c r="C619" s="4" t="s">
        <v>1652</v>
      </c>
      <c r="E619" s="2">
        <v>3554953</v>
      </c>
      <c r="F619" s="2" t="s">
        <v>1557</v>
      </c>
      <c r="G619" s="2" t="s">
        <v>1652</v>
      </c>
      <c r="H619" s="4">
        <v>3554953</v>
      </c>
    </row>
    <row r="620" spans="1:8" x14ac:dyDescent="0.25">
      <c r="A620" s="4">
        <v>3555000</v>
      </c>
      <c r="B620" s="4" t="s">
        <v>1558</v>
      </c>
      <c r="C620" s="4" t="s">
        <v>1726</v>
      </c>
      <c r="E620" s="2">
        <v>3555000</v>
      </c>
      <c r="F620" s="2" t="s">
        <v>1558</v>
      </c>
      <c r="G620" s="2" t="s">
        <v>1726</v>
      </c>
      <c r="H620" s="4">
        <v>3555000</v>
      </c>
    </row>
    <row r="621" spans="1:8" x14ac:dyDescent="0.25">
      <c r="A621" s="4">
        <v>3555109</v>
      </c>
      <c r="B621" s="4" t="s">
        <v>1559</v>
      </c>
      <c r="C621" s="4" t="s">
        <v>1687</v>
      </c>
      <c r="E621" s="2">
        <v>3555109</v>
      </c>
      <c r="F621" s="2" t="s">
        <v>1559</v>
      </c>
      <c r="G621" s="2" t="s">
        <v>1687</v>
      </c>
      <c r="H621" s="4">
        <v>3555109</v>
      </c>
    </row>
    <row r="622" spans="1:8" x14ac:dyDescent="0.25">
      <c r="A622" s="4">
        <v>3555208</v>
      </c>
      <c r="B622" s="4" t="s">
        <v>1560</v>
      </c>
      <c r="C622" s="4" t="s">
        <v>1639</v>
      </c>
      <c r="E622" s="2">
        <v>3555208</v>
      </c>
      <c r="F622" s="2" t="s">
        <v>1560</v>
      </c>
      <c r="G622" s="2" t="s">
        <v>1639</v>
      </c>
      <c r="H622" s="4">
        <v>3555208</v>
      </c>
    </row>
    <row r="623" spans="1:8" x14ac:dyDescent="0.25">
      <c r="A623" s="4">
        <v>3555307</v>
      </c>
      <c r="B623" s="4" t="s">
        <v>1561</v>
      </c>
      <c r="C623" s="4" t="s">
        <v>1713</v>
      </c>
      <c r="E623" s="2">
        <v>3555307</v>
      </c>
      <c r="F623" s="2" t="s">
        <v>1561</v>
      </c>
      <c r="G623" s="2" t="s">
        <v>1713</v>
      </c>
      <c r="H623" s="4">
        <v>3555307</v>
      </c>
    </row>
    <row r="624" spans="1:8" x14ac:dyDescent="0.25">
      <c r="A624" s="4">
        <v>3555356</v>
      </c>
      <c r="B624" s="4" t="s">
        <v>1562</v>
      </c>
      <c r="C624" s="4" t="s">
        <v>1777</v>
      </c>
      <c r="E624" s="2">
        <v>3555356</v>
      </c>
      <c r="F624" s="2" t="s">
        <v>1562</v>
      </c>
      <c r="G624" s="2" t="s">
        <v>1777</v>
      </c>
      <c r="H624" s="4">
        <v>3555356</v>
      </c>
    </row>
    <row r="625" spans="1:8" x14ac:dyDescent="0.25">
      <c r="A625" s="4">
        <v>3555406</v>
      </c>
      <c r="B625" s="4" t="s">
        <v>1563</v>
      </c>
      <c r="C625" s="4" t="s">
        <v>1785</v>
      </c>
      <c r="E625" s="2">
        <v>3555406</v>
      </c>
      <c r="F625" s="2" t="s">
        <v>1563</v>
      </c>
      <c r="G625" s="2" t="s">
        <v>1785</v>
      </c>
      <c r="H625" s="4">
        <v>3555406</v>
      </c>
    </row>
    <row r="626" spans="1:8" x14ac:dyDescent="0.25">
      <c r="A626" s="4">
        <v>3555505</v>
      </c>
      <c r="B626" s="4" t="s">
        <v>1564</v>
      </c>
      <c r="C626" s="4" t="s">
        <v>1665</v>
      </c>
      <c r="E626" s="2">
        <v>3555505</v>
      </c>
      <c r="F626" s="2" t="s">
        <v>1564</v>
      </c>
      <c r="G626" s="2" t="s">
        <v>1665</v>
      </c>
      <c r="H626" s="4">
        <v>3555505</v>
      </c>
    </row>
    <row r="627" spans="1:8" x14ac:dyDescent="0.25">
      <c r="A627" s="4">
        <v>3555604</v>
      </c>
      <c r="B627" s="4" t="s">
        <v>1565</v>
      </c>
      <c r="C627" s="4" t="s">
        <v>1777</v>
      </c>
      <c r="E627" s="2">
        <v>3555604</v>
      </c>
      <c r="F627" s="2" t="s">
        <v>1565</v>
      </c>
      <c r="G627" s="2" t="s">
        <v>1777</v>
      </c>
      <c r="H627" s="4">
        <v>3555604</v>
      </c>
    </row>
    <row r="628" spans="1:8" x14ac:dyDescent="0.25">
      <c r="A628" s="4">
        <v>3555703</v>
      </c>
      <c r="B628" s="4" t="s">
        <v>1566</v>
      </c>
      <c r="C628" s="4" t="s">
        <v>1777</v>
      </c>
      <c r="E628" s="2">
        <v>3555703</v>
      </c>
      <c r="F628" s="2" t="s">
        <v>1566</v>
      </c>
      <c r="G628" s="2" t="s">
        <v>1777</v>
      </c>
      <c r="H628" s="4">
        <v>3555703</v>
      </c>
    </row>
    <row r="629" spans="1:8" x14ac:dyDescent="0.25">
      <c r="A629" s="4">
        <v>3555802</v>
      </c>
      <c r="B629" s="4" t="s">
        <v>1567</v>
      </c>
      <c r="C629" s="4" t="s">
        <v>1713</v>
      </c>
      <c r="E629" s="2">
        <v>3555802</v>
      </c>
      <c r="F629" s="2" t="s">
        <v>1567</v>
      </c>
      <c r="G629" s="2" t="s">
        <v>1713</v>
      </c>
      <c r="H629" s="4">
        <v>3555802</v>
      </c>
    </row>
    <row r="630" spans="1:8" x14ac:dyDescent="0.25">
      <c r="A630" s="4">
        <v>3555901</v>
      </c>
      <c r="B630" s="4" t="s">
        <v>1568</v>
      </c>
      <c r="C630" s="4" t="s">
        <v>1726</v>
      </c>
      <c r="E630" s="2">
        <v>3555901</v>
      </c>
      <c r="F630" s="2" t="s">
        <v>1568</v>
      </c>
      <c r="G630" s="2" t="s">
        <v>1726</v>
      </c>
      <c r="H630" s="4">
        <v>3555901</v>
      </c>
    </row>
    <row r="631" spans="1:8" x14ac:dyDescent="0.25">
      <c r="A631" s="4">
        <v>3556008</v>
      </c>
      <c r="B631" s="4" t="s">
        <v>1569</v>
      </c>
      <c r="C631" s="4" t="s">
        <v>1777</v>
      </c>
      <c r="E631" s="2">
        <v>3556008</v>
      </c>
      <c r="F631" s="2" t="s">
        <v>1569</v>
      </c>
      <c r="G631" s="2" t="s">
        <v>1777</v>
      </c>
      <c r="H631" s="4">
        <v>3556008</v>
      </c>
    </row>
    <row r="632" spans="1:8" x14ac:dyDescent="0.25">
      <c r="A632" s="4">
        <v>3556107</v>
      </c>
      <c r="B632" s="4" t="s">
        <v>1570</v>
      </c>
      <c r="C632" s="4" t="s">
        <v>1798</v>
      </c>
      <c r="E632" s="2">
        <v>3556107</v>
      </c>
      <c r="F632" s="2" t="s">
        <v>1570</v>
      </c>
      <c r="G632" s="2" t="s">
        <v>1798</v>
      </c>
      <c r="H632" s="4">
        <v>3556107</v>
      </c>
    </row>
    <row r="633" spans="1:8" x14ac:dyDescent="0.25">
      <c r="A633" s="4">
        <v>3556206</v>
      </c>
      <c r="B633" s="4" t="s">
        <v>1571</v>
      </c>
      <c r="C633" s="4" t="s">
        <v>1674</v>
      </c>
      <c r="E633" s="2">
        <v>3556206</v>
      </c>
      <c r="F633" s="2" t="s">
        <v>1571</v>
      </c>
      <c r="G633" s="2" t="s">
        <v>1674</v>
      </c>
      <c r="H633" s="4">
        <v>3556206</v>
      </c>
    </row>
    <row r="634" spans="1:8" x14ac:dyDescent="0.25">
      <c r="A634" s="4">
        <v>3556305</v>
      </c>
      <c r="B634" s="4" t="s">
        <v>1572</v>
      </c>
      <c r="C634" s="4" t="s">
        <v>1639</v>
      </c>
      <c r="E634" s="2">
        <v>3556305</v>
      </c>
      <c r="F634" s="2" t="s">
        <v>1572</v>
      </c>
      <c r="G634" s="2" t="s">
        <v>1639</v>
      </c>
      <c r="H634" s="4">
        <v>3556305</v>
      </c>
    </row>
    <row r="635" spans="1:8" x14ac:dyDescent="0.25">
      <c r="A635" s="4">
        <v>3556354</v>
      </c>
      <c r="B635" s="4" t="s">
        <v>1573</v>
      </c>
      <c r="C635" s="4" t="s">
        <v>1652</v>
      </c>
      <c r="E635" s="2">
        <v>3556354</v>
      </c>
      <c r="F635" s="2" t="s">
        <v>1573</v>
      </c>
      <c r="G635" s="2" t="s">
        <v>1652</v>
      </c>
      <c r="H635" s="4">
        <v>3556354</v>
      </c>
    </row>
    <row r="636" spans="1:8" x14ac:dyDescent="0.25">
      <c r="A636" s="4">
        <v>3556404</v>
      </c>
      <c r="B636" s="4" t="s">
        <v>1574</v>
      </c>
      <c r="C636" s="4" t="s">
        <v>1773</v>
      </c>
      <c r="E636" s="2">
        <v>3556404</v>
      </c>
      <c r="F636" s="2" t="s">
        <v>1574</v>
      </c>
      <c r="G636" s="2" t="s">
        <v>1773</v>
      </c>
      <c r="H636" s="4">
        <v>3556404</v>
      </c>
    </row>
    <row r="637" spans="1:8" x14ac:dyDescent="0.25">
      <c r="A637" s="4">
        <v>3556453</v>
      </c>
      <c r="B637" s="4" t="s">
        <v>1575</v>
      </c>
      <c r="C637" s="4" t="s">
        <v>1690</v>
      </c>
      <c r="E637" s="2">
        <v>3556453</v>
      </c>
      <c r="F637" s="2" t="s">
        <v>1575</v>
      </c>
      <c r="G637" s="2" t="s">
        <v>1690</v>
      </c>
      <c r="H637" s="4">
        <v>3556453</v>
      </c>
    </row>
    <row r="638" spans="1:8" x14ac:dyDescent="0.25">
      <c r="A638" s="4">
        <v>3556503</v>
      </c>
      <c r="B638" s="4" t="s">
        <v>1576</v>
      </c>
      <c r="C638" s="4" t="s">
        <v>1717</v>
      </c>
      <c r="E638" s="2">
        <v>3556503</v>
      </c>
      <c r="F638" s="2" t="s">
        <v>1576</v>
      </c>
      <c r="G638" s="2" t="s">
        <v>1717</v>
      </c>
      <c r="H638" s="4">
        <v>3556503</v>
      </c>
    </row>
    <row r="639" spans="1:8" x14ac:dyDescent="0.25">
      <c r="A639" s="4">
        <v>3556602</v>
      </c>
      <c r="B639" s="4" t="s">
        <v>1577</v>
      </c>
      <c r="C639" s="4" t="s">
        <v>1726</v>
      </c>
      <c r="E639" s="2">
        <v>3556602</v>
      </c>
      <c r="F639" s="2" t="s">
        <v>1577</v>
      </c>
      <c r="G639" s="2" t="s">
        <v>1726</v>
      </c>
      <c r="H639" s="4">
        <v>3556602</v>
      </c>
    </row>
    <row r="640" spans="1:8" x14ac:dyDescent="0.25">
      <c r="A640" s="4">
        <v>3556701</v>
      </c>
      <c r="B640" s="4" t="s">
        <v>1578</v>
      </c>
      <c r="C640" s="4" t="s">
        <v>1674</v>
      </c>
      <c r="E640" s="2">
        <v>3556701</v>
      </c>
      <c r="F640" s="2" t="s">
        <v>1578</v>
      </c>
      <c r="G640" s="2" t="s">
        <v>1674</v>
      </c>
      <c r="H640" s="4">
        <v>3556701</v>
      </c>
    </row>
    <row r="641" spans="1:8" x14ac:dyDescent="0.25">
      <c r="A641" s="4">
        <v>3556800</v>
      </c>
      <c r="B641" s="4" t="s">
        <v>1579</v>
      </c>
      <c r="C641" s="4" t="s">
        <v>1660</v>
      </c>
      <c r="E641" s="2">
        <v>3556800</v>
      </c>
      <c r="F641" s="2" t="s">
        <v>1579</v>
      </c>
      <c r="G641" s="2" t="s">
        <v>1660</v>
      </c>
      <c r="H641" s="4">
        <v>3556800</v>
      </c>
    </row>
    <row r="642" spans="1:8" x14ac:dyDescent="0.25">
      <c r="A642" s="4">
        <v>3556909</v>
      </c>
      <c r="B642" s="4" t="s">
        <v>1580</v>
      </c>
      <c r="C642" s="4" t="s">
        <v>1709</v>
      </c>
      <c r="E642" s="2">
        <v>3556909</v>
      </c>
      <c r="F642" s="2" t="s">
        <v>1580</v>
      </c>
      <c r="G642" s="2" t="s">
        <v>1709</v>
      </c>
      <c r="H642" s="4">
        <v>3556909</v>
      </c>
    </row>
    <row r="643" spans="1:8" x14ac:dyDescent="0.25">
      <c r="A643" s="4">
        <v>3556958</v>
      </c>
      <c r="B643" s="4" t="s">
        <v>1581</v>
      </c>
      <c r="C643" s="4" t="s">
        <v>1713</v>
      </c>
      <c r="E643" s="2">
        <v>3556958</v>
      </c>
      <c r="F643" s="2" t="s">
        <v>1581</v>
      </c>
      <c r="G643" s="2" t="s">
        <v>1713</v>
      </c>
      <c r="H643" s="4">
        <v>3556958</v>
      </c>
    </row>
    <row r="644" spans="1:8" x14ac:dyDescent="0.25">
      <c r="A644" s="4">
        <v>3557006</v>
      </c>
      <c r="B644" s="4" t="s">
        <v>1582</v>
      </c>
      <c r="C644" s="4" t="s">
        <v>1789</v>
      </c>
      <c r="E644" s="2">
        <v>3557006</v>
      </c>
      <c r="F644" s="2" t="s">
        <v>1582</v>
      </c>
      <c r="G644" s="2" t="s">
        <v>1789</v>
      </c>
      <c r="H644" s="4">
        <v>3557006</v>
      </c>
    </row>
    <row r="645" spans="1:8" x14ac:dyDescent="0.25">
      <c r="A645" s="4">
        <v>3557105</v>
      </c>
      <c r="B645" s="4" t="s">
        <v>1583</v>
      </c>
      <c r="C645" s="4" t="s">
        <v>1798</v>
      </c>
      <c r="E645" s="2">
        <v>3557105</v>
      </c>
      <c r="F645" s="2" t="s">
        <v>1583</v>
      </c>
      <c r="G645" s="2" t="s">
        <v>1798</v>
      </c>
      <c r="H645" s="4">
        <v>3557105</v>
      </c>
    </row>
    <row r="646" spans="1:8" x14ac:dyDescent="0.25">
      <c r="A646" s="4">
        <v>3557154</v>
      </c>
      <c r="B646" s="4" t="s">
        <v>1584</v>
      </c>
      <c r="C646" s="4" t="s">
        <v>1639</v>
      </c>
      <c r="E646" s="2">
        <v>3557154</v>
      </c>
      <c r="F646" s="2" t="s">
        <v>1584</v>
      </c>
      <c r="G646" s="2" t="s">
        <v>1639</v>
      </c>
      <c r="H646" s="4">
        <v>3557154</v>
      </c>
    </row>
    <row r="647" spans="1:8" x14ac:dyDescent="0.25">
      <c r="A647" s="4">
        <v>3557204</v>
      </c>
      <c r="B647" s="4" t="s">
        <v>1073</v>
      </c>
      <c r="C647" s="4" t="s">
        <v>1648</v>
      </c>
    </row>
    <row r="648" spans="1:8" x14ac:dyDescent="0.25">
      <c r="A648" s="4">
        <v>3557303</v>
      </c>
      <c r="B648" s="4" t="s">
        <v>1114</v>
      </c>
      <c r="C648" s="4" t="s">
        <v>1733</v>
      </c>
    </row>
  </sheetData>
  <sortState ref="E1:G648">
    <sortCondition ref="F1"/>
  </sortState>
  <pageMargins left="0.511811024" right="0.511811024" top="0.78740157499999996" bottom="0.78740157499999996" header="0.31496062000000002" footer="0.31496062000000002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AB823"/>
  <sheetViews>
    <sheetView zoomScale="70" zoomScaleNormal="70" workbookViewId="0">
      <pane ySplit="1" topLeftCell="A2" activePane="bottomLeft" state="frozen"/>
      <selection pane="bottomLeft" activeCell="L10" sqref="L10"/>
    </sheetView>
  </sheetViews>
  <sheetFormatPr defaultColWidth="0" defaultRowHeight="15" zeroHeight="1" x14ac:dyDescent="0.25"/>
  <cols>
    <col min="1" max="1" width="7.28515625" style="14" bestFit="1" customWidth="1"/>
    <col min="2" max="2" width="17.7109375" style="14" bestFit="1" customWidth="1"/>
    <col min="3" max="3" width="11" style="14" bestFit="1" customWidth="1"/>
    <col min="4" max="4" width="17.28515625" style="14" bestFit="1" customWidth="1"/>
    <col min="5" max="5" width="22.5703125" style="14" bestFit="1" customWidth="1"/>
    <col min="6" max="6" width="23" style="14" bestFit="1" customWidth="1"/>
    <col min="7" max="7" width="29.28515625" style="14" bestFit="1" customWidth="1"/>
    <col min="8" max="8" width="17.85546875" style="14" bestFit="1" customWidth="1"/>
    <col min="9" max="10" width="35.85546875" style="14" bestFit="1" customWidth="1"/>
    <col min="11" max="12" width="45.7109375" style="14" bestFit="1" customWidth="1"/>
    <col min="13" max="13" width="45.42578125" style="14" bestFit="1" customWidth="1"/>
    <col min="14" max="14" width="31.7109375" style="14" bestFit="1" customWidth="1"/>
    <col min="15" max="15" width="38.28515625" style="14" bestFit="1" customWidth="1"/>
    <col min="16" max="16" width="19.7109375" style="14" bestFit="1" customWidth="1"/>
    <col min="17" max="17" width="21.42578125" style="14" bestFit="1" customWidth="1"/>
    <col min="18" max="18" width="19.7109375" style="14" bestFit="1" customWidth="1"/>
    <col min="19" max="19" width="42.5703125" style="14" bestFit="1" customWidth="1"/>
    <col min="20" max="20" width="20.28515625" style="14" bestFit="1" customWidth="1"/>
    <col min="21" max="23" width="5.7109375" style="14" customWidth="1"/>
    <col min="24" max="28" width="0" style="14" hidden="1" customWidth="1"/>
    <col min="29" max="16384" width="5.7109375" style="14" hidden="1"/>
  </cols>
  <sheetData>
    <row r="1" spans="1:20" s="16" customFormat="1" x14ac:dyDescent="0.25">
      <c r="A1" s="12" t="s">
        <v>645</v>
      </c>
      <c r="B1" s="12" t="s">
        <v>939</v>
      </c>
      <c r="C1" s="12" t="s">
        <v>934</v>
      </c>
      <c r="D1" s="12" t="s">
        <v>935</v>
      </c>
      <c r="E1" s="12" t="s">
        <v>1809</v>
      </c>
      <c r="F1" s="12" t="s">
        <v>1808</v>
      </c>
      <c r="G1" s="12" t="s">
        <v>1805</v>
      </c>
      <c r="H1" s="12" t="s">
        <v>1857</v>
      </c>
      <c r="I1" s="12" t="s">
        <v>644</v>
      </c>
      <c r="J1" s="12" t="s">
        <v>646</v>
      </c>
      <c r="K1" s="12" t="s">
        <v>647</v>
      </c>
      <c r="L1" s="12" t="s">
        <v>648</v>
      </c>
      <c r="M1" s="12" t="s">
        <v>649</v>
      </c>
      <c r="N1" s="12" t="s">
        <v>650</v>
      </c>
      <c r="O1" s="12" t="s">
        <v>651</v>
      </c>
      <c r="P1" s="12" t="s">
        <v>652</v>
      </c>
      <c r="Q1" s="12" t="s">
        <v>653</v>
      </c>
      <c r="R1" s="12" t="s">
        <v>654</v>
      </c>
      <c r="S1" s="12" t="s">
        <v>655</v>
      </c>
      <c r="T1" s="12" t="s">
        <v>1804</v>
      </c>
    </row>
    <row r="2" spans="1:20" x14ac:dyDescent="0.25">
      <c r="A2" s="14">
        <v>1</v>
      </c>
      <c r="B2" s="14">
        <v>3500105</v>
      </c>
      <c r="C2" s="14" t="str">
        <f>IF(ISERR(FIND("-",tab_Geral[[#This Row],[Municípios]],1)),"","Têm Hifen")</f>
        <v/>
      </c>
      <c r="D2" s="14" t="str">
        <f>IF(tab_Geral[[#This Row],[Informação 3]]&lt;&gt;"","","Não Registrado")</f>
        <v/>
      </c>
      <c r="E2" s="14" t="str">
        <f>IF(tab_Geral[[#This Row],[Municípios]]=tab_Geral[[#This Row],[Informação 1]],"","Não!, Erro!")</f>
        <v/>
      </c>
      <c r="F2" s="14" t="str">
        <f>IF(tab_Geral[[#This Row],[Municípios]]=tab_Geral[[#This Row],[Município]],"","Não!, Erro!")</f>
        <v/>
      </c>
      <c r="G2" s="14" t="str">
        <f>VLOOKUP(tab_Geral[[#This Row],[GeoCodigo]],tab_CETESB[],2,FALSE)</f>
        <v>Adamantina</v>
      </c>
      <c r="H2" s="14" t="str">
        <f>VLOOKUP(tab_Geral[[#This Row],[Informação 3]],tab_AgênciaAmbiental,10,FALSE)</f>
        <v>13</v>
      </c>
      <c r="I2" s="14" t="s">
        <v>0</v>
      </c>
      <c r="J2" s="18" t="s">
        <v>0</v>
      </c>
      <c r="K2" s="17"/>
      <c r="L2" s="17" t="s">
        <v>1894</v>
      </c>
      <c r="M2" s="17" t="s">
        <v>656</v>
      </c>
      <c r="N2" s="17" t="s">
        <v>657</v>
      </c>
      <c r="O2" s="17" t="s">
        <v>658</v>
      </c>
      <c r="P2" s="17" t="s">
        <v>659</v>
      </c>
      <c r="Q2" s="17" t="s">
        <v>660</v>
      </c>
      <c r="R2" s="17" t="s">
        <v>661</v>
      </c>
      <c r="S2" s="17" t="s">
        <v>662</v>
      </c>
      <c r="T2" s="15"/>
    </row>
    <row r="3" spans="1:20" x14ac:dyDescent="0.25">
      <c r="A3" s="14">
        <v>2</v>
      </c>
      <c r="B3" s="14">
        <v>3500204</v>
      </c>
      <c r="C3" s="14" t="str">
        <f>IF(ISERR(FIND("-",tab_Geral[[#This Row],[Municípios]],1)),"","Têm Hifen")</f>
        <v/>
      </c>
      <c r="D3" s="14" t="str">
        <f>IF(tab_Geral[[#This Row],[Informação 3]]&lt;&gt;"","","Não Registrado")</f>
        <v/>
      </c>
      <c r="E3" s="14" t="str">
        <f>IF(tab_Geral[[#This Row],[Municípios]]=tab_Geral[[#This Row],[Informação 1]],"","Não!, Erro!")</f>
        <v/>
      </c>
      <c r="F3" s="14" t="str">
        <f>IF(tab_Geral[[#This Row],[Municípios]]=tab_Geral[[#This Row],[Município]],"","Não!, Erro!")</f>
        <v/>
      </c>
      <c r="G3" s="14" t="str">
        <f>VLOOKUP(tab_Geral[[#This Row],[GeoCodigo]],tab_CETESB[],2,FALSE)</f>
        <v>Adolfo</v>
      </c>
      <c r="H3" s="14" t="str">
        <f>VLOOKUP(tab_Geral[[#This Row],[Informação 3]],tab_AgênciaAmbiental,10,FALSE)</f>
        <v>36</v>
      </c>
      <c r="I3" s="14" t="s">
        <v>1</v>
      </c>
      <c r="J3" s="18" t="s">
        <v>1</v>
      </c>
      <c r="K3" s="17"/>
      <c r="L3" s="17" t="s">
        <v>1917</v>
      </c>
      <c r="M3" s="17" t="s">
        <v>663</v>
      </c>
      <c r="N3" s="17" t="s">
        <v>664</v>
      </c>
      <c r="O3" s="17" t="s">
        <v>665</v>
      </c>
      <c r="P3" s="17" t="s">
        <v>666</v>
      </c>
      <c r="Q3" s="17" t="s">
        <v>667</v>
      </c>
      <c r="R3" s="17" t="s">
        <v>668</v>
      </c>
      <c r="S3" s="17" t="s">
        <v>938</v>
      </c>
    </row>
    <row r="4" spans="1:20" x14ac:dyDescent="0.25">
      <c r="A4" s="14">
        <v>3</v>
      </c>
      <c r="B4" s="14">
        <v>3500303</v>
      </c>
      <c r="C4" s="14" t="str">
        <f>IF(ISERR(FIND("-",tab_Geral[[#This Row],[Municípios]],1)),"","Têm Hifen")</f>
        <v/>
      </c>
      <c r="D4" s="14" t="str">
        <f>IF(tab_Geral[[#This Row],[Informação 3]]&lt;&gt;"","","Não Registrado")</f>
        <v/>
      </c>
      <c r="E4" s="14" t="str">
        <f>IF(tab_Geral[[#This Row],[Municípios]]=tab_Geral[[#This Row],[Informação 1]],"","Não!, Erro!")</f>
        <v/>
      </c>
      <c r="F4" s="14" t="str">
        <f>IF(tab_Geral[[#This Row],[Municípios]]=tab_Geral[[#This Row],[Município]],"","Não!, Erro!")</f>
        <v/>
      </c>
      <c r="G4" s="14" t="str">
        <f>VLOOKUP(tab_Geral[[#This Row],[GeoCodigo]],tab_CETESB[],2,FALSE)</f>
        <v>Aguaí</v>
      </c>
      <c r="H4" s="14" t="str">
        <f>VLOOKUP(tab_Geral[[#This Row],[Informação 3]],tab_AgênciaAmbiental,10,FALSE)</f>
        <v>35</v>
      </c>
      <c r="I4" s="14" t="s">
        <v>2</v>
      </c>
      <c r="J4" s="18" t="s">
        <v>2</v>
      </c>
      <c r="K4" s="17"/>
      <c r="L4" s="17" t="s">
        <v>1916</v>
      </c>
      <c r="M4" s="17" t="s">
        <v>676</v>
      </c>
      <c r="N4" s="17" t="s">
        <v>657</v>
      </c>
      <c r="O4" s="17" t="s">
        <v>677</v>
      </c>
      <c r="P4" s="17" t="s">
        <v>678</v>
      </c>
      <c r="Q4" s="17" t="s">
        <v>679</v>
      </c>
      <c r="R4" s="17" t="s">
        <v>680</v>
      </c>
      <c r="S4" s="17" t="s">
        <v>937</v>
      </c>
    </row>
    <row r="5" spans="1:20" x14ac:dyDescent="0.25">
      <c r="A5" s="14">
        <v>4</v>
      </c>
      <c r="B5" s="14">
        <v>3500402</v>
      </c>
      <c r="C5" s="14" t="str">
        <f>IF(ISERR(FIND("-",tab_Geral[[#This Row],[Municípios]],1)),"","Têm Hifen")</f>
        <v/>
      </c>
      <c r="D5" s="14" t="str">
        <f>IF(tab_Geral[[#This Row],[Informação 3]]&lt;&gt;"","","Não Registrado")</f>
        <v/>
      </c>
      <c r="E5" s="14" t="str">
        <f>IF(tab_Geral[[#This Row],[Municípios]]=tab_Geral[[#This Row],[Informação 1]],"","Não!, Erro!")</f>
        <v/>
      </c>
      <c r="F5" s="14" t="str">
        <f>IF(tab_Geral[[#This Row],[Municípios]]=tab_Geral[[#This Row],[Município]],"","Não!, Erro!")</f>
        <v/>
      </c>
      <c r="G5" s="14" t="str">
        <f>VLOOKUP(tab_Geral[[#This Row],[GeoCodigo]],tab_CETESB[],2,FALSE)</f>
        <v>Águas da Prata</v>
      </c>
      <c r="H5" s="14" t="str">
        <f>VLOOKUP(tab_Geral[[#This Row],[Informação 3]],tab_AgênciaAmbiental,10,FALSE)</f>
        <v>35</v>
      </c>
      <c r="I5" s="14" t="s">
        <v>3</v>
      </c>
      <c r="J5" s="18" t="s">
        <v>3</v>
      </c>
      <c r="K5" s="17"/>
      <c r="L5" s="17" t="s">
        <v>1916</v>
      </c>
      <c r="M5" s="17" t="s">
        <v>676</v>
      </c>
      <c r="N5" s="17" t="s">
        <v>657</v>
      </c>
      <c r="O5" s="17" t="s">
        <v>677</v>
      </c>
      <c r="P5" s="17" t="s">
        <v>678</v>
      </c>
      <c r="Q5" s="17" t="s">
        <v>679</v>
      </c>
      <c r="R5" s="17" t="s">
        <v>680</v>
      </c>
      <c r="S5" s="17" t="s">
        <v>937</v>
      </c>
    </row>
    <row r="6" spans="1:20" x14ac:dyDescent="0.25">
      <c r="A6" s="14">
        <v>5</v>
      </c>
      <c r="B6" s="14">
        <v>3500501</v>
      </c>
      <c r="C6" s="14" t="str">
        <f>IF(ISERR(FIND("-",tab_Geral[[#This Row],[Municípios]],1)),"","Têm Hifen")</f>
        <v/>
      </c>
      <c r="D6" s="14" t="str">
        <f>IF(tab_Geral[[#This Row],[Informação 3]]&lt;&gt;"","","Não Registrado")</f>
        <v/>
      </c>
      <c r="E6" s="14" t="str">
        <f>IF(tab_Geral[[#This Row],[Municípios]]=tab_Geral[[#This Row],[Informação 1]],"","Não!, Erro!")</f>
        <v/>
      </c>
      <c r="F6" s="14" t="str">
        <f>IF(tab_Geral[[#This Row],[Municípios]]=tab_Geral[[#This Row],[Município]],"","Não!, Erro!")</f>
        <v/>
      </c>
      <c r="G6" s="14" t="str">
        <f>VLOOKUP(tab_Geral[[#This Row],[GeoCodigo]],tab_CETESB[],2,FALSE)</f>
        <v>Águas de Lindóia</v>
      </c>
      <c r="H6" s="14" t="str">
        <f>VLOOKUP(tab_Geral[[#This Row],[Informação 3]],tab_AgênciaAmbiental,10,FALSE)</f>
        <v>25</v>
      </c>
      <c r="I6" s="14" t="s">
        <v>4</v>
      </c>
      <c r="J6" s="18" t="s">
        <v>4</v>
      </c>
      <c r="K6" s="17"/>
      <c r="L6" s="17" t="s">
        <v>1906</v>
      </c>
      <c r="M6" s="17" t="s">
        <v>669</v>
      </c>
      <c r="N6" s="17" t="s">
        <v>670</v>
      </c>
      <c r="O6" s="17" t="s">
        <v>671</v>
      </c>
      <c r="P6" s="17" t="s">
        <v>672</v>
      </c>
      <c r="Q6" s="17" t="s">
        <v>673</v>
      </c>
      <c r="R6" s="17" t="s">
        <v>674</v>
      </c>
      <c r="S6" s="17" t="s">
        <v>675</v>
      </c>
      <c r="T6" s="15"/>
    </row>
    <row r="7" spans="1:20" x14ac:dyDescent="0.25">
      <c r="A7" s="14">
        <v>6</v>
      </c>
      <c r="B7" s="14">
        <v>3500550</v>
      </c>
      <c r="C7" s="14" t="str">
        <f>IF(ISERR(FIND("-",tab_Geral[[#This Row],[Municípios]],1)),"","Têm Hifen")</f>
        <v/>
      </c>
      <c r="D7" s="14" t="str">
        <f>IF(tab_Geral[[#This Row],[Informação 3]]&lt;&gt;"","","Não Registrado")</f>
        <v/>
      </c>
      <c r="E7" s="14" t="str">
        <f>IF(tab_Geral[[#This Row],[Municípios]]=tab_Geral[[#This Row],[Informação 1]],"","Não!, Erro!")</f>
        <v/>
      </c>
      <c r="F7" s="14" t="str">
        <f>IF(tab_Geral[[#This Row],[Municípios]]=tab_Geral[[#This Row],[Município]],"","Não!, Erro!")</f>
        <v/>
      </c>
      <c r="G7" s="14" t="str">
        <f>VLOOKUP(tab_Geral[[#This Row],[GeoCodigo]],tab_CETESB[],2,FALSE)</f>
        <v>Águas de Santa Bárbara</v>
      </c>
      <c r="H7" s="14" t="str">
        <f>VLOOKUP(tab_Geral[[#This Row],[Informação 3]],tab_AgênciaAmbiental,10,FALSE)</f>
        <v>6</v>
      </c>
      <c r="I7" s="14" t="s">
        <v>5</v>
      </c>
      <c r="J7" s="18" t="s">
        <v>5</v>
      </c>
      <c r="K7" s="17"/>
      <c r="L7" s="17" t="s">
        <v>1887</v>
      </c>
      <c r="M7" s="17" t="s">
        <v>681</v>
      </c>
      <c r="N7" s="17" t="s">
        <v>682</v>
      </c>
      <c r="O7" s="17" t="s">
        <v>683</v>
      </c>
      <c r="P7" s="17" t="s">
        <v>684</v>
      </c>
      <c r="Q7" s="17" t="s">
        <v>685</v>
      </c>
      <c r="R7" s="17" t="s">
        <v>686</v>
      </c>
      <c r="S7" s="17" t="s">
        <v>687</v>
      </c>
      <c r="T7" s="15"/>
    </row>
    <row r="8" spans="1:20" x14ac:dyDescent="0.25">
      <c r="A8" s="14">
        <v>7</v>
      </c>
      <c r="B8" s="14">
        <v>3500600</v>
      </c>
      <c r="C8" s="14" t="str">
        <f>IF(ISERR(FIND("-",tab_Geral[[#This Row],[Municípios]],1)),"","Têm Hifen")</f>
        <v/>
      </c>
      <c r="D8" s="14" t="str">
        <f>IF(tab_Geral[[#This Row],[Informação 3]]&lt;&gt;"","","Não Registrado")</f>
        <v/>
      </c>
      <c r="E8" s="14" t="str">
        <f>IF(tab_Geral[[#This Row],[Municípios]]=tab_Geral[[#This Row],[Informação 1]],"","Não!, Erro!")</f>
        <v/>
      </c>
      <c r="F8" s="14" t="str">
        <f>IF(tab_Geral[[#This Row],[Municípios]]=tab_Geral[[#This Row],[Município]],"","Não!, Erro!")</f>
        <v/>
      </c>
      <c r="G8" s="14" t="str">
        <f>VLOOKUP(tab_Geral[[#This Row],[GeoCodigo]],tab_CETESB[],2,FALSE)</f>
        <v>Águas de São Pedro</v>
      </c>
      <c r="H8" s="14" t="str">
        <f>VLOOKUP(tab_Geral[[#This Row],[Informação 3]],tab_AgênciaAmbiental,10,FALSE)</f>
        <v>28</v>
      </c>
      <c r="I8" s="14" t="s">
        <v>6</v>
      </c>
      <c r="J8" s="18" t="s">
        <v>6</v>
      </c>
      <c r="K8" s="17"/>
      <c r="L8" s="17" t="s">
        <v>1909</v>
      </c>
      <c r="M8" s="17" t="s">
        <v>688</v>
      </c>
      <c r="N8" s="17" t="s">
        <v>657</v>
      </c>
      <c r="O8" s="17" t="s">
        <v>689</v>
      </c>
      <c r="P8" s="17" t="s">
        <v>690</v>
      </c>
      <c r="Q8" s="17" t="s">
        <v>691</v>
      </c>
      <c r="R8" s="17" t="s">
        <v>692</v>
      </c>
      <c r="S8" s="17" t="s">
        <v>693</v>
      </c>
      <c r="T8" s="15"/>
    </row>
    <row r="9" spans="1:20" x14ac:dyDescent="0.25">
      <c r="A9" s="14">
        <v>8</v>
      </c>
      <c r="B9" s="14">
        <v>3500709</v>
      </c>
      <c r="C9" s="14" t="str">
        <f>IF(ISERR(FIND("-",tab_Geral[[#This Row],[Municípios]],1)),"","Têm Hifen")</f>
        <v/>
      </c>
      <c r="D9" s="14" t="str">
        <f>IF(tab_Geral[[#This Row],[Informação 3]]&lt;&gt;"","","Não Registrado")</f>
        <v/>
      </c>
      <c r="E9" s="14" t="str">
        <f>IF(tab_Geral[[#This Row],[Municípios]]=tab_Geral[[#This Row],[Informação 1]],"","Não!, Erro!")</f>
        <v/>
      </c>
      <c r="F9" s="14" t="str">
        <f>IF(tab_Geral[[#This Row],[Municípios]]=tab_Geral[[#This Row],[Município]],"","Não!, Erro!")</f>
        <v/>
      </c>
      <c r="G9" s="14" t="str">
        <f>VLOOKUP(tab_Geral[[#This Row],[GeoCodigo]],tab_CETESB[],2,FALSE)</f>
        <v>Agudos</v>
      </c>
      <c r="H9" s="14" t="str">
        <f>VLOOKUP(tab_Geral[[#This Row],[Informação 3]],tab_AgênciaAmbiental,10,FALSE)</f>
        <v>8</v>
      </c>
      <c r="I9" s="14" t="s">
        <v>7</v>
      </c>
      <c r="J9" s="18" t="s">
        <v>7</v>
      </c>
      <c r="K9" s="17"/>
      <c r="L9" s="17" t="s">
        <v>1889</v>
      </c>
      <c r="M9" s="17" t="s">
        <v>694</v>
      </c>
      <c r="N9" s="17" t="s">
        <v>695</v>
      </c>
      <c r="O9" s="17" t="s">
        <v>696</v>
      </c>
      <c r="P9" s="17" t="s">
        <v>697</v>
      </c>
      <c r="Q9" s="17" t="s">
        <v>698</v>
      </c>
      <c r="R9" s="17" t="s">
        <v>699</v>
      </c>
      <c r="S9" s="17" t="s">
        <v>700</v>
      </c>
      <c r="T9" s="15"/>
    </row>
    <row r="10" spans="1:20" x14ac:dyDescent="0.25">
      <c r="A10" s="14">
        <v>9</v>
      </c>
      <c r="B10" s="14">
        <v>3500758</v>
      </c>
      <c r="C10" s="14" t="str">
        <f>IF(ISERR(FIND("-",tab_Geral[[#This Row],[Municípios]],1)),"","Têm Hifen")</f>
        <v/>
      </c>
      <c r="D10" s="14" t="str">
        <f>IF(tab_Geral[[#This Row],[Informação 3]]&lt;&gt;"","","Não Registrado")</f>
        <v/>
      </c>
      <c r="E10" s="14" t="str">
        <f>IF(tab_Geral[[#This Row],[Municípios]]=tab_Geral[[#This Row],[Informação 1]],"","Não!, Erro!")</f>
        <v/>
      </c>
      <c r="F10" s="14" t="str">
        <f>IF(tab_Geral[[#This Row],[Municípios]]=tab_Geral[[#This Row],[Município]],"","Não!, Erro!")</f>
        <v/>
      </c>
      <c r="G10" s="14" t="str">
        <f>VLOOKUP(tab_Geral[[#This Row],[GeoCodigo]],tab_CETESB[],2,FALSE)</f>
        <v>Alambari</v>
      </c>
      <c r="H10" s="14" t="str">
        <f>VLOOKUP(tab_Geral[[#This Row],[Informação 3]],tab_AgênciaAmbiental,10,FALSE)</f>
        <v>17</v>
      </c>
      <c r="I10" s="14" t="s">
        <v>8</v>
      </c>
      <c r="J10" s="18" t="s">
        <v>8</v>
      </c>
      <c r="K10" s="17"/>
      <c r="L10" s="17" t="s">
        <v>1898</v>
      </c>
      <c r="M10" s="17" t="s">
        <v>701</v>
      </c>
      <c r="N10" s="17" t="s">
        <v>657</v>
      </c>
      <c r="O10" s="17" t="s">
        <v>702</v>
      </c>
      <c r="P10" s="17" t="s">
        <v>703</v>
      </c>
      <c r="Q10" s="17" t="s">
        <v>704</v>
      </c>
      <c r="R10" s="17" t="s">
        <v>705</v>
      </c>
      <c r="S10" s="17" t="s">
        <v>706</v>
      </c>
      <c r="T10" s="15"/>
    </row>
    <row r="11" spans="1:20" x14ac:dyDescent="0.25">
      <c r="A11" s="14">
        <v>10</v>
      </c>
      <c r="B11" s="14">
        <v>3500808</v>
      </c>
      <c r="C11" s="14" t="str">
        <f>IF(ISERR(FIND("-",tab_Geral[[#This Row],[Municípios]],1)),"","Têm Hifen")</f>
        <v/>
      </c>
      <c r="D11" s="14" t="str">
        <f>IF(tab_Geral[[#This Row],[Informação 3]]&lt;&gt;"","","Não Registrado")</f>
        <v/>
      </c>
      <c r="E11" s="14" t="str">
        <f>IF(tab_Geral[[#This Row],[Municípios]]=tab_Geral[[#This Row],[Informação 1]],"","Não!, Erro!")</f>
        <v/>
      </c>
      <c r="F11" s="14" t="str">
        <f>IF(tab_Geral[[#This Row],[Municípios]]=tab_Geral[[#This Row],[Município]],"","Não!, Erro!")</f>
        <v/>
      </c>
      <c r="G11" s="14" t="str">
        <f>VLOOKUP(tab_Geral[[#This Row],[GeoCodigo]],tab_CETESB[],2,FALSE)</f>
        <v>Alfredo Marcondes</v>
      </c>
      <c r="H11" s="14" t="str">
        <f>VLOOKUP(tab_Geral[[#This Row],[Informação 3]],tab_AgênciaAmbiental,10,FALSE)</f>
        <v>29</v>
      </c>
      <c r="I11" s="14" t="s">
        <v>9</v>
      </c>
      <c r="J11" s="18" t="s">
        <v>9</v>
      </c>
      <c r="K11" s="17"/>
      <c r="L11" s="17" t="s">
        <v>1910</v>
      </c>
      <c r="M11" s="17" t="s">
        <v>707</v>
      </c>
      <c r="N11" s="17" t="s">
        <v>708</v>
      </c>
      <c r="O11" s="17" t="s">
        <v>709</v>
      </c>
      <c r="P11" s="17" t="s">
        <v>710</v>
      </c>
      <c r="Q11" s="17" t="s">
        <v>711</v>
      </c>
      <c r="R11" s="17" t="s">
        <v>686</v>
      </c>
      <c r="S11" s="17" t="s">
        <v>712</v>
      </c>
      <c r="T11" s="15"/>
    </row>
    <row r="12" spans="1:20" x14ac:dyDescent="0.25">
      <c r="A12" s="14">
        <v>11</v>
      </c>
      <c r="B12" s="14">
        <v>3500907</v>
      </c>
      <c r="C12" s="14" t="str">
        <f>IF(ISERR(FIND("-",tab_Geral[[#This Row],[Municípios]],1)),"","Têm Hifen")</f>
        <v/>
      </c>
      <c r="D12" s="14" t="str">
        <f>IF(tab_Geral[[#This Row],[Informação 3]]&lt;&gt;"","","Não Registrado")</f>
        <v/>
      </c>
      <c r="E12" s="14" t="str">
        <f>IF(tab_Geral[[#This Row],[Municípios]]=tab_Geral[[#This Row],[Informação 1]],"","Não!, Erro!")</f>
        <v/>
      </c>
      <c r="F12" s="14" t="str">
        <f>IF(tab_Geral[[#This Row],[Municípios]]=tab_Geral[[#This Row],[Município]],"","Não!, Erro!")</f>
        <v/>
      </c>
      <c r="G12" s="14" t="str">
        <f>VLOOKUP(tab_Geral[[#This Row],[GeoCodigo]],tab_CETESB[],2,FALSE)</f>
        <v>Altair</v>
      </c>
      <c r="H12" s="14" t="str">
        <f>VLOOKUP(tab_Geral[[#This Row],[Informação 3]],tab_AgênciaAmbiental,10,FALSE)</f>
        <v>7</v>
      </c>
      <c r="I12" s="14" t="s">
        <v>10</v>
      </c>
      <c r="J12" s="18" t="s">
        <v>10</v>
      </c>
      <c r="K12" s="17"/>
      <c r="L12" s="17" t="s">
        <v>1888</v>
      </c>
      <c r="M12" s="17" t="s">
        <v>713</v>
      </c>
      <c r="N12" s="17" t="s">
        <v>714</v>
      </c>
      <c r="O12" s="17" t="s">
        <v>715</v>
      </c>
      <c r="P12" s="17" t="s">
        <v>716</v>
      </c>
      <c r="Q12" s="17" t="s">
        <v>717</v>
      </c>
      <c r="R12" s="17" t="s">
        <v>718</v>
      </c>
      <c r="S12" s="17" t="s">
        <v>719</v>
      </c>
      <c r="T12" s="15"/>
    </row>
    <row r="13" spans="1:20" x14ac:dyDescent="0.25">
      <c r="A13" s="14">
        <v>12</v>
      </c>
      <c r="B13" s="14">
        <v>3501004</v>
      </c>
      <c r="C13" s="14" t="str">
        <f>IF(ISERR(FIND("-",tab_Geral[[#This Row],[Municípios]],1)),"","Têm Hifen")</f>
        <v/>
      </c>
      <c r="D13" s="14" t="str">
        <f>IF(tab_Geral[[#This Row],[Informação 3]]&lt;&gt;"","","Não Registrado")</f>
        <v/>
      </c>
      <c r="E13" s="14" t="str">
        <f>IF(tab_Geral[[#This Row],[Municípios]]=tab_Geral[[#This Row],[Informação 1]],"","Não!, Erro!")</f>
        <v/>
      </c>
      <c r="F13" s="14" t="str">
        <f>IF(tab_Geral[[#This Row],[Municípios]]=tab_Geral[[#This Row],[Município]],"","Não!, Erro!")</f>
        <v/>
      </c>
      <c r="G13" s="14" t="str">
        <f>VLOOKUP(tab_Geral[[#This Row],[GeoCodigo]],tab_CETESB[],2,FALSE)</f>
        <v>Altinópolis</v>
      </c>
      <c r="H13" s="14" t="str">
        <f>VLOOKUP(tab_Geral[[#This Row],[Informação 3]],tab_AgênciaAmbiental,10,FALSE)</f>
        <v>31</v>
      </c>
      <c r="I13" s="14" t="s">
        <v>11</v>
      </c>
      <c r="J13" s="18" t="s">
        <v>11</v>
      </c>
      <c r="K13" s="17"/>
      <c r="L13" s="17" t="s">
        <v>1912</v>
      </c>
      <c r="M13" s="17" t="s">
        <v>720</v>
      </c>
      <c r="N13" s="17" t="s">
        <v>721</v>
      </c>
      <c r="O13" s="17" t="s">
        <v>722</v>
      </c>
      <c r="P13" s="17" t="s">
        <v>723</v>
      </c>
      <c r="Q13" s="17" t="s">
        <v>724</v>
      </c>
      <c r="R13" s="17" t="s">
        <v>725</v>
      </c>
      <c r="S13" s="17" t="s">
        <v>726</v>
      </c>
      <c r="T13" s="15"/>
    </row>
    <row r="14" spans="1:20" x14ac:dyDescent="0.25">
      <c r="A14" s="14">
        <v>13</v>
      </c>
      <c r="B14" s="14">
        <v>3501103</v>
      </c>
      <c r="C14" s="14" t="str">
        <f>IF(ISERR(FIND("-",tab_Geral[[#This Row],[Municípios]],1)),"","Têm Hifen")</f>
        <v/>
      </c>
      <c r="D14" s="14" t="str">
        <f>IF(tab_Geral[[#This Row],[Informação 3]]&lt;&gt;"","","Não Registrado")</f>
        <v/>
      </c>
      <c r="E14" s="14" t="str">
        <f>IF(tab_Geral[[#This Row],[Municípios]]=tab_Geral[[#This Row],[Informação 1]],"","Não!, Erro!")</f>
        <v/>
      </c>
      <c r="F14" s="14" t="str">
        <f>IF(tab_Geral[[#This Row],[Municípios]]=tab_Geral[[#This Row],[Município]],"","Não!, Erro!")</f>
        <v/>
      </c>
      <c r="G14" s="14" t="str">
        <f>VLOOKUP(tab_Geral[[#This Row],[GeoCodigo]],tab_CETESB[],2,FALSE)</f>
        <v>Alto Alegre</v>
      </c>
      <c r="H14" s="14" t="str">
        <f>VLOOKUP(tab_Geral[[#This Row],[Informação 3]],tab_AgênciaAmbiental,10,FALSE)</f>
        <v>2</v>
      </c>
      <c r="I14" s="14" t="s">
        <v>12</v>
      </c>
      <c r="J14" s="18" t="s">
        <v>12</v>
      </c>
      <c r="K14" s="17"/>
      <c r="L14" s="17" t="s">
        <v>1883</v>
      </c>
      <c r="M14" s="17" t="s">
        <v>727</v>
      </c>
      <c r="N14" s="17" t="s">
        <v>728</v>
      </c>
      <c r="O14" s="17" t="s">
        <v>729</v>
      </c>
      <c r="P14" s="17" t="s">
        <v>730</v>
      </c>
      <c r="Q14" s="17" t="s">
        <v>731</v>
      </c>
      <c r="R14" s="17" t="s">
        <v>732</v>
      </c>
      <c r="S14" s="17" t="s">
        <v>936</v>
      </c>
    </row>
    <row r="15" spans="1:20" x14ac:dyDescent="0.25">
      <c r="A15" s="14">
        <v>14</v>
      </c>
      <c r="B15" s="14">
        <v>3501152</v>
      </c>
      <c r="C15" s="14" t="str">
        <f>IF(ISERR(FIND("-",tab_Geral[[#This Row],[Municípios]],1)),"","Têm Hifen")</f>
        <v/>
      </c>
      <c r="D15" s="14" t="str">
        <f>IF(tab_Geral[[#This Row],[Informação 3]]&lt;&gt;"","","Não Registrado")</f>
        <v/>
      </c>
      <c r="E15" s="14" t="str">
        <f>IF(tab_Geral[[#This Row],[Municípios]]=tab_Geral[[#This Row],[Informação 1]],"","Não!, Erro!")</f>
        <v/>
      </c>
      <c r="F15" s="14" t="str">
        <f>IF(tab_Geral[[#This Row],[Municípios]]=tab_Geral[[#This Row],[Município]],"","Não!, Erro!")</f>
        <v/>
      </c>
      <c r="G15" s="14" t="str">
        <f>VLOOKUP(tab_Geral[[#This Row],[GeoCodigo]],tab_CETESB[],2,FALSE)</f>
        <v>Alumínio</v>
      </c>
      <c r="H15" s="14" t="str">
        <f>VLOOKUP(tab_Geral[[#This Row],[Informação 3]],tab_AgênciaAmbiental,10,FALSE)</f>
        <v>18</v>
      </c>
      <c r="I15" s="14" t="s">
        <v>13</v>
      </c>
      <c r="J15" s="18" t="s">
        <v>13</v>
      </c>
      <c r="K15" s="17"/>
      <c r="L15" s="17" t="s">
        <v>1899</v>
      </c>
      <c r="M15" s="17" t="s">
        <v>733</v>
      </c>
      <c r="N15" s="17" t="s">
        <v>657</v>
      </c>
      <c r="O15" s="17" t="s">
        <v>734</v>
      </c>
      <c r="P15" s="17" t="s">
        <v>735</v>
      </c>
      <c r="Q15" s="17" t="s">
        <v>736</v>
      </c>
      <c r="R15" s="17" t="s">
        <v>737</v>
      </c>
      <c r="S15" s="17" t="s">
        <v>738</v>
      </c>
      <c r="T15" s="15"/>
    </row>
    <row r="16" spans="1:20" x14ac:dyDescent="0.25">
      <c r="A16" s="14">
        <v>15</v>
      </c>
      <c r="B16" s="14">
        <v>3501202</v>
      </c>
      <c r="C16" s="14" t="str">
        <f>IF(ISERR(FIND("-",tab_Geral[[#This Row],[Municípios]],1)),"","Têm Hifen")</f>
        <v/>
      </c>
      <c r="D16" s="14" t="str">
        <f>IF(tab_Geral[[#This Row],[Informação 3]]&lt;&gt;"","","Não Registrado")</f>
        <v/>
      </c>
      <c r="E16" s="14" t="str">
        <f>IF(tab_Geral[[#This Row],[Municípios]]=tab_Geral[[#This Row],[Informação 1]],"","Não!, Erro!")</f>
        <v/>
      </c>
      <c r="F16" s="14" t="str">
        <f>IF(tab_Geral[[#This Row],[Municípios]]=tab_Geral[[#This Row],[Município]],"","Não!, Erro!")</f>
        <v/>
      </c>
      <c r="G16" s="14" t="str">
        <f>VLOOKUP(tab_Geral[[#This Row],[GeoCodigo]],tab_CETESB[],2,FALSE)</f>
        <v>Álvares Florence</v>
      </c>
      <c r="H16" s="14" t="str">
        <f>VLOOKUP(tab_Geral[[#This Row],[Informação 3]],tab_AgênciaAmbiental,10,FALSE)</f>
        <v>41</v>
      </c>
      <c r="I16" s="14" t="s">
        <v>14</v>
      </c>
      <c r="J16" s="18" t="s">
        <v>14</v>
      </c>
      <c r="K16" s="17"/>
      <c r="L16" s="17" t="s">
        <v>1922</v>
      </c>
      <c r="M16" s="17" t="s">
        <v>739</v>
      </c>
      <c r="N16" s="17" t="s">
        <v>740</v>
      </c>
      <c r="O16" s="17" t="s">
        <v>741</v>
      </c>
      <c r="P16" s="17" t="s">
        <v>742</v>
      </c>
      <c r="Q16" s="17" t="s">
        <v>743</v>
      </c>
      <c r="R16" s="17" t="s">
        <v>744</v>
      </c>
      <c r="S16" s="17" t="s">
        <v>745</v>
      </c>
      <c r="T16" s="15"/>
    </row>
    <row r="17" spans="1:20" x14ac:dyDescent="0.25">
      <c r="A17" s="14">
        <v>16</v>
      </c>
      <c r="B17" s="14">
        <v>3501301</v>
      </c>
      <c r="C17" s="14" t="str">
        <f>IF(ISERR(FIND("-",tab_Geral[[#This Row],[Municípios]],1)),"","Têm Hifen")</f>
        <v/>
      </c>
      <c r="D17" s="14" t="str">
        <f>IF(tab_Geral[[#This Row],[Informação 3]]&lt;&gt;"","","Não Registrado")</f>
        <v/>
      </c>
      <c r="E17" s="14" t="str">
        <f>IF(tab_Geral[[#This Row],[Municípios]]=tab_Geral[[#This Row],[Informação 1]],"","Não!, Erro!")</f>
        <v/>
      </c>
      <c r="F17" s="14" t="str">
        <f>IF(tab_Geral[[#This Row],[Municípios]]=tab_Geral[[#This Row],[Município]],"","Não!, Erro!")</f>
        <v/>
      </c>
      <c r="G17" s="14" t="str">
        <f>VLOOKUP(tab_Geral[[#This Row],[GeoCodigo]],tab_CETESB[],2,FALSE)</f>
        <v>Álvares Machado</v>
      </c>
      <c r="H17" s="14" t="str">
        <f>VLOOKUP(tab_Geral[[#This Row],[Informação 3]],tab_AgênciaAmbiental,10,FALSE)</f>
        <v>29</v>
      </c>
      <c r="I17" s="14" t="s">
        <v>15</v>
      </c>
      <c r="J17" s="18" t="s">
        <v>15</v>
      </c>
      <c r="K17" s="17"/>
      <c r="L17" s="17" t="s">
        <v>1910</v>
      </c>
      <c r="M17" s="17" t="s">
        <v>707</v>
      </c>
      <c r="N17" s="17" t="s">
        <v>708</v>
      </c>
      <c r="O17" s="17" t="s">
        <v>709</v>
      </c>
      <c r="P17" s="17" t="s">
        <v>710</v>
      </c>
      <c r="Q17" s="17" t="s">
        <v>711</v>
      </c>
      <c r="R17" s="17" t="s">
        <v>686</v>
      </c>
      <c r="S17" s="17" t="s">
        <v>712</v>
      </c>
      <c r="T17" s="15"/>
    </row>
    <row r="18" spans="1:20" x14ac:dyDescent="0.25">
      <c r="A18" s="14">
        <v>17</v>
      </c>
      <c r="B18" s="14">
        <v>3501400</v>
      </c>
      <c r="C18" s="14" t="str">
        <f>IF(ISERR(FIND("-",tab_Geral[[#This Row],[Municípios]],1)),"","Têm Hifen")</f>
        <v/>
      </c>
      <c r="D18" s="14" t="str">
        <f>IF(tab_Geral[[#This Row],[Informação 3]]&lt;&gt;"","","Não Registrado")</f>
        <v/>
      </c>
      <c r="E18" s="14" t="str">
        <f>IF(tab_Geral[[#This Row],[Municípios]]=tab_Geral[[#This Row],[Informação 1]],"","Não!, Erro!")</f>
        <v/>
      </c>
      <c r="F18" s="14" t="str">
        <f>IF(tab_Geral[[#This Row],[Municípios]]=tab_Geral[[#This Row],[Município]],"","Não!, Erro!")</f>
        <v/>
      </c>
      <c r="G18" s="14" t="str">
        <f>VLOOKUP(tab_Geral[[#This Row],[GeoCodigo]],tab_CETESB[],2,FALSE)</f>
        <v>Álvaro de Carvalho</v>
      </c>
      <c r="H18" s="14" t="str">
        <f>VLOOKUP(tab_Geral[[#This Row],[Informação 3]],tab_AgênciaAmbiental,10,FALSE)</f>
        <v>23</v>
      </c>
      <c r="I18" s="14" t="s">
        <v>16</v>
      </c>
      <c r="J18" s="18" t="s">
        <v>16</v>
      </c>
      <c r="K18" s="17"/>
      <c r="L18" s="17" t="s">
        <v>1904</v>
      </c>
      <c r="M18" s="17" t="s">
        <v>746</v>
      </c>
      <c r="N18" s="17" t="s">
        <v>747</v>
      </c>
      <c r="O18" s="17" t="s">
        <v>748</v>
      </c>
      <c r="P18" s="17" t="s">
        <v>749</v>
      </c>
      <c r="Q18" s="17" t="s">
        <v>750</v>
      </c>
      <c r="R18" s="17" t="s">
        <v>751</v>
      </c>
      <c r="S18" s="17" t="s">
        <v>752</v>
      </c>
      <c r="T18" s="15"/>
    </row>
    <row r="19" spans="1:20" x14ac:dyDescent="0.25">
      <c r="A19" s="14">
        <v>18</v>
      </c>
      <c r="B19" s="14">
        <v>3501509</v>
      </c>
      <c r="C19" s="14" t="str">
        <f>IF(ISERR(FIND("-",tab_Geral[[#This Row],[Municípios]],1)),"","Têm Hifen")</f>
        <v/>
      </c>
      <c r="D19" s="14" t="str">
        <f>IF(tab_Geral[[#This Row],[Informação 3]]&lt;&gt;"","","Não Registrado")</f>
        <v/>
      </c>
      <c r="E19" s="14" t="str">
        <f>IF(tab_Geral[[#This Row],[Municípios]]=tab_Geral[[#This Row],[Informação 1]],"","Não!, Erro!")</f>
        <v/>
      </c>
      <c r="F19" s="14" t="str">
        <f>IF(tab_Geral[[#This Row],[Municípios]]=tab_Geral[[#This Row],[Município]],"","Não!, Erro!")</f>
        <v/>
      </c>
      <c r="G19" s="14" t="str">
        <f>VLOOKUP(tab_Geral[[#This Row],[GeoCodigo]],tab_CETESB[],2,FALSE)</f>
        <v>Alvinlândia</v>
      </c>
      <c r="H19" s="14" t="str">
        <f>VLOOKUP(tab_Geral[[#This Row],[Informação 3]],tab_AgênciaAmbiental,10,FALSE)</f>
        <v>23</v>
      </c>
      <c r="I19" s="14" t="s">
        <v>17</v>
      </c>
      <c r="J19" s="18" t="s">
        <v>17</v>
      </c>
      <c r="K19" s="17"/>
      <c r="L19" s="17" t="s">
        <v>1904</v>
      </c>
      <c r="M19" s="17" t="s">
        <v>746</v>
      </c>
      <c r="N19" s="17" t="s">
        <v>747</v>
      </c>
      <c r="O19" s="17" t="s">
        <v>748</v>
      </c>
      <c r="P19" s="17" t="s">
        <v>749</v>
      </c>
      <c r="Q19" s="17" t="s">
        <v>750</v>
      </c>
      <c r="R19" s="17" t="s">
        <v>751</v>
      </c>
      <c r="S19" s="17" t="s">
        <v>752</v>
      </c>
      <c r="T19" s="15"/>
    </row>
    <row r="20" spans="1:20" x14ac:dyDescent="0.25">
      <c r="A20" s="14">
        <v>19</v>
      </c>
      <c r="B20" s="14">
        <v>3501608</v>
      </c>
      <c r="C20" s="14" t="str">
        <f>IF(ISERR(FIND("-",tab_Geral[[#This Row],[Municípios]],1)),"","Têm Hifen")</f>
        <v/>
      </c>
      <c r="D20" s="14" t="str">
        <f>IF(tab_Geral[[#This Row],[Informação 3]]&lt;&gt;"","","Não Registrado")</f>
        <v/>
      </c>
      <c r="E20" s="14" t="str">
        <f>IF(tab_Geral[[#This Row],[Municípios]]=tab_Geral[[#This Row],[Informação 1]],"","Não!, Erro!")</f>
        <v/>
      </c>
      <c r="F20" s="14" t="str">
        <f>IF(tab_Geral[[#This Row],[Municípios]]=tab_Geral[[#This Row],[Município]],"","Não!, Erro!")</f>
        <v/>
      </c>
      <c r="G20" s="14" t="str">
        <f>VLOOKUP(tab_Geral[[#This Row],[GeoCodigo]],tab_CETESB[],2,FALSE)</f>
        <v>Americana</v>
      </c>
      <c r="H20" s="14" t="str">
        <f>VLOOKUP(tab_Geral[[#This Row],[Informação 3]],tab_AgênciaAmbiental,10,FALSE)</f>
        <v>1</v>
      </c>
      <c r="I20" s="14" t="s">
        <v>18</v>
      </c>
      <c r="J20" s="18" t="s">
        <v>18</v>
      </c>
      <c r="K20" s="17"/>
      <c r="L20" s="17" t="s">
        <v>1882</v>
      </c>
      <c r="M20" s="17" t="s">
        <v>753</v>
      </c>
      <c r="N20" s="17" t="s">
        <v>754</v>
      </c>
      <c r="O20" s="17" t="s">
        <v>755</v>
      </c>
      <c r="P20" s="17" t="s">
        <v>756</v>
      </c>
      <c r="Q20" s="17" t="s">
        <v>757</v>
      </c>
      <c r="R20" s="17" t="s">
        <v>758</v>
      </c>
      <c r="S20" s="17" t="s">
        <v>759</v>
      </c>
      <c r="T20" s="15"/>
    </row>
    <row r="21" spans="1:20" x14ac:dyDescent="0.25">
      <c r="A21" s="14">
        <v>20</v>
      </c>
      <c r="B21" s="14">
        <v>3501707</v>
      </c>
      <c r="C21" s="14" t="str">
        <f>IF(ISERR(FIND("-",tab_Geral[[#This Row],[Municípios]],1)),"","Têm Hifen")</f>
        <v/>
      </c>
      <c r="D21" s="14" t="str">
        <f>IF(tab_Geral[[#This Row],[Informação 3]]&lt;&gt;"","","Não Registrado")</f>
        <v/>
      </c>
      <c r="E21" s="14" t="str">
        <f>IF(tab_Geral[[#This Row],[Municípios]]=tab_Geral[[#This Row],[Informação 1]],"","Não!, Erro!")</f>
        <v/>
      </c>
      <c r="F21" s="14" t="str">
        <f>IF(tab_Geral[[#This Row],[Municípios]]=tab_Geral[[#This Row],[Município]],"","Não!, Erro!")</f>
        <v/>
      </c>
      <c r="G21" s="14" t="str">
        <f>VLOOKUP(tab_Geral[[#This Row],[GeoCodigo]],tab_CETESB[],2,FALSE)</f>
        <v>Américo Brasiliense</v>
      </c>
      <c r="H21" s="14" t="str">
        <f>VLOOKUP(tab_Geral[[#This Row],[Informação 3]],tab_AgênciaAmbiental,10,FALSE)</f>
        <v>3</v>
      </c>
      <c r="I21" s="14" t="s">
        <v>19</v>
      </c>
      <c r="J21" s="18" t="s">
        <v>19</v>
      </c>
      <c r="K21" s="17"/>
      <c r="L21" s="17" t="s">
        <v>1884</v>
      </c>
      <c r="M21" s="17" t="s">
        <v>760</v>
      </c>
      <c r="N21" s="17" t="s">
        <v>761</v>
      </c>
      <c r="O21" s="17" t="s">
        <v>762</v>
      </c>
      <c r="P21" s="17" t="s">
        <v>763</v>
      </c>
      <c r="Q21" s="17" t="s">
        <v>764</v>
      </c>
      <c r="R21" s="17" t="s">
        <v>765</v>
      </c>
      <c r="S21" s="17" t="s">
        <v>766</v>
      </c>
      <c r="T21" s="15"/>
    </row>
    <row r="22" spans="1:20" x14ac:dyDescent="0.25">
      <c r="A22" s="14">
        <v>21</v>
      </c>
      <c r="B22" s="14">
        <v>3501806</v>
      </c>
      <c r="C22" s="14" t="str">
        <f>IF(ISERR(FIND("-",tab_Geral[[#This Row],[Municípios]],1)),"","Têm Hifen")</f>
        <v/>
      </c>
      <c r="D22" s="14" t="str">
        <f>IF(tab_Geral[[#This Row],[Informação 3]]&lt;&gt;"","","Não Registrado")</f>
        <v/>
      </c>
      <c r="E22" s="14" t="str">
        <f>IF(tab_Geral[[#This Row],[Municípios]]=tab_Geral[[#This Row],[Informação 1]],"","Não!, Erro!")</f>
        <v/>
      </c>
      <c r="F22" s="14" t="str">
        <f>IF(tab_Geral[[#This Row],[Municípios]]=tab_Geral[[#This Row],[Município]],"","Não!, Erro!")</f>
        <v/>
      </c>
      <c r="G22" s="14" t="str">
        <f>VLOOKUP(tab_Geral[[#This Row],[GeoCodigo]],tab_CETESB[],2,FALSE)</f>
        <v>Américo de Campos</v>
      </c>
      <c r="H22" s="14" t="str">
        <f>VLOOKUP(tab_Geral[[#This Row],[Informação 3]],tab_AgênciaAmbiental,10,FALSE)</f>
        <v>41</v>
      </c>
      <c r="I22" s="14" t="s">
        <v>20</v>
      </c>
      <c r="J22" s="18" t="s">
        <v>20</v>
      </c>
      <c r="K22" s="17"/>
      <c r="L22" s="17" t="s">
        <v>1922</v>
      </c>
      <c r="M22" s="17" t="s">
        <v>739</v>
      </c>
      <c r="N22" s="17" t="s">
        <v>740</v>
      </c>
      <c r="O22" s="17" t="s">
        <v>741</v>
      </c>
      <c r="P22" s="17" t="s">
        <v>742</v>
      </c>
      <c r="Q22" s="17" t="s">
        <v>743</v>
      </c>
      <c r="R22" s="17" t="s">
        <v>744</v>
      </c>
      <c r="S22" s="17" t="s">
        <v>745</v>
      </c>
      <c r="T22" s="15"/>
    </row>
    <row r="23" spans="1:20" x14ac:dyDescent="0.25">
      <c r="A23" s="14">
        <v>22</v>
      </c>
      <c r="B23" s="14">
        <v>3501905</v>
      </c>
      <c r="C23" s="14" t="str">
        <f>IF(ISERR(FIND("-",tab_Geral[[#This Row],[Municípios]],1)),"","Têm Hifen")</f>
        <v/>
      </c>
      <c r="D23" s="14" t="str">
        <f>IF(tab_Geral[[#This Row],[Informação 3]]&lt;&gt;"","","Não Registrado")</f>
        <v/>
      </c>
      <c r="E23" s="14" t="str">
        <f>IF(tab_Geral[[#This Row],[Municípios]]=tab_Geral[[#This Row],[Informação 1]],"","Não!, Erro!")</f>
        <v/>
      </c>
      <c r="F23" s="14" t="str">
        <f>IF(tab_Geral[[#This Row],[Municípios]]=tab_Geral[[#This Row],[Município]],"","Não!, Erro!")</f>
        <v/>
      </c>
      <c r="G23" s="14" t="str">
        <f>VLOOKUP(tab_Geral[[#This Row],[GeoCodigo]],tab_CETESB[],2,FALSE)</f>
        <v>Amparo</v>
      </c>
      <c r="H23" s="14" t="str">
        <f>VLOOKUP(tab_Geral[[#This Row],[Informação 3]],tab_AgênciaAmbiental,10,FALSE)</f>
        <v>27</v>
      </c>
      <c r="I23" s="14" t="s">
        <v>21</v>
      </c>
      <c r="J23" s="18" t="s">
        <v>21</v>
      </c>
      <c r="K23" s="17"/>
      <c r="L23" s="17" t="s">
        <v>1908</v>
      </c>
      <c r="M23" s="17" t="s">
        <v>767</v>
      </c>
      <c r="N23" s="17" t="s">
        <v>768</v>
      </c>
      <c r="O23" s="17" t="s">
        <v>769</v>
      </c>
      <c r="P23" s="17" t="s">
        <v>770</v>
      </c>
      <c r="Q23" s="17" t="s">
        <v>771</v>
      </c>
      <c r="R23" s="17" t="s">
        <v>772</v>
      </c>
      <c r="S23" s="17" t="s">
        <v>773</v>
      </c>
      <c r="T23" s="15"/>
    </row>
    <row r="24" spans="1:20" x14ac:dyDescent="0.25">
      <c r="A24" s="14">
        <v>23</v>
      </c>
      <c r="B24" s="14">
        <v>3502002</v>
      </c>
      <c r="C24" s="14" t="str">
        <f>IF(ISERR(FIND("-",tab_Geral[[#This Row],[Municípios]],1)),"","Têm Hifen")</f>
        <v/>
      </c>
      <c r="D24" s="14" t="str">
        <f>IF(tab_Geral[[#This Row],[Informação 3]]&lt;&gt;"","","Não Registrado")</f>
        <v/>
      </c>
      <c r="E24" s="14" t="str">
        <f>IF(tab_Geral[[#This Row],[Municípios]]=tab_Geral[[#This Row],[Informação 1]],"","Não!, Erro!")</f>
        <v/>
      </c>
      <c r="F24" s="14" t="str">
        <f>IF(tab_Geral[[#This Row],[Municípios]]=tab_Geral[[#This Row],[Município]],"","Não!, Erro!")</f>
        <v/>
      </c>
      <c r="G24" s="14" t="str">
        <f>VLOOKUP(tab_Geral[[#This Row],[GeoCodigo]],tab_CETESB[],2,FALSE)</f>
        <v>Analândia</v>
      </c>
      <c r="H24" s="14" t="str">
        <f>VLOOKUP(tab_Geral[[#This Row],[Informação 3]],tab_AgênciaAmbiental,10,FALSE)</f>
        <v>28</v>
      </c>
      <c r="I24" s="14" t="s">
        <v>22</v>
      </c>
      <c r="J24" s="18" t="s">
        <v>22</v>
      </c>
      <c r="K24" s="17"/>
      <c r="L24" s="17" t="s">
        <v>1909</v>
      </c>
      <c r="M24" s="17" t="s">
        <v>688</v>
      </c>
      <c r="N24" s="17" t="s">
        <v>657</v>
      </c>
      <c r="O24" s="17" t="s">
        <v>689</v>
      </c>
      <c r="P24" s="17" t="s">
        <v>690</v>
      </c>
      <c r="Q24" s="17" t="s">
        <v>691</v>
      </c>
      <c r="R24" s="17" t="s">
        <v>692</v>
      </c>
      <c r="S24" s="17" t="s">
        <v>693</v>
      </c>
      <c r="T24" s="15"/>
    </row>
    <row r="25" spans="1:20" x14ac:dyDescent="0.25">
      <c r="A25" s="14">
        <v>24</v>
      </c>
      <c r="B25" s="14">
        <v>3502101</v>
      </c>
      <c r="C25" s="14" t="str">
        <f>IF(ISERR(FIND("-",tab_Geral[[#This Row],[Municípios]],1)),"","Têm Hifen")</f>
        <v/>
      </c>
      <c r="D25" s="14" t="str">
        <f>IF(tab_Geral[[#This Row],[Informação 3]]&lt;&gt;"","","Não Registrado")</f>
        <v/>
      </c>
      <c r="E25" s="14" t="str">
        <f>IF(tab_Geral[[#This Row],[Municípios]]=tab_Geral[[#This Row],[Informação 1]],"","Não!, Erro!")</f>
        <v/>
      </c>
      <c r="F25" s="14" t="str">
        <f>IF(tab_Geral[[#This Row],[Municípios]]=tab_Geral[[#This Row],[Município]],"","Não!, Erro!")</f>
        <v/>
      </c>
      <c r="G25" s="14" t="str">
        <f>VLOOKUP(tab_Geral[[#This Row],[GeoCodigo]],tab_CETESB[],2,FALSE)</f>
        <v>Andradina</v>
      </c>
      <c r="H25" s="14" t="str">
        <f>VLOOKUP(tab_Geral[[#This Row],[Informação 3]],tab_AgênciaAmbiental,10,FALSE)</f>
        <v>13</v>
      </c>
      <c r="I25" s="14" t="s">
        <v>23</v>
      </c>
      <c r="J25" s="18" t="s">
        <v>23</v>
      </c>
      <c r="K25" s="17"/>
      <c r="L25" s="17" t="s">
        <v>1894</v>
      </c>
      <c r="M25" s="17" t="s">
        <v>656</v>
      </c>
      <c r="N25" s="17" t="s">
        <v>657</v>
      </c>
      <c r="O25" s="17" t="s">
        <v>658</v>
      </c>
      <c r="P25" s="17" t="s">
        <v>659</v>
      </c>
      <c r="Q25" s="17" t="s">
        <v>660</v>
      </c>
      <c r="R25" s="17" t="s">
        <v>661</v>
      </c>
      <c r="S25" s="17" t="s">
        <v>662</v>
      </c>
      <c r="T25" s="15"/>
    </row>
    <row r="26" spans="1:20" x14ac:dyDescent="0.25">
      <c r="A26" s="14">
        <v>25</v>
      </c>
      <c r="B26" s="14">
        <v>3502200</v>
      </c>
      <c r="C26" s="14" t="str">
        <f>IF(ISERR(FIND("-",tab_Geral[[#This Row],[Municípios]],1)),"","Têm Hifen")</f>
        <v/>
      </c>
      <c r="D26" s="14" t="str">
        <f>IF(tab_Geral[[#This Row],[Informação 3]]&lt;&gt;"","","Não Registrado")</f>
        <v/>
      </c>
      <c r="E26" s="14" t="str">
        <f>IF(tab_Geral[[#This Row],[Municípios]]=tab_Geral[[#This Row],[Informação 1]],"","Não!, Erro!")</f>
        <v/>
      </c>
      <c r="F26" s="14" t="str">
        <f>IF(tab_Geral[[#This Row],[Municípios]]=tab_Geral[[#This Row],[Município]],"","Não!, Erro!")</f>
        <v/>
      </c>
      <c r="G26" s="14" t="str">
        <f>VLOOKUP(tab_Geral[[#This Row],[GeoCodigo]],tab_CETESB[],2,FALSE)</f>
        <v>Angatuba</v>
      </c>
      <c r="H26" s="14" t="str">
        <f>VLOOKUP(tab_Geral[[#This Row],[Informação 3]],tab_AgênciaAmbiental,10,FALSE)</f>
        <v>17</v>
      </c>
      <c r="I26" s="14" t="s">
        <v>24</v>
      </c>
      <c r="J26" s="18" t="s">
        <v>24</v>
      </c>
      <c r="K26" s="17"/>
      <c r="L26" s="17" t="s">
        <v>1898</v>
      </c>
      <c r="M26" s="17" t="s">
        <v>701</v>
      </c>
      <c r="N26" s="17" t="s">
        <v>657</v>
      </c>
      <c r="O26" s="17" t="s">
        <v>702</v>
      </c>
      <c r="P26" s="17" t="s">
        <v>703</v>
      </c>
      <c r="Q26" s="17" t="s">
        <v>704</v>
      </c>
      <c r="R26" s="17" t="s">
        <v>705</v>
      </c>
      <c r="S26" s="17" t="s">
        <v>706</v>
      </c>
      <c r="T26" s="15"/>
    </row>
    <row r="27" spans="1:20" x14ac:dyDescent="0.25">
      <c r="A27" s="14">
        <v>26</v>
      </c>
      <c r="B27" s="14">
        <v>3502309</v>
      </c>
      <c r="C27" s="14" t="str">
        <f>IF(ISERR(FIND("-",tab_Geral[[#This Row],[Municípios]],1)),"","Têm Hifen")</f>
        <v/>
      </c>
      <c r="D27" s="14" t="str">
        <f>IF(tab_Geral[[#This Row],[Informação 3]]&lt;&gt;"","","Não Registrado")</f>
        <v/>
      </c>
      <c r="E27" s="14" t="str">
        <f>IF(tab_Geral[[#This Row],[Municípios]]=tab_Geral[[#This Row],[Informação 1]],"","Não!, Erro!")</f>
        <v/>
      </c>
      <c r="F27" s="14" t="str">
        <f>IF(tab_Geral[[#This Row],[Municípios]]=tab_Geral[[#This Row],[Município]],"","Não!, Erro!")</f>
        <v/>
      </c>
      <c r="G27" s="14" t="str">
        <f>VLOOKUP(tab_Geral[[#This Row],[GeoCodigo]],tab_CETESB[],2,FALSE)</f>
        <v>Anhembi</v>
      </c>
      <c r="H27" s="14" t="str">
        <f>VLOOKUP(tab_Geral[[#This Row],[Informação 3]],tab_AgênciaAmbiental,10,FALSE)</f>
        <v>9</v>
      </c>
      <c r="I27" s="14" t="s">
        <v>25</v>
      </c>
      <c r="J27" s="18" t="s">
        <v>25</v>
      </c>
      <c r="K27" s="17"/>
      <c r="L27" s="17" t="s">
        <v>1890</v>
      </c>
      <c r="M27" s="17" t="s">
        <v>774</v>
      </c>
      <c r="N27" s="17" t="s">
        <v>775</v>
      </c>
      <c r="O27" s="17" t="s">
        <v>776</v>
      </c>
      <c r="P27" s="17" t="s">
        <v>777</v>
      </c>
      <c r="Q27" s="17" t="s">
        <v>778</v>
      </c>
      <c r="R27" s="17" t="s">
        <v>779</v>
      </c>
      <c r="S27" s="17" t="s">
        <v>780</v>
      </c>
      <c r="T27" s="15"/>
    </row>
    <row r="28" spans="1:20" x14ac:dyDescent="0.25">
      <c r="A28" s="14">
        <v>27</v>
      </c>
      <c r="B28" s="14">
        <v>3502408</v>
      </c>
      <c r="C28" s="14" t="str">
        <f>IF(ISERR(FIND("-",tab_Geral[[#This Row],[Municípios]],1)),"","Têm Hifen")</f>
        <v/>
      </c>
      <c r="D28" s="14" t="str">
        <f>IF(tab_Geral[[#This Row],[Informação 3]]&lt;&gt;"","","Não Registrado")</f>
        <v/>
      </c>
      <c r="E28" s="14" t="str">
        <f>IF(tab_Geral[[#This Row],[Municípios]]=tab_Geral[[#This Row],[Informação 1]],"","Não!, Erro!")</f>
        <v/>
      </c>
      <c r="F28" s="14" t="str">
        <f>IF(tab_Geral[[#This Row],[Municípios]]=tab_Geral[[#This Row],[Município]],"","Não!, Erro!")</f>
        <v/>
      </c>
      <c r="G28" s="14" t="str">
        <f>VLOOKUP(tab_Geral[[#This Row],[GeoCodigo]],tab_CETESB[],2,FALSE)</f>
        <v>Anhumas</v>
      </c>
      <c r="H28" s="14" t="str">
        <f>VLOOKUP(tab_Geral[[#This Row],[Informação 3]],tab_AgênciaAmbiental,10,FALSE)</f>
        <v>29</v>
      </c>
      <c r="I28" s="14" t="s">
        <v>26</v>
      </c>
      <c r="J28" s="18" t="s">
        <v>26</v>
      </c>
      <c r="K28" s="17"/>
      <c r="L28" s="17" t="s">
        <v>1910</v>
      </c>
      <c r="M28" s="17" t="s">
        <v>707</v>
      </c>
      <c r="N28" s="17" t="s">
        <v>708</v>
      </c>
      <c r="O28" s="17" t="s">
        <v>709</v>
      </c>
      <c r="P28" s="17" t="s">
        <v>710</v>
      </c>
      <c r="Q28" s="17" t="s">
        <v>711</v>
      </c>
      <c r="R28" s="17" t="s">
        <v>686</v>
      </c>
      <c r="S28" s="17" t="s">
        <v>712</v>
      </c>
      <c r="T28" s="15"/>
    </row>
    <row r="29" spans="1:20" x14ac:dyDescent="0.25">
      <c r="A29" s="14">
        <v>28</v>
      </c>
      <c r="B29" s="14">
        <v>3502507</v>
      </c>
      <c r="C29" s="14" t="str">
        <f>IF(ISERR(FIND("-",tab_Geral[[#This Row],[Municípios]],1)),"","Têm Hifen")</f>
        <v/>
      </c>
      <c r="D29" s="14" t="str">
        <f>IF(tab_Geral[[#This Row],[Informação 3]]&lt;&gt;"","","Não Registrado")</f>
        <v/>
      </c>
      <c r="E29" s="14" t="str">
        <f>IF(tab_Geral[[#This Row],[Municípios]]=tab_Geral[[#This Row],[Informação 1]],"","Não!, Erro!")</f>
        <v/>
      </c>
      <c r="F29" s="14" t="str">
        <f>IF(tab_Geral[[#This Row],[Municípios]]=tab_Geral[[#This Row],[Município]],"","Não!, Erro!")</f>
        <v/>
      </c>
      <c r="G29" s="14" t="str">
        <f>VLOOKUP(tab_Geral[[#This Row],[GeoCodigo]],tab_CETESB[],2,FALSE)</f>
        <v>Aparecida</v>
      </c>
      <c r="H29" s="14" t="str">
        <f>VLOOKUP(tab_Geral[[#This Row],[Informação 3]],tab_AgênciaAmbiental,10,FALSE)</f>
        <v>40</v>
      </c>
      <c r="I29" s="14" t="s">
        <v>27</v>
      </c>
      <c r="J29" s="18" t="s">
        <v>27</v>
      </c>
      <c r="K29" s="17"/>
      <c r="L29" s="17" t="s">
        <v>1921</v>
      </c>
      <c r="M29" s="17" t="s">
        <v>781</v>
      </c>
      <c r="N29" s="17" t="s">
        <v>782</v>
      </c>
      <c r="O29" s="17" t="s">
        <v>783</v>
      </c>
      <c r="P29" s="17" t="s">
        <v>784</v>
      </c>
      <c r="Q29" s="17" t="s">
        <v>785</v>
      </c>
      <c r="R29" s="17" t="s">
        <v>786</v>
      </c>
      <c r="S29" s="17" t="s">
        <v>787</v>
      </c>
      <c r="T29" s="15"/>
    </row>
    <row r="30" spans="1:20" x14ac:dyDescent="0.25">
      <c r="A30" s="14">
        <v>628</v>
      </c>
      <c r="B30" s="14">
        <v>3502606</v>
      </c>
      <c r="C30" s="14" t="str">
        <f>IF(ISERR(FIND("-",tab_Geral[[#This Row],[Municípios]],1)),"","Têm Hifen")</f>
        <v/>
      </c>
      <c r="D30" s="14" t="str">
        <f>IF(tab_Geral[[#This Row],[Informação 3]]&lt;&gt;"","","Não Registrado")</f>
        <v/>
      </c>
      <c r="E30" s="14" t="str">
        <f>IF(tab_Geral[[#This Row],[Municípios]]=tab_Geral[[#This Row],[Informação 1]],"","Não!, Erro!")</f>
        <v/>
      </c>
      <c r="F30" s="14" t="str">
        <f>IF(tab_Geral[[#This Row],[Municípios]]=tab_Geral[[#This Row],[Município]],"","Não!, Erro!")</f>
        <v>Não!, Erro!</v>
      </c>
      <c r="G30" s="14" t="str">
        <f>VLOOKUP(tab_Geral[[#This Row],[GeoCodigo]],tab_CETESB[],2,FALSE)</f>
        <v>Aparecida d'Oeste</v>
      </c>
      <c r="H30" s="14" t="str">
        <f>VLOOKUP(tab_Geral[[#This Row],[Informação 3]],tab_AgênciaAmbiental,10,FALSE)</f>
        <v>20</v>
      </c>
      <c r="I30" s="14" t="s">
        <v>28</v>
      </c>
      <c r="J30" s="18" t="s">
        <v>28</v>
      </c>
      <c r="K30" s="17"/>
      <c r="L30" s="17" t="s">
        <v>1901</v>
      </c>
      <c r="M30" s="17" t="s">
        <v>788</v>
      </c>
      <c r="N30" s="17" t="s">
        <v>789</v>
      </c>
      <c r="O30" s="17" t="s">
        <v>790</v>
      </c>
      <c r="P30" s="17" t="s">
        <v>791</v>
      </c>
      <c r="Q30" s="17" t="s">
        <v>792</v>
      </c>
      <c r="R30" s="17" t="s">
        <v>793</v>
      </c>
      <c r="S30" s="17" t="s">
        <v>794</v>
      </c>
      <c r="T30" s="15"/>
    </row>
    <row r="31" spans="1:20" x14ac:dyDescent="0.25">
      <c r="A31" s="14">
        <v>29</v>
      </c>
      <c r="B31" s="14">
        <v>3502705</v>
      </c>
      <c r="C31" s="14" t="str">
        <f>IF(ISERR(FIND("-",tab_Geral[[#This Row],[Municípios]],1)),"","Têm Hifen")</f>
        <v/>
      </c>
      <c r="D31" s="14" t="str">
        <f>IF(tab_Geral[[#This Row],[Informação 3]]&lt;&gt;"","","Não Registrado")</f>
        <v/>
      </c>
      <c r="E31" s="14" t="str">
        <f>IF(tab_Geral[[#This Row],[Municípios]]=tab_Geral[[#This Row],[Informação 1]],"","Não!, Erro!")</f>
        <v/>
      </c>
      <c r="F31" s="14" t="str">
        <f>IF(tab_Geral[[#This Row],[Municípios]]=tab_Geral[[#This Row],[Município]],"","Não!, Erro!")</f>
        <v/>
      </c>
      <c r="G31" s="14" t="str">
        <f>VLOOKUP(tab_Geral[[#This Row],[GeoCodigo]],tab_CETESB[],2,FALSE)</f>
        <v>Apiaí</v>
      </c>
      <c r="H31" s="14" t="str">
        <f>VLOOKUP(tab_Geral[[#This Row],[Informação 3]],tab_AgênciaAmbiental,10,FALSE)</f>
        <v>11</v>
      </c>
      <c r="I31" s="14" t="s">
        <v>29</v>
      </c>
      <c r="J31" s="18" t="s">
        <v>29</v>
      </c>
      <c r="K31" s="17"/>
      <c r="L31" s="17" t="s">
        <v>1892</v>
      </c>
      <c r="M31" s="17" t="s">
        <v>795</v>
      </c>
      <c r="N31" s="17" t="s">
        <v>796</v>
      </c>
      <c r="O31" s="17" t="s">
        <v>797</v>
      </c>
      <c r="P31" s="17" t="s">
        <v>798</v>
      </c>
      <c r="Q31" s="17" t="s">
        <v>799</v>
      </c>
      <c r="R31" s="17" t="s">
        <v>800</v>
      </c>
      <c r="S31" s="17" t="s">
        <v>801</v>
      </c>
      <c r="T31" s="15"/>
    </row>
    <row r="32" spans="1:20" x14ac:dyDescent="0.25">
      <c r="A32" s="14">
        <v>30</v>
      </c>
      <c r="B32" s="14">
        <v>3502754</v>
      </c>
      <c r="C32" s="14" t="str">
        <f>IF(ISERR(FIND("-",tab_Geral[[#This Row],[Municípios]],1)),"","Têm Hifen")</f>
        <v/>
      </c>
      <c r="D32" s="14" t="str">
        <f>IF(tab_Geral[[#This Row],[Informação 3]]&lt;&gt;"","","Não Registrado")</f>
        <v/>
      </c>
      <c r="E32" s="14" t="str">
        <f>IF(tab_Geral[[#This Row],[Municípios]]=tab_Geral[[#This Row],[Informação 1]],"","Não!, Erro!")</f>
        <v/>
      </c>
      <c r="F32" s="14" t="str">
        <f>IF(tab_Geral[[#This Row],[Municípios]]=tab_Geral[[#This Row],[Município]],"","Não!, Erro!")</f>
        <v/>
      </c>
      <c r="G32" s="14" t="str">
        <f>VLOOKUP(tab_Geral[[#This Row],[GeoCodigo]],tab_CETESB[],2,FALSE)</f>
        <v>Araçariguama</v>
      </c>
      <c r="H32" s="14" t="str">
        <f>VLOOKUP(tab_Geral[[#This Row],[Informação 3]],tab_AgênciaAmbiental,10,FALSE)</f>
        <v>18</v>
      </c>
      <c r="I32" s="14" t="s">
        <v>30</v>
      </c>
      <c r="J32" s="18" t="s">
        <v>30</v>
      </c>
      <c r="K32" s="17"/>
      <c r="L32" s="17" t="s">
        <v>1899</v>
      </c>
      <c r="M32" s="17" t="s">
        <v>733</v>
      </c>
      <c r="N32" s="17" t="s">
        <v>657</v>
      </c>
      <c r="O32" s="17" t="s">
        <v>734</v>
      </c>
      <c r="P32" s="17" t="s">
        <v>735</v>
      </c>
      <c r="Q32" s="17" t="s">
        <v>736</v>
      </c>
      <c r="R32" s="17" t="s">
        <v>737</v>
      </c>
      <c r="S32" s="17" t="s">
        <v>738</v>
      </c>
      <c r="T32" s="15"/>
    </row>
    <row r="33" spans="1:20" x14ac:dyDescent="0.25">
      <c r="A33" s="14">
        <v>31</v>
      </c>
      <c r="B33" s="14">
        <v>3502804</v>
      </c>
      <c r="C33" s="14" t="str">
        <f>IF(ISERR(FIND("-",tab_Geral[[#This Row],[Municípios]],1)),"","Têm Hifen")</f>
        <v/>
      </c>
      <c r="D33" s="14" t="str">
        <f>IF(tab_Geral[[#This Row],[Informação 3]]&lt;&gt;"","","Não Registrado")</f>
        <v/>
      </c>
      <c r="E33" s="14" t="str">
        <f>IF(tab_Geral[[#This Row],[Municípios]]=tab_Geral[[#This Row],[Informação 1]],"","Não!, Erro!")</f>
        <v/>
      </c>
      <c r="F33" s="14" t="str">
        <f>IF(tab_Geral[[#This Row],[Municípios]]=tab_Geral[[#This Row],[Município]],"","Não!, Erro!")</f>
        <v/>
      </c>
      <c r="G33" s="14" t="str">
        <f>VLOOKUP(tab_Geral[[#This Row],[GeoCodigo]],tab_CETESB[],2,FALSE)</f>
        <v>Araçatuba</v>
      </c>
      <c r="H33" s="14" t="str">
        <f>VLOOKUP(tab_Geral[[#This Row],[Informação 3]],tab_AgênciaAmbiental,10,FALSE)</f>
        <v>2</v>
      </c>
      <c r="I33" s="14" t="s">
        <v>31</v>
      </c>
      <c r="J33" s="18" t="s">
        <v>31</v>
      </c>
      <c r="K33" s="17"/>
      <c r="L33" s="17" t="s">
        <v>1883</v>
      </c>
      <c r="M33" s="17" t="s">
        <v>727</v>
      </c>
      <c r="N33" s="17" t="s">
        <v>728</v>
      </c>
      <c r="O33" s="17" t="s">
        <v>729</v>
      </c>
      <c r="P33" s="17" t="s">
        <v>730</v>
      </c>
      <c r="Q33" s="17" t="s">
        <v>731</v>
      </c>
      <c r="R33" s="17" t="s">
        <v>732</v>
      </c>
      <c r="S33" s="17" t="s">
        <v>936</v>
      </c>
    </row>
    <row r="34" spans="1:20" x14ac:dyDescent="0.25">
      <c r="A34" s="14">
        <v>32</v>
      </c>
      <c r="B34" s="14">
        <v>3502903</v>
      </c>
      <c r="C34" s="14" t="str">
        <f>IF(ISERR(FIND("-",tab_Geral[[#This Row],[Municípios]],1)),"","Têm Hifen")</f>
        <v/>
      </c>
      <c r="D34" s="14" t="str">
        <f>IF(tab_Geral[[#This Row],[Informação 3]]&lt;&gt;"","","Não Registrado")</f>
        <v/>
      </c>
      <c r="E34" s="14" t="str">
        <f>IF(tab_Geral[[#This Row],[Municípios]]=tab_Geral[[#This Row],[Informação 1]],"","Não!, Erro!")</f>
        <v/>
      </c>
      <c r="F34" s="14" t="str">
        <f>IF(tab_Geral[[#This Row],[Municípios]]=tab_Geral[[#This Row],[Município]],"","Não!, Erro!")</f>
        <v/>
      </c>
      <c r="G34" s="14" t="str">
        <f>VLOOKUP(tab_Geral[[#This Row],[GeoCodigo]],tab_CETESB[],2,FALSE)</f>
        <v>Araçoiaba da Serra</v>
      </c>
      <c r="H34" s="14" t="str">
        <f>VLOOKUP(tab_Geral[[#This Row],[Informação 3]],tab_AgênciaAmbiental,10,FALSE)</f>
        <v>39</v>
      </c>
      <c r="I34" s="14" t="s">
        <v>32</v>
      </c>
      <c r="J34" s="18" t="s">
        <v>32</v>
      </c>
      <c r="K34" s="17"/>
      <c r="L34" s="17" t="s">
        <v>1920</v>
      </c>
      <c r="M34" s="17" t="s">
        <v>802</v>
      </c>
      <c r="N34" s="17" t="s">
        <v>803</v>
      </c>
      <c r="O34" s="17" t="s">
        <v>804</v>
      </c>
      <c r="P34" s="17" t="s">
        <v>805</v>
      </c>
      <c r="Q34" s="17" t="s">
        <v>806</v>
      </c>
      <c r="R34" s="17" t="s">
        <v>807</v>
      </c>
      <c r="S34" s="17" t="s">
        <v>808</v>
      </c>
      <c r="T34" s="15"/>
    </row>
    <row r="35" spans="1:20" x14ac:dyDescent="0.25">
      <c r="A35" s="14">
        <v>33</v>
      </c>
      <c r="B35" s="14">
        <v>3503000</v>
      </c>
      <c r="C35" s="14" t="str">
        <f>IF(ISERR(FIND("-",tab_Geral[[#This Row],[Municípios]],1)),"","Têm Hifen")</f>
        <v/>
      </c>
      <c r="D35" s="14" t="str">
        <f>IF(tab_Geral[[#This Row],[Informação 3]]&lt;&gt;"","","Não Registrado")</f>
        <v/>
      </c>
      <c r="E35" s="14" t="str">
        <f>IF(tab_Geral[[#This Row],[Municípios]]=tab_Geral[[#This Row],[Informação 1]],"","Não!, Erro!")</f>
        <v/>
      </c>
      <c r="F35" s="14" t="str">
        <f>IF(tab_Geral[[#This Row],[Municípios]]=tab_Geral[[#This Row],[Município]],"","Não!, Erro!")</f>
        <v/>
      </c>
      <c r="G35" s="14" t="str">
        <f>VLOOKUP(tab_Geral[[#This Row],[GeoCodigo]],tab_CETESB[],2,FALSE)</f>
        <v>Aramina</v>
      </c>
      <c r="H35" s="14" t="str">
        <f>VLOOKUP(tab_Geral[[#This Row],[Informação 3]],tab_AgênciaAmbiental,10,FALSE)</f>
        <v>15</v>
      </c>
      <c r="I35" s="14" t="s">
        <v>33</v>
      </c>
      <c r="J35" s="18" t="s">
        <v>33</v>
      </c>
      <c r="K35" s="17"/>
      <c r="L35" s="17" t="s">
        <v>1896</v>
      </c>
      <c r="M35" s="17" t="s">
        <v>809</v>
      </c>
      <c r="N35" s="17" t="s">
        <v>810</v>
      </c>
      <c r="O35" s="17" t="s">
        <v>811</v>
      </c>
      <c r="P35" s="17" t="s">
        <v>812</v>
      </c>
      <c r="Q35" s="17" t="s">
        <v>813</v>
      </c>
      <c r="R35" s="17" t="s">
        <v>814</v>
      </c>
      <c r="S35" s="17" t="s">
        <v>815</v>
      </c>
      <c r="T35" s="15"/>
    </row>
    <row r="36" spans="1:20" x14ac:dyDescent="0.25">
      <c r="A36" s="14">
        <v>34</v>
      </c>
      <c r="B36" s="14">
        <v>3503109</v>
      </c>
      <c r="C36" s="14" t="str">
        <f>IF(ISERR(FIND("-",tab_Geral[[#This Row],[Municípios]],1)),"","Têm Hifen")</f>
        <v/>
      </c>
      <c r="D36" s="14" t="str">
        <f>IF(tab_Geral[[#This Row],[Informação 3]]&lt;&gt;"","","Não Registrado")</f>
        <v/>
      </c>
      <c r="E36" s="14" t="str">
        <f>IF(tab_Geral[[#This Row],[Municípios]]=tab_Geral[[#This Row],[Informação 1]],"","Não!, Erro!")</f>
        <v/>
      </c>
      <c r="F36" s="14" t="str">
        <f>IF(tab_Geral[[#This Row],[Municípios]]=tab_Geral[[#This Row],[Município]],"","Não!, Erro!")</f>
        <v/>
      </c>
      <c r="G36" s="14" t="str">
        <f>VLOOKUP(tab_Geral[[#This Row],[GeoCodigo]],tab_CETESB[],2,FALSE)</f>
        <v>Arandu</v>
      </c>
      <c r="H36" s="14" t="str">
        <f>VLOOKUP(tab_Geral[[#This Row],[Informação 3]],tab_AgênciaAmbiental,10,FALSE)</f>
        <v>6</v>
      </c>
      <c r="I36" s="14" t="s">
        <v>34</v>
      </c>
      <c r="J36" s="18" t="s">
        <v>34</v>
      </c>
      <c r="K36" s="17"/>
      <c r="L36" s="17" t="s">
        <v>1887</v>
      </c>
      <c r="M36" s="17" t="s">
        <v>681</v>
      </c>
      <c r="N36" s="17" t="s">
        <v>682</v>
      </c>
      <c r="O36" s="17" t="s">
        <v>683</v>
      </c>
      <c r="P36" s="17" t="s">
        <v>684</v>
      </c>
      <c r="Q36" s="17" t="s">
        <v>685</v>
      </c>
      <c r="R36" s="17" t="s">
        <v>686</v>
      </c>
      <c r="S36" s="17" t="s">
        <v>687</v>
      </c>
      <c r="T36" s="15"/>
    </row>
    <row r="37" spans="1:20" x14ac:dyDescent="0.25">
      <c r="A37" s="14">
        <v>35</v>
      </c>
      <c r="B37" s="14">
        <v>3503158</v>
      </c>
      <c r="C37" s="14" t="str">
        <f>IF(ISERR(FIND("-",tab_Geral[[#This Row],[Municípios]],1)),"","Têm Hifen")</f>
        <v/>
      </c>
      <c r="D37" s="14" t="str">
        <f>IF(tab_Geral[[#This Row],[Informação 3]]&lt;&gt;"","","Não Registrado")</f>
        <v/>
      </c>
      <c r="E37" s="14" t="str">
        <f>IF(tab_Geral[[#This Row],[Municípios]]=tab_Geral[[#This Row],[Informação 1]],"","Não!, Erro!")</f>
        <v/>
      </c>
      <c r="F37" s="14" t="str">
        <f>IF(tab_Geral[[#This Row],[Municípios]]=tab_Geral[[#This Row],[Município]],"","Não!, Erro!")</f>
        <v/>
      </c>
      <c r="G37" s="14" t="str">
        <f>VLOOKUP(tab_Geral[[#This Row],[GeoCodigo]],tab_CETESB[],2,FALSE)</f>
        <v>Arapeí</v>
      </c>
      <c r="H37" s="14" t="str">
        <f>VLOOKUP(tab_Geral[[#This Row],[Informação 3]],tab_AgênciaAmbiental,10,FALSE)</f>
        <v>40</v>
      </c>
      <c r="I37" s="14" t="s">
        <v>35</v>
      </c>
      <c r="J37" s="18" t="s">
        <v>35</v>
      </c>
      <c r="K37" s="17"/>
      <c r="L37" s="17" t="s">
        <v>1921</v>
      </c>
      <c r="M37" s="17" t="s">
        <v>781</v>
      </c>
      <c r="N37" s="17" t="s">
        <v>782</v>
      </c>
      <c r="O37" s="17" t="s">
        <v>783</v>
      </c>
      <c r="P37" s="17" t="s">
        <v>784</v>
      </c>
      <c r="Q37" s="17" t="s">
        <v>785</v>
      </c>
      <c r="R37" s="17" t="s">
        <v>786</v>
      </c>
      <c r="S37" s="17" t="s">
        <v>787</v>
      </c>
      <c r="T37" s="15"/>
    </row>
    <row r="38" spans="1:20" x14ac:dyDescent="0.25">
      <c r="A38" s="14">
        <v>36</v>
      </c>
      <c r="B38" s="14">
        <v>3503208</v>
      </c>
      <c r="C38" s="14" t="str">
        <f>IF(ISERR(FIND("-",tab_Geral[[#This Row],[Municípios]],1)),"","Têm Hifen")</f>
        <v/>
      </c>
      <c r="D38" s="14" t="str">
        <f>IF(tab_Geral[[#This Row],[Informação 3]]&lt;&gt;"","","Não Registrado")</f>
        <v/>
      </c>
      <c r="E38" s="14" t="str">
        <f>IF(tab_Geral[[#This Row],[Municípios]]=tab_Geral[[#This Row],[Informação 1]],"","Não!, Erro!")</f>
        <v/>
      </c>
      <c r="F38" s="14" t="str">
        <f>IF(tab_Geral[[#This Row],[Municípios]]=tab_Geral[[#This Row],[Município]],"","Não!, Erro!")</f>
        <v/>
      </c>
      <c r="G38" s="14" t="str">
        <f>VLOOKUP(tab_Geral[[#This Row],[GeoCodigo]],tab_CETESB[],2,FALSE)</f>
        <v>Araraquara</v>
      </c>
      <c r="H38" s="14" t="str">
        <f>VLOOKUP(tab_Geral[[#This Row],[Informação 3]],tab_AgênciaAmbiental,10,FALSE)</f>
        <v>3</v>
      </c>
      <c r="I38" s="14" t="s">
        <v>36</v>
      </c>
      <c r="J38" s="18" t="s">
        <v>36</v>
      </c>
      <c r="K38" s="17"/>
      <c r="L38" s="17" t="s">
        <v>1884</v>
      </c>
      <c r="M38" s="17" t="s">
        <v>760</v>
      </c>
      <c r="N38" s="17" t="s">
        <v>761</v>
      </c>
      <c r="O38" s="17" t="s">
        <v>762</v>
      </c>
      <c r="P38" s="17" t="s">
        <v>763</v>
      </c>
      <c r="Q38" s="17" t="s">
        <v>764</v>
      </c>
      <c r="R38" s="17" t="s">
        <v>765</v>
      </c>
      <c r="S38" s="17" t="s">
        <v>766</v>
      </c>
      <c r="T38" s="15"/>
    </row>
    <row r="39" spans="1:20" x14ac:dyDescent="0.25">
      <c r="A39" s="14">
        <v>37</v>
      </c>
      <c r="B39" s="14">
        <v>3503307</v>
      </c>
      <c r="C39" s="14" t="str">
        <f>IF(ISERR(FIND("-",tab_Geral[[#This Row],[Municípios]],1)),"","Têm Hifen")</f>
        <v/>
      </c>
      <c r="D39" s="14" t="str">
        <f>IF(tab_Geral[[#This Row],[Informação 3]]&lt;&gt;"","","Não Registrado")</f>
        <v/>
      </c>
      <c r="E39" s="14" t="str">
        <f>IF(tab_Geral[[#This Row],[Municípios]]=tab_Geral[[#This Row],[Informação 1]],"","Não!, Erro!")</f>
        <v/>
      </c>
      <c r="F39" s="14" t="str">
        <f>IF(tab_Geral[[#This Row],[Municípios]]=tab_Geral[[#This Row],[Município]],"","Não!, Erro!")</f>
        <v/>
      </c>
      <c r="G39" s="14" t="str">
        <f>VLOOKUP(tab_Geral[[#This Row],[GeoCodigo]],tab_CETESB[],2,FALSE)</f>
        <v>Araras</v>
      </c>
      <c r="H39" s="14" t="str">
        <f>VLOOKUP(tab_Geral[[#This Row],[Informação 3]],tab_AgênciaAmbiental,10,FALSE)</f>
        <v>25</v>
      </c>
      <c r="I39" s="14" t="s">
        <v>37</v>
      </c>
      <c r="J39" s="18" t="s">
        <v>37</v>
      </c>
      <c r="K39" s="17"/>
      <c r="L39" s="17" t="s">
        <v>1906</v>
      </c>
      <c r="M39" s="17" t="s">
        <v>669</v>
      </c>
      <c r="N39" s="17" t="s">
        <v>670</v>
      </c>
      <c r="O39" s="17" t="s">
        <v>671</v>
      </c>
      <c r="P39" s="17" t="s">
        <v>672</v>
      </c>
      <c r="Q39" s="17" t="s">
        <v>673</v>
      </c>
      <c r="R39" s="17" t="s">
        <v>674</v>
      </c>
      <c r="S39" s="17" t="s">
        <v>675</v>
      </c>
      <c r="T39" s="15"/>
    </row>
    <row r="40" spans="1:20" x14ac:dyDescent="0.25">
      <c r="A40" s="14">
        <v>642</v>
      </c>
      <c r="B40" s="14">
        <v>3503356</v>
      </c>
      <c r="C40" s="14" t="str">
        <f>IF(ISERR(FIND("-",tab_Geral[[#This Row],[Municípios]],1)),"","Têm Hifen")</f>
        <v>Têm Hifen</v>
      </c>
      <c r="D40" s="14" t="str">
        <f>IF(tab_Geral[[#This Row],[Informação 3]]&lt;&gt;"","","Não Registrado")</f>
        <v/>
      </c>
      <c r="E40" s="14" t="str">
        <f>IF(tab_Geral[[#This Row],[Municípios]]=tab_Geral[[#This Row],[Informação 1]],"","Não!, Erro!")</f>
        <v/>
      </c>
      <c r="F40" s="14" t="str">
        <f>IF(tab_Geral[[#This Row],[Municípios]]=tab_Geral[[#This Row],[Município]],"","Não!, Erro!")</f>
        <v/>
      </c>
      <c r="G40" s="14" t="str">
        <f>VLOOKUP(tab_Geral[[#This Row],[GeoCodigo]],tab_CETESB[],2,FALSE)</f>
        <v>Arco-Íris</v>
      </c>
      <c r="H40" s="14" t="str">
        <f>VLOOKUP(tab_Geral[[#This Row],[Informação 3]],tab_AgênciaAmbiental,10,FALSE)</f>
        <v>23</v>
      </c>
      <c r="I40" s="14" t="s">
        <v>38</v>
      </c>
      <c r="J40" s="18" t="s">
        <v>38</v>
      </c>
      <c r="K40" s="17"/>
      <c r="L40" s="17" t="s">
        <v>1904</v>
      </c>
      <c r="M40" s="17" t="s">
        <v>746</v>
      </c>
      <c r="N40" s="17" t="s">
        <v>747</v>
      </c>
      <c r="O40" s="17" t="s">
        <v>748</v>
      </c>
      <c r="P40" s="17" t="s">
        <v>749</v>
      </c>
      <c r="Q40" s="17" t="s">
        <v>750</v>
      </c>
      <c r="R40" s="17" t="s">
        <v>751</v>
      </c>
      <c r="S40" s="19" t="s">
        <v>752</v>
      </c>
      <c r="T40" s="15"/>
    </row>
    <row r="41" spans="1:20" x14ac:dyDescent="0.25">
      <c r="A41" s="14">
        <v>38</v>
      </c>
      <c r="B41" s="14">
        <v>3503406</v>
      </c>
      <c r="C41" s="14" t="str">
        <f>IF(ISERR(FIND("-",tab_Geral[[#This Row],[Municípios]],1)),"","Têm Hifen")</f>
        <v/>
      </c>
      <c r="D41" s="14" t="str">
        <f>IF(tab_Geral[[#This Row],[Informação 3]]&lt;&gt;"","","Não Registrado")</f>
        <v/>
      </c>
      <c r="E41" s="14" t="str">
        <f>IF(tab_Geral[[#This Row],[Municípios]]=tab_Geral[[#This Row],[Informação 1]],"","Não!, Erro!")</f>
        <v/>
      </c>
      <c r="F41" s="14" t="str">
        <f>IF(tab_Geral[[#This Row],[Municípios]]=tab_Geral[[#This Row],[Município]],"","Não!, Erro!")</f>
        <v/>
      </c>
      <c r="G41" s="14" t="str">
        <f>VLOOKUP(tab_Geral[[#This Row],[GeoCodigo]],tab_CETESB[],2,FALSE)</f>
        <v>Arealva</v>
      </c>
      <c r="H41" s="14" t="str">
        <f>VLOOKUP(tab_Geral[[#This Row],[Informação 3]],tab_AgênciaAmbiental,10,FALSE)</f>
        <v>8</v>
      </c>
      <c r="I41" s="14" t="s">
        <v>39</v>
      </c>
      <c r="J41" s="18" t="s">
        <v>39</v>
      </c>
      <c r="K41" s="17"/>
      <c r="L41" s="17" t="s">
        <v>1889</v>
      </c>
      <c r="M41" s="17" t="s">
        <v>694</v>
      </c>
      <c r="N41" s="17" t="s">
        <v>695</v>
      </c>
      <c r="O41" s="17" t="s">
        <v>696</v>
      </c>
      <c r="P41" s="17" t="s">
        <v>697</v>
      </c>
      <c r="Q41" s="17" t="s">
        <v>698</v>
      </c>
      <c r="R41" s="17" t="s">
        <v>699</v>
      </c>
      <c r="S41" s="17" t="s">
        <v>700</v>
      </c>
      <c r="T41" s="15"/>
    </row>
    <row r="42" spans="1:20" x14ac:dyDescent="0.25">
      <c r="A42" s="14">
        <v>39</v>
      </c>
      <c r="B42" s="14">
        <v>3503505</v>
      </c>
      <c r="C42" s="14" t="str">
        <f>IF(ISERR(FIND("-",tab_Geral[[#This Row],[Municípios]],1)),"","Têm Hifen")</f>
        <v/>
      </c>
      <c r="D42" s="14" t="str">
        <f>IF(tab_Geral[[#This Row],[Informação 3]]&lt;&gt;"","","Não Registrado")</f>
        <v/>
      </c>
      <c r="E42" s="14" t="str">
        <f>IF(tab_Geral[[#This Row],[Municípios]]=tab_Geral[[#This Row],[Informação 1]],"","Não!, Erro!")</f>
        <v/>
      </c>
      <c r="F42" s="14" t="str">
        <f>IF(tab_Geral[[#This Row],[Municípios]]=tab_Geral[[#This Row],[Município]],"","Não!, Erro!")</f>
        <v/>
      </c>
      <c r="G42" s="14" t="str">
        <f>VLOOKUP(tab_Geral[[#This Row],[GeoCodigo]],tab_CETESB[],2,FALSE)</f>
        <v>Areias</v>
      </c>
      <c r="H42" s="14" t="str">
        <f>VLOOKUP(tab_Geral[[#This Row],[Informação 3]],tab_AgênciaAmbiental,10,FALSE)</f>
        <v>40</v>
      </c>
      <c r="I42" s="14" t="s">
        <v>40</v>
      </c>
      <c r="J42" s="18" t="s">
        <v>40</v>
      </c>
      <c r="K42" s="17"/>
      <c r="L42" s="17" t="s">
        <v>1921</v>
      </c>
      <c r="M42" s="17" t="s">
        <v>781</v>
      </c>
      <c r="N42" s="17" t="s">
        <v>782</v>
      </c>
      <c r="O42" s="17" t="s">
        <v>783</v>
      </c>
      <c r="P42" s="17" t="s">
        <v>784</v>
      </c>
      <c r="Q42" s="17" t="s">
        <v>785</v>
      </c>
      <c r="R42" s="17" t="s">
        <v>786</v>
      </c>
      <c r="S42" s="17" t="s">
        <v>787</v>
      </c>
      <c r="T42" s="15"/>
    </row>
    <row r="43" spans="1:20" x14ac:dyDescent="0.25">
      <c r="A43" s="14">
        <v>40</v>
      </c>
      <c r="B43" s="14">
        <v>3503604</v>
      </c>
      <c r="C43" s="14" t="str">
        <f>IF(ISERR(FIND("-",tab_Geral[[#This Row],[Municípios]],1)),"","Têm Hifen")</f>
        <v/>
      </c>
      <c r="D43" s="14" t="str">
        <f>IF(tab_Geral[[#This Row],[Informação 3]]&lt;&gt;"","","Não Registrado")</f>
        <v/>
      </c>
      <c r="E43" s="14" t="str">
        <f>IF(tab_Geral[[#This Row],[Municípios]]=tab_Geral[[#This Row],[Informação 1]],"","Não!, Erro!")</f>
        <v/>
      </c>
      <c r="F43" s="14" t="str">
        <f>IF(tab_Geral[[#This Row],[Municípios]]=tab_Geral[[#This Row],[Município]],"","Não!, Erro!")</f>
        <v/>
      </c>
      <c r="G43" s="14" t="str">
        <f>VLOOKUP(tab_Geral[[#This Row],[GeoCodigo]],tab_CETESB[],2,FALSE)</f>
        <v>Areiópolis</v>
      </c>
      <c r="H43" s="14" t="str">
        <f>VLOOKUP(tab_Geral[[#This Row],[Informação 3]],tab_AgênciaAmbiental,10,FALSE)</f>
        <v>9</v>
      </c>
      <c r="I43" s="14" t="s">
        <v>41</v>
      </c>
      <c r="J43" s="18" t="s">
        <v>41</v>
      </c>
      <c r="K43" s="17"/>
      <c r="L43" s="17" t="s">
        <v>1890</v>
      </c>
      <c r="M43" s="17" t="s">
        <v>774</v>
      </c>
      <c r="N43" s="17" t="s">
        <v>775</v>
      </c>
      <c r="O43" s="17" t="s">
        <v>776</v>
      </c>
      <c r="P43" s="17" t="s">
        <v>777</v>
      </c>
      <c r="Q43" s="17" t="s">
        <v>778</v>
      </c>
      <c r="R43" s="17" t="s">
        <v>779</v>
      </c>
      <c r="S43" s="17" t="s">
        <v>780</v>
      </c>
      <c r="T43" s="15"/>
    </row>
    <row r="44" spans="1:20" x14ac:dyDescent="0.25">
      <c r="A44" s="14">
        <v>41</v>
      </c>
      <c r="B44" s="14">
        <v>3503703</v>
      </c>
      <c r="C44" s="14" t="str">
        <f>IF(ISERR(FIND("-",tab_Geral[[#This Row],[Municípios]],1)),"","Têm Hifen")</f>
        <v/>
      </c>
      <c r="D44" s="14" t="str">
        <f>IF(tab_Geral[[#This Row],[Informação 3]]&lt;&gt;"","","Não Registrado")</f>
        <v/>
      </c>
      <c r="E44" s="14" t="str">
        <f>IF(tab_Geral[[#This Row],[Municípios]]=tab_Geral[[#This Row],[Informação 1]],"","Não!, Erro!")</f>
        <v/>
      </c>
      <c r="F44" s="14" t="str">
        <f>IF(tab_Geral[[#This Row],[Municípios]]=tab_Geral[[#This Row],[Município]],"","Não!, Erro!")</f>
        <v/>
      </c>
      <c r="G44" s="14" t="str">
        <f>VLOOKUP(tab_Geral[[#This Row],[GeoCodigo]],tab_CETESB[],2,FALSE)</f>
        <v>Ariranha</v>
      </c>
      <c r="H44" s="14" t="str">
        <f>VLOOKUP(tab_Geral[[#This Row],[Informação 3]],tab_AgênciaAmbiental,10,FALSE)</f>
        <v>36</v>
      </c>
      <c r="I44" s="14" t="s">
        <v>42</v>
      </c>
      <c r="J44" s="18" t="s">
        <v>42</v>
      </c>
      <c r="K44" s="17"/>
      <c r="L44" s="17" t="s">
        <v>1917</v>
      </c>
      <c r="M44" s="17" t="s">
        <v>663</v>
      </c>
      <c r="N44" s="17" t="s">
        <v>664</v>
      </c>
      <c r="O44" s="17" t="s">
        <v>665</v>
      </c>
      <c r="P44" s="17" t="s">
        <v>666</v>
      </c>
      <c r="Q44" s="17" t="s">
        <v>667</v>
      </c>
      <c r="R44" s="17" t="s">
        <v>668</v>
      </c>
      <c r="S44" s="17" t="s">
        <v>938</v>
      </c>
    </row>
    <row r="45" spans="1:20" x14ac:dyDescent="0.25">
      <c r="A45" s="14">
        <v>42</v>
      </c>
      <c r="B45" s="14">
        <v>3503802</v>
      </c>
      <c r="C45" s="14" t="str">
        <f>IF(ISERR(FIND("-",tab_Geral[[#This Row],[Municípios]],1)),"","Têm Hifen")</f>
        <v/>
      </c>
      <c r="D45" s="14" t="str">
        <f>IF(tab_Geral[[#This Row],[Informação 3]]&lt;&gt;"","","Não Registrado")</f>
        <v/>
      </c>
      <c r="E45" s="14" t="str">
        <f>IF(tab_Geral[[#This Row],[Municípios]]=tab_Geral[[#This Row],[Informação 1]],"","Não!, Erro!")</f>
        <v/>
      </c>
      <c r="F45" s="14" t="str">
        <f>IF(tab_Geral[[#This Row],[Municípios]]=tab_Geral[[#This Row],[Município]],"","Não!, Erro!")</f>
        <v/>
      </c>
      <c r="G45" s="14" t="str">
        <f>VLOOKUP(tab_Geral[[#This Row],[GeoCodigo]],tab_CETESB[],2,FALSE)</f>
        <v>Artur Nogueira</v>
      </c>
      <c r="H45" s="14" t="str">
        <f>VLOOKUP(tab_Geral[[#This Row],[Informação 3]],tab_AgênciaAmbiental,10,FALSE)</f>
        <v>22</v>
      </c>
      <c r="I45" s="14" t="s">
        <v>43</v>
      </c>
      <c r="J45" s="18" t="s">
        <v>43</v>
      </c>
      <c r="K45" s="17"/>
      <c r="L45" s="17" t="s">
        <v>1903</v>
      </c>
      <c r="M45" s="17" t="s">
        <v>816</v>
      </c>
      <c r="N45" s="17" t="s">
        <v>817</v>
      </c>
      <c r="O45" s="17" t="s">
        <v>818</v>
      </c>
      <c r="P45" s="17" t="s">
        <v>819</v>
      </c>
      <c r="Q45" s="17" t="s">
        <v>820</v>
      </c>
      <c r="R45" s="17" t="s">
        <v>821</v>
      </c>
      <c r="S45" s="17" t="s">
        <v>822</v>
      </c>
      <c r="T45" s="15"/>
    </row>
    <row r="46" spans="1:20" x14ac:dyDescent="0.25">
      <c r="A46" s="14">
        <v>43</v>
      </c>
      <c r="B46" s="14">
        <v>3503901</v>
      </c>
      <c r="C46" s="14" t="str">
        <f>IF(ISERR(FIND("-",tab_Geral[[#This Row],[Municípios]],1)),"","Têm Hifen")</f>
        <v/>
      </c>
      <c r="D46" s="14" t="str">
        <f>IF(tab_Geral[[#This Row],[Informação 3]]&lt;&gt;"","","Não Registrado")</f>
        <v/>
      </c>
      <c r="E46" s="14" t="str">
        <f>IF(tab_Geral[[#This Row],[Municípios]]=tab_Geral[[#This Row],[Informação 1]],"","Não!, Erro!")</f>
        <v/>
      </c>
      <c r="F46" s="14" t="str">
        <f>IF(tab_Geral[[#This Row],[Municípios]]=tab_Geral[[#This Row],[Município]],"","Não!, Erro!")</f>
        <v/>
      </c>
      <c r="G46" s="14" t="str">
        <f>VLOOKUP(tab_Geral[[#This Row],[GeoCodigo]],tab_CETESB[],2,FALSE)</f>
        <v>Arujá</v>
      </c>
      <c r="H46" s="14" t="str">
        <f>VLOOKUP(tab_Geral[[#This Row],[Informação 3]],tab_AgênciaAmbiental,10,FALSE)</f>
        <v>16</v>
      </c>
      <c r="I46" s="14" t="s">
        <v>44</v>
      </c>
      <c r="J46" s="18" t="s">
        <v>44</v>
      </c>
      <c r="K46" s="17"/>
      <c r="L46" s="17" t="s">
        <v>1897</v>
      </c>
      <c r="M46" s="17" t="s">
        <v>823</v>
      </c>
      <c r="N46" s="17" t="s">
        <v>824</v>
      </c>
      <c r="O46" s="17" t="s">
        <v>825</v>
      </c>
      <c r="P46" s="17" t="s">
        <v>826</v>
      </c>
      <c r="Q46" s="17" t="s">
        <v>827</v>
      </c>
      <c r="R46" s="17" t="s">
        <v>828</v>
      </c>
      <c r="S46" s="17" t="s">
        <v>829</v>
      </c>
      <c r="T46" s="15"/>
    </row>
    <row r="47" spans="1:20" x14ac:dyDescent="0.25">
      <c r="A47" s="14">
        <v>44</v>
      </c>
      <c r="B47" s="14">
        <v>3503950</v>
      </c>
      <c r="C47" s="14" t="str">
        <f>IF(ISERR(FIND("-",tab_Geral[[#This Row],[Municípios]],1)),"","Têm Hifen")</f>
        <v/>
      </c>
      <c r="D47" s="14" t="str">
        <f>IF(tab_Geral[[#This Row],[Informação 3]]&lt;&gt;"","","Não Registrado")</f>
        <v/>
      </c>
      <c r="E47" s="14" t="str">
        <f>IF(tab_Geral[[#This Row],[Municípios]]=tab_Geral[[#This Row],[Informação 1]],"","Não!, Erro!")</f>
        <v/>
      </c>
      <c r="F47" s="14" t="str">
        <f>IF(tab_Geral[[#This Row],[Municípios]]=tab_Geral[[#This Row],[Município]],"","Não!, Erro!")</f>
        <v/>
      </c>
      <c r="G47" s="14" t="str">
        <f>VLOOKUP(tab_Geral[[#This Row],[GeoCodigo]],tab_CETESB[],2,FALSE)</f>
        <v>Aspásia</v>
      </c>
      <c r="H47" s="14" t="str">
        <f>VLOOKUP(tab_Geral[[#This Row],[Informação 3]],tab_AgênciaAmbiental,10,FALSE)</f>
        <v>20</v>
      </c>
      <c r="I47" s="14" t="s">
        <v>45</v>
      </c>
      <c r="J47" s="18" t="s">
        <v>45</v>
      </c>
      <c r="K47" s="17"/>
      <c r="L47" s="17" t="s">
        <v>1901</v>
      </c>
      <c r="M47" s="17" t="s">
        <v>788</v>
      </c>
      <c r="N47" s="17" t="s">
        <v>789</v>
      </c>
      <c r="O47" s="17" t="s">
        <v>790</v>
      </c>
      <c r="P47" s="17" t="s">
        <v>791</v>
      </c>
      <c r="Q47" s="17" t="s">
        <v>792</v>
      </c>
      <c r="R47" s="17" t="s">
        <v>793</v>
      </c>
      <c r="S47" s="17" t="s">
        <v>794</v>
      </c>
      <c r="T47" s="15"/>
    </row>
    <row r="48" spans="1:20" x14ac:dyDescent="0.25">
      <c r="A48" s="14">
        <v>45</v>
      </c>
      <c r="B48" s="14">
        <v>3504008</v>
      </c>
      <c r="C48" s="14" t="str">
        <f>IF(ISERR(FIND("-",tab_Geral[[#This Row],[Municípios]],1)),"","Têm Hifen")</f>
        <v/>
      </c>
      <c r="D48" s="14" t="str">
        <f>IF(tab_Geral[[#This Row],[Informação 3]]&lt;&gt;"","","Não Registrado")</f>
        <v/>
      </c>
      <c r="E48" s="14" t="str">
        <f>IF(tab_Geral[[#This Row],[Municípios]]=tab_Geral[[#This Row],[Informação 1]],"","Não!, Erro!")</f>
        <v/>
      </c>
      <c r="F48" s="14" t="str">
        <f>IF(tab_Geral[[#This Row],[Municípios]]=tab_Geral[[#This Row],[Município]],"","Não!, Erro!")</f>
        <v/>
      </c>
      <c r="G48" s="14" t="str">
        <f>VLOOKUP(tab_Geral[[#This Row],[GeoCodigo]],tab_CETESB[],2,FALSE)</f>
        <v>Assis</v>
      </c>
      <c r="H48" s="14" t="str">
        <f>VLOOKUP(tab_Geral[[#This Row],[Informação 3]],tab_AgênciaAmbiental,10,FALSE)</f>
        <v>4</v>
      </c>
      <c r="I48" s="14" t="s">
        <v>46</v>
      </c>
      <c r="J48" s="18" t="s">
        <v>46</v>
      </c>
      <c r="K48" s="17"/>
      <c r="L48" s="17" t="s">
        <v>1885</v>
      </c>
      <c r="M48" s="17" t="s">
        <v>830</v>
      </c>
      <c r="N48" s="17" t="s">
        <v>831</v>
      </c>
      <c r="O48" s="17" t="s">
        <v>832</v>
      </c>
      <c r="P48" s="17" t="s">
        <v>833</v>
      </c>
      <c r="Q48" s="17" t="s">
        <v>834</v>
      </c>
      <c r="R48" s="17" t="s">
        <v>835</v>
      </c>
      <c r="S48" s="17" t="s">
        <v>836</v>
      </c>
      <c r="T48" s="15"/>
    </row>
    <row r="49" spans="1:20" x14ac:dyDescent="0.25">
      <c r="A49" s="14">
        <v>46</v>
      </c>
      <c r="B49" s="14">
        <v>3504107</v>
      </c>
      <c r="C49" s="14" t="str">
        <f>IF(ISERR(FIND("-",tab_Geral[[#This Row],[Municípios]],1)),"","Têm Hifen")</f>
        <v/>
      </c>
      <c r="D49" s="14" t="str">
        <f>IF(tab_Geral[[#This Row],[Informação 3]]&lt;&gt;"","","Não Registrado")</f>
        <v/>
      </c>
      <c r="E49" s="14" t="str">
        <f>IF(tab_Geral[[#This Row],[Municípios]]=tab_Geral[[#This Row],[Informação 1]],"","Não!, Erro!")</f>
        <v/>
      </c>
      <c r="F49" s="14" t="str">
        <f>IF(tab_Geral[[#This Row],[Municípios]]=tab_Geral[[#This Row],[Município]],"","Não!, Erro!")</f>
        <v/>
      </c>
      <c r="G49" s="14" t="str">
        <f>VLOOKUP(tab_Geral[[#This Row],[GeoCodigo]],tab_CETESB[],2,FALSE)</f>
        <v>Atibaia</v>
      </c>
      <c r="H49" s="14" t="str">
        <f>VLOOKUP(tab_Geral[[#This Row],[Informação 3]],tab_AgênciaAmbiental,10,FALSE)</f>
        <v>5</v>
      </c>
      <c r="I49" s="14" t="s">
        <v>47</v>
      </c>
      <c r="J49" s="18" t="s">
        <v>47</v>
      </c>
      <c r="K49" s="17"/>
      <c r="L49" s="17" t="s">
        <v>1886</v>
      </c>
      <c r="M49" s="17" t="s">
        <v>837</v>
      </c>
      <c r="N49" s="17" t="s">
        <v>657</v>
      </c>
      <c r="O49" s="17" t="s">
        <v>838</v>
      </c>
      <c r="P49" s="17" t="s">
        <v>839</v>
      </c>
      <c r="Q49" s="17" t="s">
        <v>840</v>
      </c>
      <c r="R49" s="17" t="s">
        <v>841</v>
      </c>
      <c r="S49" s="17" t="s">
        <v>842</v>
      </c>
      <c r="T49" s="15"/>
    </row>
    <row r="50" spans="1:20" x14ac:dyDescent="0.25">
      <c r="A50" s="14">
        <v>47</v>
      </c>
      <c r="B50" s="14">
        <v>3504206</v>
      </c>
      <c r="C50" s="14" t="str">
        <f>IF(ISERR(FIND("-",tab_Geral[[#This Row],[Municípios]],1)),"","Têm Hifen")</f>
        <v/>
      </c>
      <c r="D50" s="14" t="str">
        <f>IF(tab_Geral[[#This Row],[Informação 3]]&lt;&gt;"","","Não Registrado")</f>
        <v/>
      </c>
      <c r="E50" s="14" t="str">
        <f>IF(tab_Geral[[#This Row],[Municípios]]=tab_Geral[[#This Row],[Informação 1]],"","Não!, Erro!")</f>
        <v/>
      </c>
      <c r="F50" s="14" t="str">
        <f>IF(tab_Geral[[#This Row],[Municípios]]=tab_Geral[[#This Row],[Município]],"","Não!, Erro!")</f>
        <v/>
      </c>
      <c r="G50" s="14" t="str">
        <f>VLOOKUP(tab_Geral[[#This Row],[GeoCodigo]],tab_CETESB[],2,FALSE)</f>
        <v>Auriflama</v>
      </c>
      <c r="H50" s="14" t="str">
        <f>VLOOKUP(tab_Geral[[#This Row],[Informação 3]],tab_AgênciaAmbiental,10,FALSE)</f>
        <v>20</v>
      </c>
      <c r="I50" s="14" t="s">
        <v>48</v>
      </c>
      <c r="J50" s="18" t="s">
        <v>48</v>
      </c>
      <c r="K50" s="17"/>
      <c r="L50" s="17" t="s">
        <v>1901</v>
      </c>
      <c r="M50" s="17" t="s">
        <v>788</v>
      </c>
      <c r="N50" s="17" t="s">
        <v>789</v>
      </c>
      <c r="O50" s="17" t="s">
        <v>790</v>
      </c>
      <c r="P50" s="17" t="s">
        <v>791</v>
      </c>
      <c r="Q50" s="17" t="s">
        <v>792</v>
      </c>
      <c r="R50" s="17" t="s">
        <v>793</v>
      </c>
      <c r="S50" s="17" t="s">
        <v>794</v>
      </c>
      <c r="T50" s="15"/>
    </row>
    <row r="51" spans="1:20" x14ac:dyDescent="0.25">
      <c r="A51" s="14">
        <v>48</v>
      </c>
      <c r="B51" s="14">
        <v>3504305</v>
      </c>
      <c r="C51" s="14" t="str">
        <f>IF(ISERR(FIND("-",tab_Geral[[#This Row],[Municípios]],1)),"","Têm Hifen")</f>
        <v/>
      </c>
      <c r="D51" s="14" t="str">
        <f>IF(tab_Geral[[#This Row],[Informação 3]]&lt;&gt;"","","Não Registrado")</f>
        <v/>
      </c>
      <c r="E51" s="14" t="str">
        <f>IF(tab_Geral[[#This Row],[Municípios]]=tab_Geral[[#This Row],[Informação 1]],"","Não!, Erro!")</f>
        <v/>
      </c>
      <c r="F51" s="14" t="str">
        <f>IF(tab_Geral[[#This Row],[Municípios]]=tab_Geral[[#This Row],[Município]],"","Não!, Erro!")</f>
        <v/>
      </c>
      <c r="G51" s="14" t="str">
        <f>VLOOKUP(tab_Geral[[#This Row],[GeoCodigo]],tab_CETESB[],2,FALSE)</f>
        <v>Avaí</v>
      </c>
      <c r="H51" s="14" t="str">
        <f>VLOOKUP(tab_Geral[[#This Row],[Informação 3]],tab_AgênciaAmbiental,10,FALSE)</f>
        <v>8</v>
      </c>
      <c r="I51" s="14" t="s">
        <v>49</v>
      </c>
      <c r="J51" s="18" t="s">
        <v>49</v>
      </c>
      <c r="K51" s="17"/>
      <c r="L51" s="17" t="s">
        <v>1889</v>
      </c>
      <c r="M51" s="17" t="s">
        <v>694</v>
      </c>
      <c r="N51" s="17" t="s">
        <v>695</v>
      </c>
      <c r="O51" s="17" t="s">
        <v>696</v>
      </c>
      <c r="P51" s="17" t="s">
        <v>697</v>
      </c>
      <c r="Q51" s="17" t="s">
        <v>698</v>
      </c>
      <c r="R51" s="17" t="s">
        <v>699</v>
      </c>
      <c r="S51" s="17" t="s">
        <v>700</v>
      </c>
      <c r="T51" s="15"/>
    </row>
    <row r="52" spans="1:20" x14ac:dyDescent="0.25">
      <c r="A52" s="14">
        <v>49</v>
      </c>
      <c r="B52" s="14">
        <v>3504404</v>
      </c>
      <c r="C52" s="14" t="str">
        <f>IF(ISERR(FIND("-",tab_Geral[[#This Row],[Municípios]],1)),"","Têm Hifen")</f>
        <v/>
      </c>
      <c r="D52" s="14" t="str">
        <f>IF(tab_Geral[[#This Row],[Informação 3]]&lt;&gt;"","","Não Registrado")</f>
        <v/>
      </c>
      <c r="E52" s="14" t="str">
        <f>IF(tab_Geral[[#This Row],[Municípios]]=tab_Geral[[#This Row],[Informação 1]],"","Não!, Erro!")</f>
        <v/>
      </c>
      <c r="F52" s="14" t="str">
        <f>IF(tab_Geral[[#This Row],[Municípios]]=tab_Geral[[#This Row],[Município]],"","Não!, Erro!")</f>
        <v/>
      </c>
      <c r="G52" s="14" t="str">
        <f>VLOOKUP(tab_Geral[[#This Row],[GeoCodigo]],tab_CETESB[],2,FALSE)</f>
        <v>Avanhandava</v>
      </c>
      <c r="H52" s="14" t="str">
        <f>VLOOKUP(tab_Geral[[#This Row],[Informação 3]],tab_AgênciaAmbiental,10,FALSE)</f>
        <v>2</v>
      </c>
      <c r="I52" s="14" t="s">
        <v>50</v>
      </c>
      <c r="J52" s="18" t="s">
        <v>50</v>
      </c>
      <c r="K52" s="17"/>
      <c r="L52" s="17" t="s">
        <v>1883</v>
      </c>
      <c r="M52" s="17" t="s">
        <v>727</v>
      </c>
      <c r="N52" s="17" t="s">
        <v>728</v>
      </c>
      <c r="O52" s="17" t="s">
        <v>729</v>
      </c>
      <c r="P52" s="17" t="s">
        <v>730</v>
      </c>
      <c r="Q52" s="17" t="s">
        <v>731</v>
      </c>
      <c r="R52" s="17" t="s">
        <v>732</v>
      </c>
      <c r="S52" s="17" t="s">
        <v>936</v>
      </c>
    </row>
    <row r="53" spans="1:20" x14ac:dyDescent="0.25">
      <c r="A53" s="14">
        <v>50</v>
      </c>
      <c r="B53" s="14">
        <v>3504503</v>
      </c>
      <c r="C53" s="14" t="str">
        <f>IF(ISERR(FIND("-",tab_Geral[[#This Row],[Municípios]],1)),"","Têm Hifen")</f>
        <v/>
      </c>
      <c r="D53" s="14" t="str">
        <f>IF(tab_Geral[[#This Row],[Informação 3]]&lt;&gt;"","","Não Registrado")</f>
        <v/>
      </c>
      <c r="E53" s="14" t="str">
        <f>IF(tab_Geral[[#This Row],[Municípios]]=tab_Geral[[#This Row],[Informação 1]],"","Não!, Erro!")</f>
        <v/>
      </c>
      <c r="F53" s="14" t="str">
        <f>IF(tab_Geral[[#This Row],[Municípios]]=tab_Geral[[#This Row],[Município]],"","Não!, Erro!")</f>
        <v/>
      </c>
      <c r="G53" s="14" t="str">
        <f>VLOOKUP(tab_Geral[[#This Row],[GeoCodigo]],tab_CETESB[],2,FALSE)</f>
        <v>Avaré</v>
      </c>
      <c r="H53" s="14" t="str">
        <f>VLOOKUP(tab_Geral[[#This Row],[Informação 3]],tab_AgênciaAmbiental,10,FALSE)</f>
        <v>6</v>
      </c>
      <c r="I53" s="14" t="s">
        <v>51</v>
      </c>
      <c r="J53" s="18" t="s">
        <v>51</v>
      </c>
      <c r="K53" s="17"/>
      <c r="L53" s="17" t="s">
        <v>1887</v>
      </c>
      <c r="M53" s="17" t="s">
        <v>681</v>
      </c>
      <c r="N53" s="17" t="s">
        <v>682</v>
      </c>
      <c r="O53" s="17" t="s">
        <v>683</v>
      </c>
      <c r="P53" s="17" t="s">
        <v>684</v>
      </c>
      <c r="Q53" s="17" t="s">
        <v>685</v>
      </c>
      <c r="R53" s="17" t="s">
        <v>686</v>
      </c>
      <c r="S53" s="17" t="s">
        <v>687</v>
      </c>
      <c r="T53" s="15"/>
    </row>
    <row r="54" spans="1:20" x14ac:dyDescent="0.25">
      <c r="A54" s="14">
        <v>51</v>
      </c>
      <c r="B54" s="14">
        <v>3504602</v>
      </c>
      <c r="C54" s="14" t="str">
        <f>IF(ISERR(FIND("-",tab_Geral[[#This Row],[Municípios]],1)),"","Têm Hifen")</f>
        <v/>
      </c>
      <c r="D54" s="14" t="str">
        <f>IF(tab_Geral[[#This Row],[Informação 3]]&lt;&gt;"","","Não Registrado")</f>
        <v/>
      </c>
      <c r="E54" s="14" t="str">
        <f>IF(tab_Geral[[#This Row],[Municípios]]=tab_Geral[[#This Row],[Informação 1]],"","Não!, Erro!")</f>
        <v/>
      </c>
      <c r="F54" s="14" t="str">
        <f>IF(tab_Geral[[#This Row],[Municípios]]=tab_Geral[[#This Row],[Município]],"","Não!, Erro!")</f>
        <v/>
      </c>
      <c r="G54" s="14" t="str">
        <f>VLOOKUP(tab_Geral[[#This Row],[GeoCodigo]],tab_CETESB[],2,FALSE)</f>
        <v>Bady Bassitt</v>
      </c>
      <c r="H54" s="14" t="str">
        <f>VLOOKUP(tab_Geral[[#This Row],[Informação 3]],tab_AgênciaAmbiental,10,FALSE)</f>
        <v>36</v>
      </c>
      <c r="I54" s="14" t="s">
        <v>52</v>
      </c>
      <c r="J54" s="18" t="s">
        <v>52</v>
      </c>
      <c r="K54" s="17"/>
      <c r="L54" s="17" t="s">
        <v>1917</v>
      </c>
      <c r="M54" s="17" t="s">
        <v>663</v>
      </c>
      <c r="N54" s="17" t="s">
        <v>664</v>
      </c>
      <c r="O54" s="17" t="s">
        <v>665</v>
      </c>
      <c r="P54" s="17" t="s">
        <v>666</v>
      </c>
      <c r="Q54" s="17" t="s">
        <v>667</v>
      </c>
      <c r="R54" s="17" t="s">
        <v>668</v>
      </c>
      <c r="S54" s="17" t="s">
        <v>938</v>
      </c>
    </row>
    <row r="55" spans="1:20" x14ac:dyDescent="0.25">
      <c r="A55" s="14">
        <v>52</v>
      </c>
      <c r="B55" s="14">
        <v>3504701</v>
      </c>
      <c r="C55" s="14" t="str">
        <f>IF(ISERR(FIND("-",tab_Geral[[#This Row],[Municípios]],1)),"","Têm Hifen")</f>
        <v/>
      </c>
      <c r="D55" s="14" t="str">
        <f>IF(tab_Geral[[#This Row],[Informação 3]]&lt;&gt;"","","Não Registrado")</f>
        <v/>
      </c>
      <c r="E55" s="14" t="str">
        <f>IF(tab_Geral[[#This Row],[Municípios]]=tab_Geral[[#This Row],[Informação 1]],"","Não!, Erro!")</f>
        <v/>
      </c>
      <c r="F55" s="14" t="str">
        <f>IF(tab_Geral[[#This Row],[Municípios]]=tab_Geral[[#This Row],[Município]],"","Não!, Erro!")</f>
        <v/>
      </c>
      <c r="G55" s="14" t="str">
        <f>VLOOKUP(tab_Geral[[#This Row],[GeoCodigo]],tab_CETESB[],2,FALSE)</f>
        <v>Balbinos</v>
      </c>
      <c r="H55" s="14" t="str">
        <f>VLOOKUP(tab_Geral[[#This Row],[Informação 3]],tab_AgênciaAmbiental,10,FALSE)</f>
        <v>8</v>
      </c>
      <c r="I55" s="14" t="s">
        <v>53</v>
      </c>
      <c r="J55" s="18" t="s">
        <v>53</v>
      </c>
      <c r="K55" s="17"/>
      <c r="L55" s="17" t="s">
        <v>1889</v>
      </c>
      <c r="M55" s="17" t="s">
        <v>694</v>
      </c>
      <c r="N55" s="17" t="s">
        <v>695</v>
      </c>
      <c r="O55" s="17" t="s">
        <v>696</v>
      </c>
      <c r="P55" s="17" t="s">
        <v>697</v>
      </c>
      <c r="Q55" s="17" t="s">
        <v>698</v>
      </c>
      <c r="R55" s="17" t="s">
        <v>699</v>
      </c>
      <c r="S55" s="17" t="s">
        <v>700</v>
      </c>
      <c r="T55" s="15"/>
    </row>
    <row r="56" spans="1:20" x14ac:dyDescent="0.25">
      <c r="A56" s="14">
        <v>53</v>
      </c>
      <c r="B56" s="14">
        <v>3504800</v>
      </c>
      <c r="C56" s="14" t="str">
        <f>IF(ISERR(FIND("-",tab_Geral[[#This Row],[Municípios]],1)),"","Têm Hifen")</f>
        <v/>
      </c>
      <c r="D56" s="14" t="str">
        <f>IF(tab_Geral[[#This Row],[Informação 3]]&lt;&gt;"","","Não Registrado")</f>
        <v/>
      </c>
      <c r="E56" s="14" t="str">
        <f>IF(tab_Geral[[#This Row],[Municípios]]=tab_Geral[[#This Row],[Informação 1]],"","Não!, Erro!")</f>
        <v/>
      </c>
      <c r="F56" s="14" t="str">
        <f>IF(tab_Geral[[#This Row],[Municípios]]=tab_Geral[[#This Row],[Município]],"","Não!, Erro!")</f>
        <v/>
      </c>
      <c r="G56" s="14" t="str">
        <f>VLOOKUP(tab_Geral[[#This Row],[GeoCodigo]],tab_CETESB[],2,FALSE)</f>
        <v>Bálsamo</v>
      </c>
      <c r="H56" s="14" t="str">
        <f>VLOOKUP(tab_Geral[[#This Row],[Informação 3]],tab_AgênciaAmbiental,10,FALSE)</f>
        <v>36</v>
      </c>
      <c r="I56" s="14" t="s">
        <v>54</v>
      </c>
      <c r="J56" s="18" t="s">
        <v>54</v>
      </c>
      <c r="K56" s="17"/>
      <c r="L56" s="17" t="s">
        <v>1917</v>
      </c>
      <c r="M56" s="17" t="s">
        <v>663</v>
      </c>
      <c r="N56" s="17" t="s">
        <v>664</v>
      </c>
      <c r="O56" s="17" t="s">
        <v>665</v>
      </c>
      <c r="P56" s="17" t="s">
        <v>666</v>
      </c>
      <c r="Q56" s="17" t="s">
        <v>667</v>
      </c>
      <c r="R56" s="17" t="s">
        <v>668</v>
      </c>
      <c r="S56" s="17" t="s">
        <v>938</v>
      </c>
    </row>
    <row r="57" spans="1:20" x14ac:dyDescent="0.25">
      <c r="A57" s="14">
        <v>54</v>
      </c>
      <c r="B57" s="14">
        <v>3504909</v>
      </c>
      <c r="C57" s="14" t="str">
        <f>IF(ISERR(FIND("-",tab_Geral[[#This Row],[Municípios]],1)),"","Têm Hifen")</f>
        <v/>
      </c>
      <c r="D57" s="14" t="str">
        <f>IF(tab_Geral[[#This Row],[Informação 3]]&lt;&gt;"","","Não Registrado")</f>
        <v/>
      </c>
      <c r="E57" s="14" t="str">
        <f>IF(tab_Geral[[#This Row],[Municípios]]=tab_Geral[[#This Row],[Informação 1]],"","Não!, Erro!")</f>
        <v/>
      </c>
      <c r="F57" s="14" t="str">
        <f>IF(tab_Geral[[#This Row],[Municípios]]=tab_Geral[[#This Row],[Município]],"","Não!, Erro!")</f>
        <v/>
      </c>
      <c r="G57" s="14" t="str">
        <f>VLOOKUP(tab_Geral[[#This Row],[GeoCodigo]],tab_CETESB[],2,FALSE)</f>
        <v>Bananal</v>
      </c>
      <c r="H57" s="14" t="str">
        <f>VLOOKUP(tab_Geral[[#This Row],[Informação 3]],tab_AgênciaAmbiental,10,FALSE)</f>
        <v>40</v>
      </c>
      <c r="I57" s="14" t="s">
        <v>55</v>
      </c>
      <c r="J57" s="18" t="s">
        <v>55</v>
      </c>
      <c r="K57" s="17"/>
      <c r="L57" s="17" t="s">
        <v>1921</v>
      </c>
      <c r="M57" s="17" t="s">
        <v>781</v>
      </c>
      <c r="N57" s="17" t="s">
        <v>782</v>
      </c>
      <c r="O57" s="17" t="s">
        <v>783</v>
      </c>
      <c r="P57" s="17" t="s">
        <v>784</v>
      </c>
      <c r="Q57" s="17" t="s">
        <v>785</v>
      </c>
      <c r="R57" s="17" t="s">
        <v>786</v>
      </c>
      <c r="S57" s="17" t="s">
        <v>787</v>
      </c>
      <c r="T57" s="15"/>
    </row>
    <row r="58" spans="1:20" x14ac:dyDescent="0.25">
      <c r="A58" s="14">
        <v>55</v>
      </c>
      <c r="B58" s="14">
        <v>3505005</v>
      </c>
      <c r="C58" s="14" t="str">
        <f>IF(ISERR(FIND("-",tab_Geral[[#This Row],[Municípios]],1)),"","Têm Hifen")</f>
        <v/>
      </c>
      <c r="D58" s="14" t="str">
        <f>IF(tab_Geral[[#This Row],[Informação 3]]&lt;&gt;"","","Não Registrado")</f>
        <v/>
      </c>
      <c r="E58" s="14" t="str">
        <f>IF(tab_Geral[[#This Row],[Municípios]]=tab_Geral[[#This Row],[Informação 1]],"","Não!, Erro!")</f>
        <v/>
      </c>
      <c r="F58" s="14" t="str">
        <f>IF(tab_Geral[[#This Row],[Municípios]]=tab_Geral[[#This Row],[Município]],"","Não!, Erro!")</f>
        <v/>
      </c>
      <c r="G58" s="14" t="str">
        <f>VLOOKUP(tab_Geral[[#This Row],[GeoCodigo]],tab_CETESB[],2,FALSE)</f>
        <v>Barão de Antonina</v>
      </c>
      <c r="H58" s="14" t="str">
        <f>VLOOKUP(tab_Geral[[#This Row],[Informação 3]],tab_AgênciaAmbiental,10,FALSE)</f>
        <v>6</v>
      </c>
      <c r="I58" s="14" t="s">
        <v>56</v>
      </c>
      <c r="J58" s="18" t="s">
        <v>56</v>
      </c>
      <c r="K58" s="17"/>
      <c r="L58" s="17" t="s">
        <v>1887</v>
      </c>
      <c r="M58" s="17" t="s">
        <v>681</v>
      </c>
      <c r="N58" s="17" t="s">
        <v>682</v>
      </c>
      <c r="O58" s="17" t="s">
        <v>683</v>
      </c>
      <c r="P58" s="17" t="s">
        <v>684</v>
      </c>
      <c r="Q58" s="17" t="s">
        <v>685</v>
      </c>
      <c r="R58" s="17" t="s">
        <v>686</v>
      </c>
      <c r="S58" s="17" t="s">
        <v>687</v>
      </c>
      <c r="T58" s="15"/>
    </row>
    <row r="59" spans="1:20" x14ac:dyDescent="0.25">
      <c r="A59" s="14">
        <v>56</v>
      </c>
      <c r="B59" s="14">
        <v>3505104</v>
      </c>
      <c r="C59" s="14" t="str">
        <f>IF(ISERR(FIND("-",tab_Geral[[#This Row],[Municípios]],1)),"","Têm Hifen")</f>
        <v/>
      </c>
      <c r="D59" s="14" t="str">
        <f>IF(tab_Geral[[#This Row],[Informação 3]]&lt;&gt;"","","Não Registrado")</f>
        <v/>
      </c>
      <c r="E59" s="14" t="str">
        <f>IF(tab_Geral[[#This Row],[Municípios]]=tab_Geral[[#This Row],[Informação 1]],"","Não!, Erro!")</f>
        <v/>
      </c>
      <c r="F59" s="14" t="str">
        <f>IF(tab_Geral[[#This Row],[Municípios]]=tab_Geral[[#This Row],[Município]],"","Não!, Erro!")</f>
        <v/>
      </c>
      <c r="G59" s="14" t="str">
        <f>VLOOKUP(tab_Geral[[#This Row],[GeoCodigo]],tab_CETESB[],2,FALSE)</f>
        <v>Barbosa</v>
      </c>
      <c r="H59" s="14" t="str">
        <f>VLOOKUP(tab_Geral[[#This Row],[Informação 3]],tab_AgênciaAmbiental,10,FALSE)</f>
        <v>2</v>
      </c>
      <c r="I59" s="14" t="s">
        <v>57</v>
      </c>
      <c r="J59" s="18" t="s">
        <v>57</v>
      </c>
      <c r="K59" s="17"/>
      <c r="L59" s="17" t="s">
        <v>1883</v>
      </c>
      <c r="M59" s="17" t="s">
        <v>727</v>
      </c>
      <c r="N59" s="17" t="s">
        <v>728</v>
      </c>
      <c r="O59" s="17" t="s">
        <v>729</v>
      </c>
      <c r="P59" s="17" t="s">
        <v>730</v>
      </c>
      <c r="Q59" s="17" t="s">
        <v>731</v>
      </c>
      <c r="R59" s="17" t="s">
        <v>732</v>
      </c>
      <c r="S59" s="17" t="s">
        <v>936</v>
      </c>
    </row>
    <row r="60" spans="1:20" x14ac:dyDescent="0.25">
      <c r="A60" s="14">
        <v>57</v>
      </c>
      <c r="B60" s="14">
        <v>3505203</v>
      </c>
      <c r="C60" s="14" t="str">
        <f>IF(ISERR(FIND("-",tab_Geral[[#This Row],[Municípios]],1)),"","Têm Hifen")</f>
        <v/>
      </c>
      <c r="D60" s="14" t="str">
        <f>IF(tab_Geral[[#This Row],[Informação 3]]&lt;&gt;"","","Não Registrado")</f>
        <v/>
      </c>
      <c r="E60" s="14" t="str">
        <f>IF(tab_Geral[[#This Row],[Municípios]]=tab_Geral[[#This Row],[Informação 1]],"","Não!, Erro!")</f>
        <v/>
      </c>
      <c r="F60" s="14" t="str">
        <f>IF(tab_Geral[[#This Row],[Municípios]]=tab_Geral[[#This Row],[Município]],"","Não!, Erro!")</f>
        <v/>
      </c>
      <c r="G60" s="14" t="str">
        <f>VLOOKUP(tab_Geral[[#This Row],[GeoCodigo]],tab_CETESB[],2,FALSE)</f>
        <v>Bariri</v>
      </c>
      <c r="H60" s="14" t="str">
        <f>VLOOKUP(tab_Geral[[#This Row],[Informação 3]],tab_AgênciaAmbiental,10,FALSE)</f>
        <v>8</v>
      </c>
      <c r="I60" s="14" t="s">
        <v>58</v>
      </c>
      <c r="J60" s="18" t="s">
        <v>58</v>
      </c>
      <c r="K60" s="17"/>
      <c r="L60" s="17" t="s">
        <v>1889</v>
      </c>
      <c r="M60" s="17" t="s">
        <v>694</v>
      </c>
      <c r="N60" s="17" t="s">
        <v>695</v>
      </c>
      <c r="O60" s="17" t="s">
        <v>696</v>
      </c>
      <c r="P60" s="17" t="s">
        <v>697</v>
      </c>
      <c r="Q60" s="17" t="s">
        <v>698</v>
      </c>
      <c r="R60" s="17" t="s">
        <v>699</v>
      </c>
      <c r="S60" s="17" t="s">
        <v>700</v>
      </c>
      <c r="T60" s="15"/>
    </row>
    <row r="61" spans="1:20" x14ac:dyDescent="0.25">
      <c r="A61" s="14">
        <v>58</v>
      </c>
      <c r="B61" s="14">
        <v>3505302</v>
      </c>
      <c r="C61" s="14" t="str">
        <f>IF(ISERR(FIND("-",tab_Geral[[#This Row],[Municípios]],1)),"","Têm Hifen")</f>
        <v/>
      </c>
      <c r="D61" s="14" t="str">
        <f>IF(tab_Geral[[#This Row],[Informação 3]]&lt;&gt;"","","Não Registrado")</f>
        <v/>
      </c>
      <c r="E61" s="14" t="str">
        <f>IF(tab_Geral[[#This Row],[Municípios]]=tab_Geral[[#This Row],[Informação 1]],"","Não!, Erro!")</f>
        <v/>
      </c>
      <c r="F61" s="14" t="str">
        <f>IF(tab_Geral[[#This Row],[Municípios]]=tab_Geral[[#This Row],[Município]],"","Não!, Erro!")</f>
        <v/>
      </c>
      <c r="G61" s="14" t="str">
        <f>VLOOKUP(tab_Geral[[#This Row],[GeoCodigo]],tab_CETESB[],2,FALSE)</f>
        <v>Barra Bonita</v>
      </c>
      <c r="H61" s="14" t="str">
        <f>VLOOKUP(tab_Geral[[#This Row],[Informação 3]],tab_AgênciaAmbiental,10,FALSE)</f>
        <v>8</v>
      </c>
      <c r="I61" s="14" t="s">
        <v>59</v>
      </c>
      <c r="J61" s="18" t="s">
        <v>59</v>
      </c>
      <c r="K61" s="17"/>
      <c r="L61" s="17" t="s">
        <v>1889</v>
      </c>
      <c r="M61" s="17" t="s">
        <v>694</v>
      </c>
      <c r="N61" s="17" t="s">
        <v>695</v>
      </c>
      <c r="O61" s="17" t="s">
        <v>696</v>
      </c>
      <c r="P61" s="17" t="s">
        <v>697</v>
      </c>
      <c r="Q61" s="17" t="s">
        <v>698</v>
      </c>
      <c r="R61" s="17" t="s">
        <v>699</v>
      </c>
      <c r="S61" s="17" t="s">
        <v>700</v>
      </c>
      <c r="T61" s="15"/>
    </row>
    <row r="62" spans="1:20" x14ac:dyDescent="0.25">
      <c r="A62" s="14">
        <v>59</v>
      </c>
      <c r="B62" s="14">
        <v>3505351</v>
      </c>
      <c r="C62" s="14" t="str">
        <f>IF(ISERR(FIND("-",tab_Geral[[#This Row],[Municípios]],1)),"","Têm Hifen")</f>
        <v/>
      </c>
      <c r="D62" s="14" t="str">
        <f>IF(tab_Geral[[#This Row],[Informação 3]]&lt;&gt;"","","Não Registrado")</f>
        <v/>
      </c>
      <c r="E62" s="14" t="str">
        <f>IF(tab_Geral[[#This Row],[Municípios]]=tab_Geral[[#This Row],[Informação 1]],"","Não!, Erro!")</f>
        <v/>
      </c>
      <c r="F62" s="14" t="str">
        <f>IF(tab_Geral[[#This Row],[Municípios]]=tab_Geral[[#This Row],[Município]],"","Não!, Erro!")</f>
        <v/>
      </c>
      <c r="G62" s="14" t="str">
        <f>VLOOKUP(tab_Geral[[#This Row],[GeoCodigo]],tab_CETESB[],2,FALSE)</f>
        <v>Barra do Chapéu</v>
      </c>
      <c r="H62" s="14" t="str">
        <f>VLOOKUP(tab_Geral[[#This Row],[Informação 3]],tab_AgênciaAmbiental,10,FALSE)</f>
        <v>11</v>
      </c>
      <c r="I62" s="14" t="s">
        <v>60</v>
      </c>
      <c r="J62" s="18" t="s">
        <v>60</v>
      </c>
      <c r="K62" s="17"/>
      <c r="L62" s="17" t="s">
        <v>1892</v>
      </c>
      <c r="M62" s="17" t="s">
        <v>795</v>
      </c>
      <c r="N62" s="17" t="s">
        <v>796</v>
      </c>
      <c r="O62" s="17" t="s">
        <v>797</v>
      </c>
      <c r="P62" s="17" t="s">
        <v>798</v>
      </c>
      <c r="Q62" s="17" t="s">
        <v>799</v>
      </c>
      <c r="R62" s="17" t="s">
        <v>800</v>
      </c>
      <c r="S62" s="17" t="s">
        <v>801</v>
      </c>
      <c r="T62" s="15"/>
    </row>
    <row r="63" spans="1:20" x14ac:dyDescent="0.25">
      <c r="A63" s="14">
        <v>60</v>
      </c>
      <c r="B63" s="14">
        <v>3505401</v>
      </c>
      <c r="C63" s="14" t="str">
        <f>IF(ISERR(FIND("-",tab_Geral[[#This Row],[Municípios]],1)),"","Têm Hifen")</f>
        <v/>
      </c>
      <c r="D63" s="14" t="str">
        <f>IF(tab_Geral[[#This Row],[Informação 3]]&lt;&gt;"","","Não Registrado")</f>
        <v/>
      </c>
      <c r="E63" s="14" t="str">
        <f>IF(tab_Geral[[#This Row],[Municípios]]=tab_Geral[[#This Row],[Informação 1]],"","Não!, Erro!")</f>
        <v/>
      </c>
      <c r="F63" s="14" t="str">
        <f>IF(tab_Geral[[#This Row],[Municípios]]=tab_Geral[[#This Row],[Município]],"","Não!, Erro!")</f>
        <v/>
      </c>
      <c r="G63" s="14" t="str">
        <f>VLOOKUP(tab_Geral[[#This Row],[GeoCodigo]],tab_CETESB[],2,FALSE)</f>
        <v>Barra do Turvo</v>
      </c>
      <c r="H63" s="14" t="str">
        <f>VLOOKUP(tab_Geral[[#This Row],[Informação 3]],tab_AgênciaAmbiental,10,FALSE)</f>
        <v>30</v>
      </c>
      <c r="I63" s="14" t="s">
        <v>61</v>
      </c>
      <c r="J63" s="18" t="s">
        <v>61</v>
      </c>
      <c r="K63" s="17"/>
      <c r="L63" s="17" t="s">
        <v>1911</v>
      </c>
      <c r="M63" s="17" t="s">
        <v>843</v>
      </c>
      <c r="N63" s="17" t="s">
        <v>844</v>
      </c>
      <c r="O63" s="17" t="s">
        <v>845</v>
      </c>
      <c r="P63" s="17" t="s">
        <v>846</v>
      </c>
      <c r="Q63" s="17" t="s">
        <v>847</v>
      </c>
      <c r="R63" s="17" t="s">
        <v>848</v>
      </c>
      <c r="S63" s="17" t="s">
        <v>849</v>
      </c>
      <c r="T63" s="15"/>
    </row>
    <row r="64" spans="1:20" x14ac:dyDescent="0.25">
      <c r="A64" s="14">
        <v>61</v>
      </c>
      <c r="B64" s="14">
        <v>3505500</v>
      </c>
      <c r="C64" s="14" t="str">
        <f>IF(ISERR(FIND("-",tab_Geral[[#This Row],[Municípios]],1)),"","Têm Hifen")</f>
        <v/>
      </c>
      <c r="D64" s="14" t="str">
        <f>IF(tab_Geral[[#This Row],[Informação 3]]&lt;&gt;"","","Não Registrado")</f>
        <v/>
      </c>
      <c r="E64" s="14" t="str">
        <f>IF(tab_Geral[[#This Row],[Municípios]]=tab_Geral[[#This Row],[Informação 1]],"","Não!, Erro!")</f>
        <v/>
      </c>
      <c r="F64" s="14" t="str">
        <f>IF(tab_Geral[[#This Row],[Municípios]]=tab_Geral[[#This Row],[Município]],"","Não!, Erro!")</f>
        <v/>
      </c>
      <c r="G64" s="14" t="str">
        <f>VLOOKUP(tab_Geral[[#This Row],[GeoCodigo]],tab_CETESB[],2,FALSE)</f>
        <v>Barretos</v>
      </c>
      <c r="H64" s="14" t="str">
        <f>VLOOKUP(tab_Geral[[#This Row],[Informação 3]],tab_AgênciaAmbiental,10,FALSE)</f>
        <v>7</v>
      </c>
      <c r="I64" s="14" t="s">
        <v>62</v>
      </c>
      <c r="J64" s="18" t="s">
        <v>62</v>
      </c>
      <c r="K64" s="17"/>
      <c r="L64" s="17" t="s">
        <v>1888</v>
      </c>
      <c r="M64" s="17" t="s">
        <v>713</v>
      </c>
      <c r="N64" s="17" t="s">
        <v>714</v>
      </c>
      <c r="O64" s="17" t="s">
        <v>715</v>
      </c>
      <c r="P64" s="17" t="s">
        <v>716</v>
      </c>
      <c r="Q64" s="17" t="s">
        <v>717</v>
      </c>
      <c r="R64" s="17" t="s">
        <v>718</v>
      </c>
      <c r="S64" s="17" t="s">
        <v>719</v>
      </c>
      <c r="T64" s="15"/>
    </row>
    <row r="65" spans="1:20" x14ac:dyDescent="0.25">
      <c r="A65" s="14">
        <v>62</v>
      </c>
      <c r="B65" s="14">
        <v>3505609</v>
      </c>
      <c r="C65" s="14" t="str">
        <f>IF(ISERR(FIND("-",tab_Geral[[#This Row],[Municípios]],1)),"","Têm Hifen")</f>
        <v/>
      </c>
      <c r="D65" s="14" t="str">
        <f>IF(tab_Geral[[#This Row],[Informação 3]]&lt;&gt;"","","Não Registrado")</f>
        <v/>
      </c>
      <c r="E65" s="14" t="str">
        <f>IF(tab_Geral[[#This Row],[Municípios]]=tab_Geral[[#This Row],[Informação 1]],"","Não!, Erro!")</f>
        <v/>
      </c>
      <c r="F65" s="14" t="str">
        <f>IF(tab_Geral[[#This Row],[Municípios]]=tab_Geral[[#This Row],[Município]],"","Não!, Erro!")</f>
        <v/>
      </c>
      <c r="G65" s="14" t="str">
        <f>VLOOKUP(tab_Geral[[#This Row],[GeoCodigo]],tab_CETESB[],2,FALSE)</f>
        <v>Barrinha</v>
      </c>
      <c r="H65" s="14" t="str">
        <f>VLOOKUP(tab_Geral[[#This Row],[Informação 3]],tab_AgênciaAmbiental,10,FALSE)</f>
        <v>19</v>
      </c>
      <c r="I65" s="14" t="s">
        <v>63</v>
      </c>
      <c r="J65" s="18" t="s">
        <v>63</v>
      </c>
      <c r="K65" s="17"/>
      <c r="L65" s="17" t="s">
        <v>1900</v>
      </c>
      <c r="M65" s="17" t="s">
        <v>850</v>
      </c>
      <c r="N65" s="17" t="s">
        <v>851</v>
      </c>
      <c r="O65" s="17" t="s">
        <v>852</v>
      </c>
      <c r="P65" s="17" t="s">
        <v>853</v>
      </c>
      <c r="Q65" s="17" t="s">
        <v>854</v>
      </c>
      <c r="R65" s="17" t="s">
        <v>855</v>
      </c>
      <c r="S65" s="17" t="s">
        <v>856</v>
      </c>
      <c r="T65" s="15"/>
    </row>
    <row r="66" spans="1:20" x14ac:dyDescent="0.25">
      <c r="A66" s="14">
        <v>63</v>
      </c>
      <c r="B66" s="14">
        <v>3505708</v>
      </c>
      <c r="C66" s="14" t="str">
        <f>IF(ISERR(FIND("-",tab_Geral[[#This Row],[Municípios]],1)),"","Têm Hifen")</f>
        <v/>
      </c>
      <c r="D66" s="14" t="str">
        <f>IF(tab_Geral[[#This Row],[Informação 3]]&lt;&gt;"","","Não Registrado")</f>
        <v/>
      </c>
      <c r="E66" s="14" t="str">
        <f>IF(tab_Geral[[#This Row],[Municípios]]=tab_Geral[[#This Row],[Informação 1]],"","Não!, Erro!")</f>
        <v/>
      </c>
      <c r="F66" s="14" t="str">
        <f>IF(tab_Geral[[#This Row],[Municípios]]=tab_Geral[[#This Row],[Município]],"","Não!, Erro!")</f>
        <v/>
      </c>
      <c r="G66" s="14" t="str">
        <f>VLOOKUP(tab_Geral[[#This Row],[GeoCodigo]],tab_CETESB[],2,FALSE)</f>
        <v>Barueri</v>
      </c>
      <c r="H66" s="14" t="str">
        <f>VLOOKUP(tab_Geral[[#This Row],[Informação 3]],tab_AgênciaAmbiental,10,FALSE)</f>
        <v>26</v>
      </c>
      <c r="I66" s="14" t="s">
        <v>64</v>
      </c>
      <c r="J66" s="18" t="s">
        <v>64</v>
      </c>
      <c r="K66" s="17"/>
      <c r="L66" s="17" t="s">
        <v>1907</v>
      </c>
      <c r="M66" s="17" t="s">
        <v>857</v>
      </c>
      <c r="N66" s="17" t="s">
        <v>858</v>
      </c>
      <c r="O66" s="17" t="s">
        <v>859</v>
      </c>
      <c r="P66" s="17" t="s">
        <v>860</v>
      </c>
      <c r="Q66" s="17" t="s">
        <v>861</v>
      </c>
      <c r="R66" s="17" t="s">
        <v>862</v>
      </c>
      <c r="S66" s="17" t="s">
        <v>863</v>
      </c>
      <c r="T66" s="15"/>
    </row>
    <row r="67" spans="1:20" x14ac:dyDescent="0.25">
      <c r="A67" s="14">
        <v>64</v>
      </c>
      <c r="B67" s="14">
        <v>3505807</v>
      </c>
      <c r="C67" s="14" t="str">
        <f>IF(ISERR(FIND("-",tab_Geral[[#This Row],[Municípios]],1)),"","Têm Hifen")</f>
        <v/>
      </c>
      <c r="D67" s="14" t="str">
        <f>IF(tab_Geral[[#This Row],[Informação 3]]&lt;&gt;"","","Não Registrado")</f>
        <v/>
      </c>
      <c r="E67" s="14" t="str">
        <f>IF(tab_Geral[[#This Row],[Municípios]]=tab_Geral[[#This Row],[Informação 1]],"","Não!, Erro!")</f>
        <v/>
      </c>
      <c r="F67" s="14" t="str">
        <f>IF(tab_Geral[[#This Row],[Municípios]]=tab_Geral[[#This Row],[Município]],"","Não!, Erro!")</f>
        <v/>
      </c>
      <c r="G67" s="14" t="str">
        <f>VLOOKUP(tab_Geral[[#This Row],[GeoCodigo]],tab_CETESB[],2,FALSE)</f>
        <v>Bastos</v>
      </c>
      <c r="H67" s="14" t="str">
        <f>VLOOKUP(tab_Geral[[#This Row],[Informação 3]],tab_AgênciaAmbiental,10,FALSE)</f>
        <v>23</v>
      </c>
      <c r="I67" s="14" t="s">
        <v>65</v>
      </c>
      <c r="J67" s="18" t="s">
        <v>65</v>
      </c>
      <c r="K67" s="17"/>
      <c r="L67" s="17" t="s">
        <v>1904</v>
      </c>
      <c r="M67" s="17" t="s">
        <v>746</v>
      </c>
      <c r="N67" s="17" t="s">
        <v>747</v>
      </c>
      <c r="O67" s="17" t="s">
        <v>748</v>
      </c>
      <c r="P67" s="17" t="s">
        <v>749</v>
      </c>
      <c r="Q67" s="17" t="s">
        <v>750</v>
      </c>
      <c r="R67" s="17" t="s">
        <v>751</v>
      </c>
      <c r="S67" s="17" t="s">
        <v>752</v>
      </c>
      <c r="T67" s="15"/>
    </row>
    <row r="68" spans="1:20" x14ac:dyDescent="0.25">
      <c r="A68" s="14">
        <v>65</v>
      </c>
      <c r="B68" s="14">
        <v>3505906</v>
      </c>
      <c r="C68" s="14" t="str">
        <f>IF(ISERR(FIND("-",tab_Geral[[#This Row],[Municípios]],1)),"","Têm Hifen")</f>
        <v/>
      </c>
      <c r="D68" s="14" t="str">
        <f>IF(tab_Geral[[#This Row],[Informação 3]]&lt;&gt;"","","Não Registrado")</f>
        <v/>
      </c>
      <c r="E68" s="14" t="str">
        <f>IF(tab_Geral[[#This Row],[Municípios]]=tab_Geral[[#This Row],[Informação 1]],"","Não!, Erro!")</f>
        <v/>
      </c>
      <c r="F68" s="14" t="str">
        <f>IF(tab_Geral[[#This Row],[Municípios]]=tab_Geral[[#This Row],[Município]],"","Não!, Erro!")</f>
        <v/>
      </c>
      <c r="G68" s="14" t="str">
        <f>VLOOKUP(tab_Geral[[#This Row],[GeoCodigo]],tab_CETESB[],2,FALSE)</f>
        <v>Batatais</v>
      </c>
      <c r="H68" s="14" t="str">
        <f>VLOOKUP(tab_Geral[[#This Row],[Informação 3]],tab_AgênciaAmbiental,10,FALSE)</f>
        <v>15</v>
      </c>
      <c r="I68" s="14" t="s">
        <v>66</v>
      </c>
      <c r="J68" s="18" t="s">
        <v>66</v>
      </c>
      <c r="K68" s="17"/>
      <c r="L68" s="17" t="s">
        <v>1896</v>
      </c>
      <c r="M68" s="17" t="s">
        <v>809</v>
      </c>
      <c r="N68" s="17" t="s">
        <v>810</v>
      </c>
      <c r="O68" s="17" t="s">
        <v>811</v>
      </c>
      <c r="P68" s="17" t="s">
        <v>812</v>
      </c>
      <c r="Q68" s="17" t="s">
        <v>813</v>
      </c>
      <c r="R68" s="17" t="s">
        <v>814</v>
      </c>
      <c r="S68" s="17" t="s">
        <v>815</v>
      </c>
      <c r="T68" s="15"/>
    </row>
    <row r="69" spans="1:20" x14ac:dyDescent="0.25">
      <c r="A69" s="14">
        <v>66</v>
      </c>
      <c r="B69" s="14">
        <v>3506003</v>
      </c>
      <c r="C69" s="14" t="str">
        <f>IF(ISERR(FIND("-",tab_Geral[[#This Row],[Municípios]],1)),"","Têm Hifen")</f>
        <v/>
      </c>
      <c r="D69" s="14" t="str">
        <f>IF(tab_Geral[[#This Row],[Informação 3]]&lt;&gt;"","","Não Registrado")</f>
        <v/>
      </c>
      <c r="E69" s="14" t="str">
        <f>IF(tab_Geral[[#This Row],[Municípios]]=tab_Geral[[#This Row],[Informação 1]],"","Não!, Erro!")</f>
        <v/>
      </c>
      <c r="F69" s="14" t="str">
        <f>IF(tab_Geral[[#This Row],[Municípios]]=tab_Geral[[#This Row],[Município]],"","Não!, Erro!")</f>
        <v/>
      </c>
      <c r="G69" s="14" t="str">
        <f>VLOOKUP(tab_Geral[[#This Row],[GeoCodigo]],tab_CETESB[],2,FALSE)</f>
        <v>Bauru</v>
      </c>
      <c r="H69" s="14" t="str">
        <f>VLOOKUP(tab_Geral[[#This Row],[Informação 3]],tab_AgênciaAmbiental,10,FALSE)</f>
        <v>8</v>
      </c>
      <c r="I69" s="14" t="s">
        <v>67</v>
      </c>
      <c r="J69" s="18" t="s">
        <v>67</v>
      </c>
      <c r="K69" s="17"/>
      <c r="L69" s="17" t="s">
        <v>1889</v>
      </c>
      <c r="M69" s="17" t="s">
        <v>694</v>
      </c>
      <c r="N69" s="17" t="s">
        <v>695</v>
      </c>
      <c r="O69" s="17" t="s">
        <v>696</v>
      </c>
      <c r="P69" s="17" t="s">
        <v>697</v>
      </c>
      <c r="Q69" s="17" t="s">
        <v>698</v>
      </c>
      <c r="R69" s="17" t="s">
        <v>699</v>
      </c>
      <c r="S69" s="17" t="s">
        <v>700</v>
      </c>
      <c r="T69" s="15"/>
    </row>
    <row r="70" spans="1:20" x14ac:dyDescent="0.25">
      <c r="A70" s="14">
        <v>67</v>
      </c>
      <c r="B70" s="14">
        <v>3506102</v>
      </c>
      <c r="C70" s="14" t="str">
        <f>IF(ISERR(FIND("-",tab_Geral[[#This Row],[Municípios]],1)),"","Têm Hifen")</f>
        <v/>
      </c>
      <c r="D70" s="14" t="str">
        <f>IF(tab_Geral[[#This Row],[Informação 3]]&lt;&gt;"","","Não Registrado")</f>
        <v/>
      </c>
      <c r="E70" s="14" t="str">
        <f>IF(tab_Geral[[#This Row],[Municípios]]=tab_Geral[[#This Row],[Informação 1]],"","Não!, Erro!")</f>
        <v/>
      </c>
      <c r="F70" s="14" t="str">
        <f>IF(tab_Geral[[#This Row],[Municípios]]=tab_Geral[[#This Row],[Município]],"","Não!, Erro!")</f>
        <v/>
      </c>
      <c r="G70" s="14" t="str">
        <f>VLOOKUP(tab_Geral[[#This Row],[GeoCodigo]],tab_CETESB[],2,FALSE)</f>
        <v>Bebedouro</v>
      </c>
      <c r="H70" s="14" t="str">
        <f>VLOOKUP(tab_Geral[[#This Row],[Informação 3]],tab_AgênciaAmbiental,10,FALSE)</f>
        <v>7</v>
      </c>
      <c r="I70" s="14" t="s">
        <v>68</v>
      </c>
      <c r="J70" s="18" t="s">
        <v>68</v>
      </c>
      <c r="K70" s="17"/>
      <c r="L70" s="17" t="s">
        <v>1888</v>
      </c>
      <c r="M70" s="17" t="s">
        <v>713</v>
      </c>
      <c r="N70" s="17" t="s">
        <v>714</v>
      </c>
      <c r="O70" s="17" t="s">
        <v>715</v>
      </c>
      <c r="P70" s="17" t="s">
        <v>716</v>
      </c>
      <c r="Q70" s="17" t="s">
        <v>717</v>
      </c>
      <c r="R70" s="17" t="s">
        <v>718</v>
      </c>
      <c r="S70" s="17" t="s">
        <v>719</v>
      </c>
      <c r="T70" s="15"/>
    </row>
    <row r="71" spans="1:20" x14ac:dyDescent="0.25">
      <c r="A71" s="14">
        <v>68</v>
      </c>
      <c r="B71" s="14">
        <v>3506201</v>
      </c>
      <c r="C71" s="14" t="str">
        <f>IF(ISERR(FIND("-",tab_Geral[[#This Row],[Municípios]],1)),"","Têm Hifen")</f>
        <v/>
      </c>
      <c r="D71" s="14" t="str">
        <f>IF(tab_Geral[[#This Row],[Informação 3]]&lt;&gt;"","","Não Registrado")</f>
        <v/>
      </c>
      <c r="E71" s="14" t="str">
        <f>IF(tab_Geral[[#This Row],[Municípios]]=tab_Geral[[#This Row],[Informação 1]],"","Não!, Erro!")</f>
        <v/>
      </c>
      <c r="F71" s="14" t="str">
        <f>IF(tab_Geral[[#This Row],[Municípios]]=tab_Geral[[#This Row],[Município]],"","Não!, Erro!")</f>
        <v/>
      </c>
      <c r="G71" s="14" t="str">
        <f>VLOOKUP(tab_Geral[[#This Row],[GeoCodigo]],tab_CETESB[],2,FALSE)</f>
        <v>Bento de Abreu</v>
      </c>
      <c r="H71" s="14" t="str">
        <f>VLOOKUP(tab_Geral[[#This Row],[Informação 3]],tab_AgênciaAmbiental,10,FALSE)</f>
        <v>2</v>
      </c>
      <c r="I71" s="14" t="s">
        <v>69</v>
      </c>
      <c r="J71" s="18" t="s">
        <v>69</v>
      </c>
      <c r="K71" s="17"/>
      <c r="L71" s="17" t="s">
        <v>1883</v>
      </c>
      <c r="M71" s="17" t="s">
        <v>727</v>
      </c>
      <c r="N71" s="17" t="s">
        <v>728</v>
      </c>
      <c r="O71" s="17" t="s">
        <v>729</v>
      </c>
      <c r="P71" s="17" t="s">
        <v>730</v>
      </c>
      <c r="Q71" s="17" t="s">
        <v>731</v>
      </c>
      <c r="R71" s="17" t="s">
        <v>732</v>
      </c>
      <c r="S71" s="17" t="s">
        <v>936</v>
      </c>
    </row>
    <row r="72" spans="1:20" x14ac:dyDescent="0.25">
      <c r="A72" s="14">
        <v>69</v>
      </c>
      <c r="B72" s="14">
        <v>3506300</v>
      </c>
      <c r="C72" s="14" t="str">
        <f>IF(ISERR(FIND("-",tab_Geral[[#This Row],[Municípios]],1)),"","Têm Hifen")</f>
        <v/>
      </c>
      <c r="D72" s="14" t="str">
        <f>IF(tab_Geral[[#This Row],[Informação 3]]&lt;&gt;"","","Não Registrado")</f>
        <v/>
      </c>
      <c r="E72" s="14" t="str">
        <f>IF(tab_Geral[[#This Row],[Municípios]]=tab_Geral[[#This Row],[Informação 1]],"","Não!, Erro!")</f>
        <v/>
      </c>
      <c r="F72" s="14" t="str">
        <f>IF(tab_Geral[[#This Row],[Municípios]]=tab_Geral[[#This Row],[Município]],"","Não!, Erro!")</f>
        <v/>
      </c>
      <c r="G72" s="14" t="str">
        <f>VLOOKUP(tab_Geral[[#This Row],[GeoCodigo]],tab_CETESB[],2,FALSE)</f>
        <v>Bernardino de Campos</v>
      </c>
      <c r="H72" s="14" t="str">
        <f>VLOOKUP(tab_Geral[[#This Row],[Informação 3]],tab_AgênciaAmbiental,10,FALSE)</f>
        <v>4</v>
      </c>
      <c r="I72" s="14" t="s">
        <v>70</v>
      </c>
      <c r="J72" s="18" t="s">
        <v>70</v>
      </c>
      <c r="K72" s="17"/>
      <c r="L72" s="17" t="s">
        <v>1885</v>
      </c>
      <c r="M72" s="17" t="s">
        <v>830</v>
      </c>
      <c r="N72" s="17" t="s">
        <v>831</v>
      </c>
      <c r="O72" s="17" t="s">
        <v>832</v>
      </c>
      <c r="P72" s="17" t="s">
        <v>833</v>
      </c>
      <c r="Q72" s="17" t="s">
        <v>834</v>
      </c>
      <c r="R72" s="17" t="s">
        <v>835</v>
      </c>
      <c r="S72" s="17" t="s">
        <v>836</v>
      </c>
      <c r="T72" s="15"/>
    </row>
    <row r="73" spans="1:20" x14ac:dyDescent="0.25">
      <c r="A73" s="14">
        <v>70</v>
      </c>
      <c r="B73" s="14">
        <v>3506359</v>
      </c>
      <c r="C73" s="14" t="str">
        <f>IF(ISERR(FIND("-",tab_Geral[[#This Row],[Municípios]],1)),"","Têm Hifen")</f>
        <v/>
      </c>
      <c r="D73" s="14" t="str">
        <f>IF(tab_Geral[[#This Row],[Informação 3]]&lt;&gt;"","","Não Registrado")</f>
        <v/>
      </c>
      <c r="E73" s="14" t="str">
        <f>IF(tab_Geral[[#This Row],[Municípios]]=tab_Geral[[#This Row],[Informação 1]],"","Não!, Erro!")</f>
        <v/>
      </c>
      <c r="F73" s="14" t="str">
        <f>IF(tab_Geral[[#This Row],[Municípios]]=tab_Geral[[#This Row],[Município]],"","Não!, Erro!")</f>
        <v/>
      </c>
      <c r="G73" s="14" t="str">
        <f>VLOOKUP(tab_Geral[[#This Row],[GeoCodigo]],tab_CETESB[],2,FALSE)</f>
        <v>Bertioga</v>
      </c>
      <c r="H73" s="14" t="str">
        <f>VLOOKUP(tab_Geral[[#This Row],[Informação 3]],tab_AgênciaAmbiental,10,FALSE)</f>
        <v>12</v>
      </c>
      <c r="I73" s="14" t="s">
        <v>71</v>
      </c>
      <c r="J73" s="18" t="s">
        <v>71</v>
      </c>
      <c r="K73" s="17"/>
      <c r="L73" s="17" t="s">
        <v>1893</v>
      </c>
      <c r="M73" s="17" t="s">
        <v>864</v>
      </c>
      <c r="N73" s="17" t="s">
        <v>865</v>
      </c>
      <c r="O73" s="17" t="s">
        <v>866</v>
      </c>
      <c r="P73" s="17" t="s">
        <v>867</v>
      </c>
      <c r="Q73" s="17" t="s">
        <v>868</v>
      </c>
      <c r="R73" s="17" t="s">
        <v>869</v>
      </c>
      <c r="S73" s="17" t="s">
        <v>870</v>
      </c>
      <c r="T73" s="15"/>
    </row>
    <row r="74" spans="1:20" x14ac:dyDescent="0.25">
      <c r="A74" s="14">
        <v>71</v>
      </c>
      <c r="B74" s="14">
        <v>3506409</v>
      </c>
      <c r="C74" s="14" t="str">
        <f>IF(ISERR(FIND("-",tab_Geral[[#This Row],[Municípios]],1)),"","Têm Hifen")</f>
        <v/>
      </c>
      <c r="D74" s="14" t="str">
        <f>IF(tab_Geral[[#This Row],[Informação 3]]&lt;&gt;"","","Não Registrado")</f>
        <v/>
      </c>
      <c r="E74" s="14" t="str">
        <f>IF(tab_Geral[[#This Row],[Municípios]]=tab_Geral[[#This Row],[Informação 1]],"","Não!, Erro!")</f>
        <v/>
      </c>
      <c r="F74" s="14" t="str">
        <f>IF(tab_Geral[[#This Row],[Municípios]]=tab_Geral[[#This Row],[Município]],"","Não!, Erro!")</f>
        <v/>
      </c>
      <c r="G74" s="14" t="str">
        <f>VLOOKUP(tab_Geral[[#This Row],[GeoCodigo]],tab_CETESB[],2,FALSE)</f>
        <v>Bilac</v>
      </c>
      <c r="H74" s="14" t="str">
        <f>VLOOKUP(tab_Geral[[#This Row],[Informação 3]],tab_AgênciaAmbiental,10,FALSE)</f>
        <v>2</v>
      </c>
      <c r="I74" s="14" t="s">
        <v>72</v>
      </c>
      <c r="J74" s="18" t="s">
        <v>72</v>
      </c>
      <c r="K74" s="17"/>
      <c r="L74" s="17" t="s">
        <v>1883</v>
      </c>
      <c r="M74" s="17" t="s">
        <v>727</v>
      </c>
      <c r="N74" s="17" t="s">
        <v>728</v>
      </c>
      <c r="O74" s="17" t="s">
        <v>729</v>
      </c>
      <c r="P74" s="17" t="s">
        <v>730</v>
      </c>
      <c r="Q74" s="17" t="s">
        <v>731</v>
      </c>
      <c r="R74" s="17" t="s">
        <v>732</v>
      </c>
      <c r="S74" s="17" t="s">
        <v>936</v>
      </c>
    </row>
    <row r="75" spans="1:20" x14ac:dyDescent="0.25">
      <c r="A75" s="14">
        <v>72</v>
      </c>
      <c r="B75" s="14">
        <v>3506508</v>
      </c>
      <c r="C75" s="14" t="str">
        <f>IF(ISERR(FIND("-",tab_Geral[[#This Row],[Municípios]],1)),"","Têm Hifen")</f>
        <v/>
      </c>
      <c r="D75" s="14" t="str">
        <f>IF(tab_Geral[[#This Row],[Informação 3]]&lt;&gt;"","","Não Registrado")</f>
        <v/>
      </c>
      <c r="E75" s="14" t="str">
        <f>IF(tab_Geral[[#This Row],[Municípios]]=tab_Geral[[#This Row],[Informação 1]],"","Não!, Erro!")</f>
        <v/>
      </c>
      <c r="F75" s="14" t="str">
        <f>IF(tab_Geral[[#This Row],[Municípios]]=tab_Geral[[#This Row],[Município]],"","Não!, Erro!")</f>
        <v/>
      </c>
      <c r="G75" s="14" t="str">
        <f>VLOOKUP(tab_Geral[[#This Row],[GeoCodigo]],tab_CETESB[],2,FALSE)</f>
        <v>Birigui</v>
      </c>
      <c r="H75" s="14" t="str">
        <f>VLOOKUP(tab_Geral[[#This Row],[Informação 3]],tab_AgênciaAmbiental,10,FALSE)</f>
        <v>2</v>
      </c>
      <c r="I75" s="14" t="s">
        <v>73</v>
      </c>
      <c r="J75" s="18" t="s">
        <v>73</v>
      </c>
      <c r="K75" s="17"/>
      <c r="L75" s="17" t="s">
        <v>1883</v>
      </c>
      <c r="M75" s="17" t="s">
        <v>727</v>
      </c>
      <c r="N75" s="17" t="s">
        <v>728</v>
      </c>
      <c r="O75" s="17" t="s">
        <v>729</v>
      </c>
      <c r="P75" s="17" t="s">
        <v>730</v>
      </c>
      <c r="Q75" s="17" t="s">
        <v>731</v>
      </c>
      <c r="R75" s="17" t="s">
        <v>732</v>
      </c>
      <c r="S75" s="17" t="s">
        <v>936</v>
      </c>
    </row>
    <row r="76" spans="1:20" x14ac:dyDescent="0.25">
      <c r="A76" s="14">
        <v>629</v>
      </c>
      <c r="B76" s="14">
        <v>3506607</v>
      </c>
      <c r="C76" s="14" t="str">
        <f>IF(ISERR(FIND("-",tab_Geral[[#This Row],[Municípios]],1)),"","Têm Hifen")</f>
        <v/>
      </c>
      <c r="D76" s="14" t="str">
        <f>IF(tab_Geral[[#This Row],[Informação 3]]&lt;&gt;"","","Não Registrado")</f>
        <v/>
      </c>
      <c r="E76" s="14" t="str">
        <f>IF(tab_Geral[[#This Row],[Municípios]]=tab_Geral[[#This Row],[Informação 1]],"","Não!, Erro!")</f>
        <v/>
      </c>
      <c r="F76" s="14" t="str">
        <f>IF(tab_Geral[[#This Row],[Municípios]]=tab_Geral[[#This Row],[Município]],"","Não!, Erro!")</f>
        <v>Não!, Erro!</v>
      </c>
      <c r="G76" s="14" t="str">
        <f>VLOOKUP(tab_Geral[[#This Row],[GeoCodigo]],tab_CETESB[],2,FALSE)</f>
        <v>Biritiba-Mirim</v>
      </c>
      <c r="H76" s="14" t="str">
        <f>VLOOKUP(tab_Geral[[#This Row],[Informação 3]],tab_AgênciaAmbiental,10,FALSE)</f>
        <v>24</v>
      </c>
      <c r="I76" s="14" t="s">
        <v>74</v>
      </c>
      <c r="J76" s="18" t="s">
        <v>74</v>
      </c>
      <c r="K76" s="17"/>
      <c r="L76" s="17" t="s">
        <v>1905</v>
      </c>
      <c r="M76" s="17" t="s">
        <v>871</v>
      </c>
      <c r="N76" s="17" t="s">
        <v>872</v>
      </c>
      <c r="O76" s="17" t="s">
        <v>873</v>
      </c>
      <c r="P76" s="17" t="s">
        <v>874</v>
      </c>
      <c r="Q76" s="17" t="s">
        <v>875</v>
      </c>
      <c r="R76" s="17" t="s">
        <v>686</v>
      </c>
      <c r="S76" s="17" t="s">
        <v>876</v>
      </c>
      <c r="T76" s="15"/>
    </row>
    <row r="77" spans="1:20" x14ac:dyDescent="0.25">
      <c r="A77" s="14">
        <v>73</v>
      </c>
      <c r="B77" s="14">
        <v>3506706</v>
      </c>
      <c r="C77" s="14" t="str">
        <f>IF(ISERR(FIND("-",tab_Geral[[#This Row],[Municípios]],1)),"","Têm Hifen")</f>
        <v/>
      </c>
      <c r="D77" s="14" t="str">
        <f>IF(tab_Geral[[#This Row],[Informação 3]]&lt;&gt;"","","Não Registrado")</f>
        <v/>
      </c>
      <c r="E77" s="14" t="str">
        <f>IF(tab_Geral[[#This Row],[Municípios]]=tab_Geral[[#This Row],[Informação 1]],"","Não!, Erro!")</f>
        <v/>
      </c>
      <c r="F77" s="14" t="str">
        <f>IF(tab_Geral[[#This Row],[Municípios]]=tab_Geral[[#This Row],[Município]],"","Não!, Erro!")</f>
        <v/>
      </c>
      <c r="G77" s="14" t="str">
        <f>VLOOKUP(tab_Geral[[#This Row],[GeoCodigo]],tab_CETESB[],2,FALSE)</f>
        <v>Boa Esperança do Sul</v>
      </c>
      <c r="H77" s="14" t="str">
        <f>VLOOKUP(tab_Geral[[#This Row],[Informação 3]],tab_AgênciaAmbiental,10,FALSE)</f>
        <v>3</v>
      </c>
      <c r="I77" s="14" t="s">
        <v>75</v>
      </c>
      <c r="J77" s="18" t="s">
        <v>75</v>
      </c>
      <c r="K77" s="17"/>
      <c r="L77" s="17" t="s">
        <v>1884</v>
      </c>
      <c r="M77" s="17" t="s">
        <v>760</v>
      </c>
      <c r="N77" s="17" t="s">
        <v>761</v>
      </c>
      <c r="O77" s="17" t="s">
        <v>762</v>
      </c>
      <c r="P77" s="17" t="s">
        <v>763</v>
      </c>
      <c r="Q77" s="17" t="s">
        <v>764</v>
      </c>
      <c r="R77" s="17" t="s">
        <v>765</v>
      </c>
      <c r="S77" s="17" t="s">
        <v>766</v>
      </c>
      <c r="T77" s="15"/>
    </row>
    <row r="78" spans="1:20" x14ac:dyDescent="0.25">
      <c r="A78" s="14">
        <v>74</v>
      </c>
      <c r="B78" s="14">
        <v>3506805</v>
      </c>
      <c r="C78" s="14" t="str">
        <f>IF(ISERR(FIND("-",tab_Geral[[#This Row],[Municípios]],1)),"","Têm Hifen")</f>
        <v/>
      </c>
      <c r="D78" s="14" t="str">
        <f>IF(tab_Geral[[#This Row],[Informação 3]]&lt;&gt;"","","Não Registrado")</f>
        <v/>
      </c>
      <c r="E78" s="14" t="str">
        <f>IF(tab_Geral[[#This Row],[Municípios]]=tab_Geral[[#This Row],[Informação 1]],"","Não!, Erro!")</f>
        <v/>
      </c>
      <c r="F78" s="14" t="str">
        <f>IF(tab_Geral[[#This Row],[Municípios]]=tab_Geral[[#This Row],[Município]],"","Não!, Erro!")</f>
        <v/>
      </c>
      <c r="G78" s="14" t="str">
        <f>VLOOKUP(tab_Geral[[#This Row],[GeoCodigo]],tab_CETESB[],2,FALSE)</f>
        <v>Bocaina</v>
      </c>
      <c r="H78" s="14" t="str">
        <f>VLOOKUP(tab_Geral[[#This Row],[Informação 3]],tab_AgênciaAmbiental,10,FALSE)</f>
        <v>8</v>
      </c>
      <c r="I78" s="14" t="s">
        <v>76</v>
      </c>
      <c r="J78" s="18" t="s">
        <v>76</v>
      </c>
      <c r="K78" s="17"/>
      <c r="L78" s="17" t="s">
        <v>1889</v>
      </c>
      <c r="M78" s="17" t="s">
        <v>694</v>
      </c>
      <c r="N78" s="17" t="s">
        <v>695</v>
      </c>
      <c r="O78" s="17" t="s">
        <v>696</v>
      </c>
      <c r="P78" s="17" t="s">
        <v>697</v>
      </c>
      <c r="Q78" s="17" t="s">
        <v>698</v>
      </c>
      <c r="R78" s="17" t="s">
        <v>699</v>
      </c>
      <c r="S78" s="17" t="s">
        <v>700</v>
      </c>
      <c r="T78" s="15"/>
    </row>
    <row r="79" spans="1:20" x14ac:dyDescent="0.25">
      <c r="A79" s="14">
        <v>75</v>
      </c>
      <c r="B79" s="14">
        <v>3506904</v>
      </c>
      <c r="C79" s="14" t="str">
        <f>IF(ISERR(FIND("-",tab_Geral[[#This Row],[Municípios]],1)),"","Têm Hifen")</f>
        <v/>
      </c>
      <c r="D79" s="14" t="str">
        <f>IF(tab_Geral[[#This Row],[Informação 3]]&lt;&gt;"","","Não Registrado")</f>
        <v/>
      </c>
      <c r="E79" s="14" t="str">
        <f>IF(tab_Geral[[#This Row],[Municípios]]=tab_Geral[[#This Row],[Informação 1]],"","Não!, Erro!")</f>
        <v/>
      </c>
      <c r="F79" s="14" t="str">
        <f>IF(tab_Geral[[#This Row],[Municípios]]=tab_Geral[[#This Row],[Município]],"","Não!, Erro!")</f>
        <v/>
      </c>
      <c r="G79" s="14" t="str">
        <f>VLOOKUP(tab_Geral[[#This Row],[GeoCodigo]],tab_CETESB[],2,FALSE)</f>
        <v>Bofete</v>
      </c>
      <c r="H79" s="14" t="str">
        <f>VLOOKUP(tab_Geral[[#This Row],[Informação 3]],tab_AgênciaAmbiental,10,FALSE)</f>
        <v>9</v>
      </c>
      <c r="I79" s="14" t="s">
        <v>77</v>
      </c>
      <c r="J79" s="18" t="s">
        <v>77</v>
      </c>
      <c r="K79" s="17"/>
      <c r="L79" s="17" t="s">
        <v>1890</v>
      </c>
      <c r="M79" s="17" t="s">
        <v>774</v>
      </c>
      <c r="N79" s="17" t="s">
        <v>775</v>
      </c>
      <c r="O79" s="17" t="s">
        <v>776</v>
      </c>
      <c r="P79" s="17" t="s">
        <v>777</v>
      </c>
      <c r="Q79" s="17" t="s">
        <v>778</v>
      </c>
      <c r="R79" s="17" t="s">
        <v>779</v>
      </c>
      <c r="S79" s="17" t="s">
        <v>780</v>
      </c>
      <c r="T79" s="15"/>
    </row>
    <row r="80" spans="1:20" x14ac:dyDescent="0.25">
      <c r="A80" s="14">
        <v>76</v>
      </c>
      <c r="B80" s="14">
        <v>3507001</v>
      </c>
      <c r="C80" s="14" t="str">
        <f>IF(ISERR(FIND("-",tab_Geral[[#This Row],[Municípios]],1)),"","Têm Hifen")</f>
        <v/>
      </c>
      <c r="D80" s="14" t="str">
        <f>IF(tab_Geral[[#This Row],[Informação 3]]&lt;&gt;"","","Não Registrado")</f>
        <v/>
      </c>
      <c r="E80" s="14" t="str">
        <f>IF(tab_Geral[[#This Row],[Municípios]]=tab_Geral[[#This Row],[Informação 1]],"","Não!, Erro!")</f>
        <v/>
      </c>
      <c r="F80" s="14" t="str">
        <f>IF(tab_Geral[[#This Row],[Municípios]]=tab_Geral[[#This Row],[Município]],"","Não!, Erro!")</f>
        <v/>
      </c>
      <c r="G80" s="14" t="str">
        <f>VLOOKUP(tab_Geral[[#This Row],[GeoCodigo]],tab_CETESB[],2,FALSE)</f>
        <v>Boituva</v>
      </c>
      <c r="H80" s="14" t="str">
        <f>VLOOKUP(tab_Geral[[#This Row],[Informação 3]],tab_AgênciaAmbiental,10,FALSE)</f>
        <v>18</v>
      </c>
      <c r="I80" s="14" t="s">
        <v>78</v>
      </c>
      <c r="J80" s="18" t="s">
        <v>78</v>
      </c>
      <c r="K80" s="17"/>
      <c r="L80" s="17" t="s">
        <v>1899</v>
      </c>
      <c r="M80" s="17" t="s">
        <v>733</v>
      </c>
      <c r="N80" s="17" t="s">
        <v>657</v>
      </c>
      <c r="O80" s="17" t="s">
        <v>734</v>
      </c>
      <c r="P80" s="17" t="s">
        <v>735</v>
      </c>
      <c r="Q80" s="17" t="s">
        <v>736</v>
      </c>
      <c r="R80" s="17" t="s">
        <v>737</v>
      </c>
      <c r="S80" s="17" t="s">
        <v>738</v>
      </c>
      <c r="T80" s="15"/>
    </row>
    <row r="81" spans="1:20" x14ac:dyDescent="0.25">
      <c r="A81" s="14">
        <v>77</v>
      </c>
      <c r="B81" s="14">
        <v>3507100</v>
      </c>
      <c r="C81" s="14" t="str">
        <f>IF(ISERR(FIND("-",tab_Geral[[#This Row],[Municípios]],1)),"","Têm Hifen")</f>
        <v/>
      </c>
      <c r="D81" s="14" t="str">
        <f>IF(tab_Geral[[#This Row],[Informação 3]]&lt;&gt;"","","Não Registrado")</f>
        <v/>
      </c>
      <c r="E81" s="14" t="str">
        <f>IF(tab_Geral[[#This Row],[Municípios]]=tab_Geral[[#This Row],[Informação 1]],"","Não!, Erro!")</f>
        <v/>
      </c>
      <c r="F81" s="14" t="str">
        <f>IF(tab_Geral[[#This Row],[Municípios]]=tab_Geral[[#This Row],[Município]],"","Não!, Erro!")</f>
        <v/>
      </c>
      <c r="G81" s="14" t="str">
        <f>VLOOKUP(tab_Geral[[#This Row],[GeoCodigo]],tab_CETESB[],2,FALSE)</f>
        <v>Bom Jesus dos Perdões</v>
      </c>
      <c r="H81" s="14" t="str">
        <f>VLOOKUP(tab_Geral[[#This Row],[Informação 3]],tab_AgênciaAmbiental,10,FALSE)</f>
        <v>5</v>
      </c>
      <c r="I81" s="14" t="s">
        <v>79</v>
      </c>
      <c r="J81" s="18" t="s">
        <v>79</v>
      </c>
      <c r="K81" s="17"/>
      <c r="L81" s="17" t="s">
        <v>1886</v>
      </c>
      <c r="M81" s="17" t="s">
        <v>837</v>
      </c>
      <c r="N81" s="17" t="s">
        <v>657</v>
      </c>
      <c r="O81" s="17" t="s">
        <v>838</v>
      </c>
      <c r="P81" s="17" t="s">
        <v>839</v>
      </c>
      <c r="Q81" s="17" t="s">
        <v>840</v>
      </c>
      <c r="R81" s="17" t="s">
        <v>841</v>
      </c>
      <c r="S81" s="17" t="s">
        <v>842</v>
      </c>
      <c r="T81" s="15"/>
    </row>
    <row r="82" spans="1:20" x14ac:dyDescent="0.25">
      <c r="A82" s="14">
        <v>78</v>
      </c>
      <c r="B82" s="14">
        <v>3507159</v>
      </c>
      <c r="C82" s="14" t="str">
        <f>IF(ISERR(FIND("-",tab_Geral[[#This Row],[Municípios]],1)),"","Têm Hifen")</f>
        <v/>
      </c>
      <c r="D82" s="14" t="str">
        <f>IF(tab_Geral[[#This Row],[Informação 3]]&lt;&gt;"","","Não Registrado")</f>
        <v/>
      </c>
      <c r="E82" s="14" t="str">
        <f>IF(tab_Geral[[#This Row],[Municípios]]=tab_Geral[[#This Row],[Informação 1]],"","Não!, Erro!")</f>
        <v/>
      </c>
      <c r="F82" s="14" t="str">
        <f>IF(tab_Geral[[#This Row],[Municípios]]=tab_Geral[[#This Row],[Município]],"","Não!, Erro!")</f>
        <v/>
      </c>
      <c r="G82" s="14" t="str">
        <f>VLOOKUP(tab_Geral[[#This Row],[GeoCodigo]],tab_CETESB[],2,FALSE)</f>
        <v>Bom Sucesso de Itararé</v>
      </c>
      <c r="H82" s="14" t="str">
        <f>VLOOKUP(tab_Geral[[#This Row],[Informação 3]],tab_AgênciaAmbiental,10,FALSE)</f>
        <v>11</v>
      </c>
      <c r="I82" s="14" t="s">
        <v>80</v>
      </c>
      <c r="J82" s="18" t="s">
        <v>80</v>
      </c>
      <c r="K82" s="17"/>
      <c r="L82" s="17" t="s">
        <v>1892</v>
      </c>
      <c r="M82" s="17" t="s">
        <v>795</v>
      </c>
      <c r="N82" s="17" t="s">
        <v>796</v>
      </c>
      <c r="O82" s="17" t="s">
        <v>797</v>
      </c>
      <c r="P82" s="17" t="s">
        <v>798</v>
      </c>
      <c r="Q82" s="17" t="s">
        <v>799</v>
      </c>
      <c r="R82" s="17" t="s">
        <v>800</v>
      </c>
      <c r="S82" s="17" t="s">
        <v>801</v>
      </c>
      <c r="T82" s="15"/>
    </row>
    <row r="83" spans="1:20" x14ac:dyDescent="0.25">
      <c r="A83" s="14">
        <v>79</v>
      </c>
      <c r="B83" s="14">
        <v>3507209</v>
      </c>
      <c r="C83" s="14" t="str">
        <f>IF(ISERR(FIND("-",tab_Geral[[#This Row],[Municípios]],1)),"","Têm Hifen")</f>
        <v/>
      </c>
      <c r="D83" s="14" t="str">
        <f>IF(tab_Geral[[#This Row],[Informação 3]]&lt;&gt;"","","Não Registrado")</f>
        <v/>
      </c>
      <c r="E83" s="14" t="str">
        <f>IF(tab_Geral[[#This Row],[Municípios]]=tab_Geral[[#This Row],[Informação 1]],"","Não!, Erro!")</f>
        <v/>
      </c>
      <c r="F83" s="14" t="str">
        <f>IF(tab_Geral[[#This Row],[Municípios]]=tab_Geral[[#This Row],[Município]],"","Não!, Erro!")</f>
        <v/>
      </c>
      <c r="G83" s="14" t="str">
        <f>VLOOKUP(tab_Geral[[#This Row],[GeoCodigo]],tab_CETESB[],2,FALSE)</f>
        <v>Borá</v>
      </c>
      <c r="H83" s="14" t="str">
        <f>VLOOKUP(tab_Geral[[#This Row],[Informação 3]],tab_AgênciaAmbiental,10,FALSE)</f>
        <v>4</v>
      </c>
      <c r="I83" s="14" t="s">
        <v>81</v>
      </c>
      <c r="J83" s="18" t="s">
        <v>81</v>
      </c>
      <c r="K83" s="17"/>
      <c r="L83" s="17" t="s">
        <v>1885</v>
      </c>
      <c r="M83" s="17" t="s">
        <v>830</v>
      </c>
      <c r="N83" s="17" t="s">
        <v>831</v>
      </c>
      <c r="O83" s="17" t="s">
        <v>832</v>
      </c>
      <c r="P83" s="17" t="s">
        <v>833</v>
      </c>
      <c r="Q83" s="17" t="s">
        <v>834</v>
      </c>
      <c r="R83" s="17" t="s">
        <v>835</v>
      </c>
      <c r="S83" s="17" t="s">
        <v>836</v>
      </c>
      <c r="T83" s="15"/>
    </row>
    <row r="84" spans="1:20" x14ac:dyDescent="0.25">
      <c r="A84" s="14">
        <v>80</v>
      </c>
      <c r="B84" s="14">
        <v>3507308</v>
      </c>
      <c r="C84" s="14" t="str">
        <f>IF(ISERR(FIND("-",tab_Geral[[#This Row],[Municípios]],1)),"","Têm Hifen")</f>
        <v/>
      </c>
      <c r="D84" s="14" t="str">
        <f>IF(tab_Geral[[#This Row],[Informação 3]]&lt;&gt;"","","Não Registrado")</f>
        <v/>
      </c>
      <c r="E84" s="14" t="str">
        <f>IF(tab_Geral[[#This Row],[Municípios]]=tab_Geral[[#This Row],[Informação 1]],"","Não!, Erro!")</f>
        <v/>
      </c>
      <c r="F84" s="14" t="str">
        <f>IF(tab_Geral[[#This Row],[Municípios]]=tab_Geral[[#This Row],[Município]],"","Não!, Erro!")</f>
        <v/>
      </c>
      <c r="G84" s="14" t="str">
        <f>VLOOKUP(tab_Geral[[#This Row],[GeoCodigo]],tab_CETESB[],2,FALSE)</f>
        <v>Boracéia</v>
      </c>
      <c r="H84" s="14" t="str">
        <f>VLOOKUP(tab_Geral[[#This Row],[Informação 3]],tab_AgênciaAmbiental,10,FALSE)</f>
        <v>8</v>
      </c>
      <c r="I84" s="14" t="s">
        <v>82</v>
      </c>
      <c r="J84" s="18" t="s">
        <v>82</v>
      </c>
      <c r="K84" s="17"/>
      <c r="L84" s="17" t="s">
        <v>1889</v>
      </c>
      <c r="M84" s="17" t="s">
        <v>694</v>
      </c>
      <c r="N84" s="17" t="s">
        <v>695</v>
      </c>
      <c r="O84" s="17" t="s">
        <v>696</v>
      </c>
      <c r="P84" s="17" t="s">
        <v>697</v>
      </c>
      <c r="Q84" s="17" t="s">
        <v>698</v>
      </c>
      <c r="R84" s="17" t="s">
        <v>699</v>
      </c>
      <c r="S84" s="17" t="s">
        <v>700</v>
      </c>
      <c r="T84" s="15"/>
    </row>
    <row r="85" spans="1:20" x14ac:dyDescent="0.25">
      <c r="A85" s="14">
        <v>81</v>
      </c>
      <c r="B85" s="14">
        <v>3507407</v>
      </c>
      <c r="C85" s="14" t="str">
        <f>IF(ISERR(FIND("-",tab_Geral[[#This Row],[Municípios]],1)),"","Têm Hifen")</f>
        <v/>
      </c>
      <c r="D85" s="14" t="str">
        <f>IF(tab_Geral[[#This Row],[Informação 3]]&lt;&gt;"","","Não Registrado")</f>
        <v/>
      </c>
      <c r="E85" s="14" t="str">
        <f>IF(tab_Geral[[#This Row],[Municípios]]=tab_Geral[[#This Row],[Informação 1]],"","Não!, Erro!")</f>
        <v/>
      </c>
      <c r="F85" s="14" t="str">
        <f>IF(tab_Geral[[#This Row],[Municípios]]=tab_Geral[[#This Row],[Município]],"","Não!, Erro!")</f>
        <v/>
      </c>
      <c r="G85" s="14" t="str">
        <f>VLOOKUP(tab_Geral[[#This Row],[GeoCodigo]],tab_CETESB[],2,FALSE)</f>
        <v>Borborema</v>
      </c>
      <c r="H85" s="14" t="str">
        <f>VLOOKUP(tab_Geral[[#This Row],[Informação 3]],tab_AgênciaAmbiental,10,FALSE)</f>
        <v>3</v>
      </c>
      <c r="I85" s="14" t="s">
        <v>83</v>
      </c>
      <c r="J85" s="18" t="s">
        <v>83</v>
      </c>
      <c r="K85" s="17"/>
      <c r="L85" s="17" t="s">
        <v>1884</v>
      </c>
      <c r="M85" s="17" t="s">
        <v>760</v>
      </c>
      <c r="N85" s="17" t="s">
        <v>761</v>
      </c>
      <c r="O85" s="17" t="s">
        <v>762</v>
      </c>
      <c r="P85" s="17" t="s">
        <v>763</v>
      </c>
      <c r="Q85" s="17" t="s">
        <v>764</v>
      </c>
      <c r="R85" s="17" t="s">
        <v>765</v>
      </c>
      <c r="S85" s="17" t="s">
        <v>766</v>
      </c>
      <c r="T85" s="15"/>
    </row>
    <row r="86" spans="1:20" x14ac:dyDescent="0.25">
      <c r="A86" s="14">
        <v>82</v>
      </c>
      <c r="B86" s="14">
        <v>3507456</v>
      </c>
      <c r="C86" s="14" t="str">
        <f>IF(ISERR(FIND("-",tab_Geral[[#This Row],[Municípios]],1)),"","Têm Hifen")</f>
        <v/>
      </c>
      <c r="D86" s="14" t="str">
        <f>IF(tab_Geral[[#This Row],[Informação 3]]&lt;&gt;"","","Não Registrado")</f>
        <v/>
      </c>
      <c r="E86" s="14" t="str">
        <f>IF(tab_Geral[[#This Row],[Municípios]]=tab_Geral[[#This Row],[Informação 1]],"","Não!, Erro!")</f>
        <v/>
      </c>
      <c r="F86" s="14" t="str">
        <f>IF(tab_Geral[[#This Row],[Municípios]]=tab_Geral[[#This Row],[Município]],"","Não!, Erro!")</f>
        <v/>
      </c>
      <c r="G86" s="14" t="str">
        <f>VLOOKUP(tab_Geral[[#This Row],[GeoCodigo]],tab_CETESB[],2,FALSE)</f>
        <v>Borebi</v>
      </c>
      <c r="H86" s="14" t="str">
        <f>VLOOKUP(tab_Geral[[#This Row],[Informação 3]],tab_AgênciaAmbiental,10,FALSE)</f>
        <v>8</v>
      </c>
      <c r="I86" s="14" t="s">
        <v>84</v>
      </c>
      <c r="J86" s="18" t="s">
        <v>84</v>
      </c>
      <c r="K86" s="17"/>
      <c r="L86" s="17" t="s">
        <v>1889</v>
      </c>
      <c r="M86" s="17" t="s">
        <v>694</v>
      </c>
      <c r="N86" s="17" t="s">
        <v>695</v>
      </c>
      <c r="O86" s="17" t="s">
        <v>696</v>
      </c>
      <c r="P86" s="17" t="s">
        <v>697</v>
      </c>
      <c r="Q86" s="17" t="s">
        <v>698</v>
      </c>
      <c r="R86" s="17" t="s">
        <v>699</v>
      </c>
      <c r="S86" s="17" t="s">
        <v>700</v>
      </c>
      <c r="T86" s="15"/>
    </row>
    <row r="87" spans="1:20" x14ac:dyDescent="0.25">
      <c r="A87" s="14">
        <v>83</v>
      </c>
      <c r="B87" s="14">
        <v>3507506</v>
      </c>
      <c r="C87" s="14" t="str">
        <f>IF(ISERR(FIND("-",tab_Geral[[#This Row],[Municípios]],1)),"","Têm Hifen")</f>
        <v/>
      </c>
      <c r="D87" s="14" t="str">
        <f>IF(tab_Geral[[#This Row],[Informação 3]]&lt;&gt;"","","Não Registrado")</f>
        <v/>
      </c>
      <c r="E87" s="14" t="str">
        <f>IF(tab_Geral[[#This Row],[Municípios]]=tab_Geral[[#This Row],[Informação 1]],"","Não!, Erro!")</f>
        <v/>
      </c>
      <c r="F87" s="14" t="str">
        <f>IF(tab_Geral[[#This Row],[Municípios]]=tab_Geral[[#This Row],[Município]],"","Não!, Erro!")</f>
        <v/>
      </c>
      <c r="G87" s="14" t="str">
        <f>VLOOKUP(tab_Geral[[#This Row],[GeoCodigo]],tab_CETESB[],2,FALSE)</f>
        <v>Botucatu</v>
      </c>
      <c r="H87" s="14" t="str">
        <f>VLOOKUP(tab_Geral[[#This Row],[Informação 3]],tab_AgênciaAmbiental,10,FALSE)</f>
        <v>9</v>
      </c>
      <c r="I87" s="14" t="s">
        <v>85</v>
      </c>
      <c r="J87" s="18" t="s">
        <v>85</v>
      </c>
      <c r="K87" s="17"/>
      <c r="L87" s="17" t="s">
        <v>1890</v>
      </c>
      <c r="M87" s="17" t="s">
        <v>774</v>
      </c>
      <c r="N87" s="17" t="s">
        <v>775</v>
      </c>
      <c r="O87" s="17" t="s">
        <v>776</v>
      </c>
      <c r="P87" s="17" t="s">
        <v>777</v>
      </c>
      <c r="Q87" s="17" t="s">
        <v>778</v>
      </c>
      <c r="R87" s="17" t="s">
        <v>779</v>
      </c>
      <c r="S87" s="17" t="s">
        <v>780</v>
      </c>
      <c r="T87" s="15"/>
    </row>
    <row r="88" spans="1:20" x14ac:dyDescent="0.25">
      <c r="A88" s="14">
        <v>84</v>
      </c>
      <c r="B88" s="14">
        <v>3507605</v>
      </c>
      <c r="C88" s="14" t="str">
        <f>IF(ISERR(FIND("-",tab_Geral[[#This Row],[Municípios]],1)),"","Têm Hifen")</f>
        <v/>
      </c>
      <c r="D88" s="14" t="str">
        <f>IF(tab_Geral[[#This Row],[Informação 3]]&lt;&gt;"","","Não Registrado")</f>
        <v/>
      </c>
      <c r="E88" s="14" t="str">
        <f>IF(tab_Geral[[#This Row],[Municípios]]=tab_Geral[[#This Row],[Informação 1]],"","Não!, Erro!")</f>
        <v/>
      </c>
      <c r="F88" s="14" t="str">
        <f>IF(tab_Geral[[#This Row],[Municípios]]=tab_Geral[[#This Row],[Município]],"","Não!, Erro!")</f>
        <v/>
      </c>
      <c r="G88" s="14" t="str">
        <f>VLOOKUP(tab_Geral[[#This Row],[GeoCodigo]],tab_CETESB[],2,FALSE)</f>
        <v>Bragança Paulista</v>
      </c>
      <c r="H88" s="14" t="str">
        <f>VLOOKUP(tab_Geral[[#This Row],[Informação 3]],tab_AgênciaAmbiental,10,FALSE)</f>
        <v>5</v>
      </c>
      <c r="I88" s="14" t="s">
        <v>86</v>
      </c>
      <c r="J88" s="18" t="s">
        <v>86</v>
      </c>
      <c r="K88" s="17"/>
      <c r="L88" s="17" t="s">
        <v>1886</v>
      </c>
      <c r="M88" s="17" t="s">
        <v>837</v>
      </c>
      <c r="N88" s="17" t="s">
        <v>657</v>
      </c>
      <c r="O88" s="17" t="s">
        <v>838</v>
      </c>
      <c r="P88" s="17" t="s">
        <v>839</v>
      </c>
      <c r="Q88" s="17" t="s">
        <v>840</v>
      </c>
      <c r="R88" s="17" t="s">
        <v>841</v>
      </c>
      <c r="S88" s="17" t="s">
        <v>842</v>
      </c>
      <c r="T88" s="15"/>
    </row>
    <row r="89" spans="1:20" x14ac:dyDescent="0.25">
      <c r="A89" s="14">
        <v>85</v>
      </c>
      <c r="B89" s="14">
        <v>3507704</v>
      </c>
      <c r="C89" s="14" t="str">
        <f>IF(ISERR(FIND("-",tab_Geral[[#This Row],[Municípios]],1)),"","Têm Hifen")</f>
        <v/>
      </c>
      <c r="D89" s="14" t="str">
        <f>IF(tab_Geral[[#This Row],[Informação 3]]&lt;&gt;"","","Não Registrado")</f>
        <v/>
      </c>
      <c r="E89" s="14" t="str">
        <f>IF(tab_Geral[[#This Row],[Municípios]]=tab_Geral[[#This Row],[Informação 1]],"","Não!, Erro!")</f>
        <v/>
      </c>
      <c r="F89" s="14" t="str">
        <f>IF(tab_Geral[[#This Row],[Municípios]]=tab_Geral[[#This Row],[Município]],"","Não!, Erro!")</f>
        <v/>
      </c>
      <c r="G89" s="14" t="str">
        <f>VLOOKUP(tab_Geral[[#This Row],[GeoCodigo]],tab_CETESB[],2,FALSE)</f>
        <v>Braúna</v>
      </c>
      <c r="H89" s="14" t="str">
        <f>VLOOKUP(tab_Geral[[#This Row],[Informação 3]],tab_AgênciaAmbiental,10,FALSE)</f>
        <v>2</v>
      </c>
      <c r="I89" s="14" t="s">
        <v>87</v>
      </c>
      <c r="J89" s="18" t="s">
        <v>87</v>
      </c>
      <c r="K89" s="17"/>
      <c r="L89" s="17" t="s">
        <v>1883</v>
      </c>
      <c r="M89" s="17" t="s">
        <v>727</v>
      </c>
      <c r="N89" s="17" t="s">
        <v>728</v>
      </c>
      <c r="O89" s="17" t="s">
        <v>729</v>
      </c>
      <c r="P89" s="17" t="s">
        <v>730</v>
      </c>
      <c r="Q89" s="17" t="s">
        <v>731</v>
      </c>
      <c r="R89" s="17" t="s">
        <v>732</v>
      </c>
      <c r="S89" s="17" t="s">
        <v>936</v>
      </c>
    </row>
    <row r="90" spans="1:20" x14ac:dyDescent="0.25">
      <c r="A90" s="14">
        <v>86</v>
      </c>
      <c r="B90" s="14">
        <v>3507753</v>
      </c>
      <c r="C90" s="14" t="str">
        <f>IF(ISERR(FIND("-",tab_Geral[[#This Row],[Municípios]],1)),"","Têm Hifen")</f>
        <v/>
      </c>
      <c r="D90" s="14" t="str">
        <f>IF(tab_Geral[[#This Row],[Informação 3]]&lt;&gt;"","","Não Registrado")</f>
        <v/>
      </c>
      <c r="E90" s="14" t="str">
        <f>IF(tab_Geral[[#This Row],[Municípios]]=tab_Geral[[#This Row],[Informação 1]],"","Não!, Erro!")</f>
        <v/>
      </c>
      <c r="F90" s="14" t="str">
        <f>IF(tab_Geral[[#This Row],[Municípios]]=tab_Geral[[#This Row],[Município]],"","Não!, Erro!")</f>
        <v/>
      </c>
      <c r="G90" s="14" t="str">
        <f>VLOOKUP(tab_Geral[[#This Row],[GeoCodigo]],tab_CETESB[],2,FALSE)</f>
        <v>Brejo Alegre</v>
      </c>
      <c r="H90" s="14" t="str">
        <f>VLOOKUP(tab_Geral[[#This Row],[Informação 3]],tab_AgênciaAmbiental,10,FALSE)</f>
        <v>2</v>
      </c>
      <c r="I90" s="14" t="s">
        <v>88</v>
      </c>
      <c r="J90" s="18" t="s">
        <v>88</v>
      </c>
      <c r="K90" s="17"/>
      <c r="L90" s="17" t="s">
        <v>1883</v>
      </c>
      <c r="M90" s="17" t="s">
        <v>727</v>
      </c>
      <c r="N90" s="17" t="s">
        <v>728</v>
      </c>
      <c r="O90" s="17" t="s">
        <v>729</v>
      </c>
      <c r="P90" s="17" t="s">
        <v>730</v>
      </c>
      <c r="Q90" s="17" t="s">
        <v>731</v>
      </c>
      <c r="R90" s="17" t="s">
        <v>732</v>
      </c>
      <c r="S90" s="17" t="s">
        <v>936</v>
      </c>
    </row>
    <row r="91" spans="1:20" x14ac:dyDescent="0.25">
      <c r="A91" s="14">
        <v>87</v>
      </c>
      <c r="B91" s="14">
        <v>3507803</v>
      </c>
      <c r="C91" s="14" t="str">
        <f>IF(ISERR(FIND("-",tab_Geral[[#This Row],[Municípios]],1)),"","Têm Hifen")</f>
        <v/>
      </c>
      <c r="D91" s="14" t="str">
        <f>IF(tab_Geral[[#This Row],[Informação 3]]&lt;&gt;"","","Não Registrado")</f>
        <v/>
      </c>
      <c r="E91" s="14" t="str">
        <f>IF(tab_Geral[[#This Row],[Municípios]]=tab_Geral[[#This Row],[Informação 1]],"","Não!, Erro!")</f>
        <v/>
      </c>
      <c r="F91" s="14" t="str">
        <f>IF(tab_Geral[[#This Row],[Municípios]]=tab_Geral[[#This Row],[Município]],"","Não!, Erro!")</f>
        <v/>
      </c>
      <c r="G91" s="14" t="str">
        <f>VLOOKUP(tab_Geral[[#This Row],[GeoCodigo]],tab_CETESB[],2,FALSE)</f>
        <v>Brodowski</v>
      </c>
      <c r="H91" s="14" t="str">
        <f>VLOOKUP(tab_Geral[[#This Row],[Informação 3]],tab_AgênciaAmbiental,10,FALSE)</f>
        <v>31</v>
      </c>
      <c r="I91" s="14" t="s">
        <v>89</v>
      </c>
      <c r="J91" s="18" t="s">
        <v>89</v>
      </c>
      <c r="K91" s="17"/>
      <c r="L91" s="17" t="s">
        <v>1912</v>
      </c>
      <c r="M91" s="17" t="s">
        <v>720</v>
      </c>
      <c r="N91" s="17" t="s">
        <v>721</v>
      </c>
      <c r="O91" s="17" t="s">
        <v>722</v>
      </c>
      <c r="P91" s="17" t="s">
        <v>723</v>
      </c>
      <c r="Q91" s="17" t="s">
        <v>724</v>
      </c>
      <c r="R91" s="17" t="s">
        <v>725</v>
      </c>
      <c r="S91" s="17" t="s">
        <v>726</v>
      </c>
      <c r="T91" s="15"/>
    </row>
    <row r="92" spans="1:20" x14ac:dyDescent="0.25">
      <c r="A92" s="14">
        <v>88</v>
      </c>
      <c r="B92" s="14">
        <v>3507902</v>
      </c>
      <c r="C92" s="14" t="str">
        <f>IF(ISERR(FIND("-",tab_Geral[[#This Row],[Municípios]],1)),"","Têm Hifen")</f>
        <v/>
      </c>
      <c r="D92" s="14" t="str">
        <f>IF(tab_Geral[[#This Row],[Informação 3]]&lt;&gt;"","","Não Registrado")</f>
        <v/>
      </c>
      <c r="E92" s="14" t="str">
        <f>IF(tab_Geral[[#This Row],[Municípios]]=tab_Geral[[#This Row],[Informação 1]],"","Não!, Erro!")</f>
        <v/>
      </c>
      <c r="F92" s="14" t="str">
        <f>IF(tab_Geral[[#This Row],[Municípios]]=tab_Geral[[#This Row],[Município]],"","Não!, Erro!")</f>
        <v/>
      </c>
      <c r="G92" s="14" t="str">
        <f>VLOOKUP(tab_Geral[[#This Row],[GeoCodigo]],tab_CETESB[],2,FALSE)</f>
        <v>Brotas</v>
      </c>
      <c r="H92" s="14" t="str">
        <f>VLOOKUP(tab_Geral[[#This Row],[Informação 3]],tab_AgênciaAmbiental,10,FALSE)</f>
        <v>34</v>
      </c>
      <c r="I92" s="14" t="s">
        <v>90</v>
      </c>
      <c r="J92" s="18" t="s">
        <v>90</v>
      </c>
      <c r="K92" s="17"/>
      <c r="L92" s="17" t="s">
        <v>1915</v>
      </c>
      <c r="M92" s="17" t="s">
        <v>877</v>
      </c>
      <c r="N92" s="17" t="s">
        <v>878</v>
      </c>
      <c r="O92" s="17" t="s">
        <v>879</v>
      </c>
      <c r="P92" s="17" t="s">
        <v>880</v>
      </c>
      <c r="Q92" s="17" t="s">
        <v>881</v>
      </c>
      <c r="R92" s="17" t="s">
        <v>882</v>
      </c>
      <c r="S92" s="17" t="s">
        <v>883</v>
      </c>
      <c r="T92" s="15"/>
    </row>
    <row r="93" spans="1:20" x14ac:dyDescent="0.25">
      <c r="A93" s="14">
        <v>89</v>
      </c>
      <c r="B93" s="14">
        <v>3508009</v>
      </c>
      <c r="C93" s="14" t="str">
        <f>IF(ISERR(FIND("-",tab_Geral[[#This Row],[Municípios]],1)),"","Têm Hifen")</f>
        <v/>
      </c>
      <c r="D93" s="14" t="str">
        <f>IF(tab_Geral[[#This Row],[Informação 3]]&lt;&gt;"","","Não Registrado")</f>
        <v/>
      </c>
      <c r="E93" s="14" t="str">
        <f>IF(tab_Geral[[#This Row],[Municípios]]=tab_Geral[[#This Row],[Informação 1]],"","Não!, Erro!")</f>
        <v/>
      </c>
      <c r="F93" s="14" t="str">
        <f>IF(tab_Geral[[#This Row],[Municípios]]=tab_Geral[[#This Row],[Município]],"","Não!, Erro!")</f>
        <v/>
      </c>
      <c r="G93" s="14" t="str">
        <f>VLOOKUP(tab_Geral[[#This Row],[GeoCodigo]],tab_CETESB[],2,FALSE)</f>
        <v>Buri</v>
      </c>
      <c r="H93" s="14" t="str">
        <f>VLOOKUP(tab_Geral[[#This Row],[Informação 3]],tab_AgênciaAmbiental,10,FALSE)</f>
        <v>11</v>
      </c>
      <c r="I93" s="14" t="s">
        <v>91</v>
      </c>
      <c r="J93" s="18" t="s">
        <v>91</v>
      </c>
      <c r="K93" s="17"/>
      <c r="L93" s="17" t="s">
        <v>1892</v>
      </c>
      <c r="M93" s="17" t="s">
        <v>795</v>
      </c>
      <c r="N93" s="17" t="s">
        <v>796</v>
      </c>
      <c r="O93" s="17" t="s">
        <v>797</v>
      </c>
      <c r="P93" s="17" t="s">
        <v>798</v>
      </c>
      <c r="Q93" s="17" t="s">
        <v>799</v>
      </c>
      <c r="R93" s="17" t="s">
        <v>800</v>
      </c>
      <c r="S93" s="17" t="s">
        <v>801</v>
      </c>
      <c r="T93" s="15"/>
    </row>
    <row r="94" spans="1:20" x14ac:dyDescent="0.25">
      <c r="A94" s="14">
        <v>90</v>
      </c>
      <c r="B94" s="14">
        <v>3508108</v>
      </c>
      <c r="C94" s="14" t="str">
        <f>IF(ISERR(FIND("-",tab_Geral[[#This Row],[Municípios]],1)),"","Têm Hifen")</f>
        <v/>
      </c>
      <c r="D94" s="14" t="str">
        <f>IF(tab_Geral[[#This Row],[Informação 3]]&lt;&gt;"","","Não Registrado")</f>
        <v/>
      </c>
      <c r="E94" s="14" t="str">
        <f>IF(tab_Geral[[#This Row],[Municípios]]=tab_Geral[[#This Row],[Informação 1]],"","Não!, Erro!")</f>
        <v/>
      </c>
      <c r="F94" s="14" t="str">
        <f>IF(tab_Geral[[#This Row],[Municípios]]=tab_Geral[[#This Row],[Município]],"","Não!, Erro!")</f>
        <v/>
      </c>
      <c r="G94" s="14" t="str">
        <f>VLOOKUP(tab_Geral[[#This Row],[GeoCodigo]],tab_CETESB[],2,FALSE)</f>
        <v>Buritama</v>
      </c>
      <c r="H94" s="14" t="str">
        <f>VLOOKUP(tab_Geral[[#This Row],[Informação 3]],tab_AgênciaAmbiental,10,FALSE)</f>
        <v>2</v>
      </c>
      <c r="I94" s="14" t="s">
        <v>92</v>
      </c>
      <c r="J94" s="18" t="s">
        <v>92</v>
      </c>
      <c r="K94" s="17"/>
      <c r="L94" s="17" t="s">
        <v>1883</v>
      </c>
      <c r="M94" s="17" t="s">
        <v>727</v>
      </c>
      <c r="N94" s="17" t="s">
        <v>728</v>
      </c>
      <c r="O94" s="17" t="s">
        <v>729</v>
      </c>
      <c r="P94" s="17" t="s">
        <v>730</v>
      </c>
      <c r="Q94" s="17" t="s">
        <v>731</v>
      </c>
      <c r="R94" s="17" t="s">
        <v>732</v>
      </c>
      <c r="S94" s="17" t="s">
        <v>936</v>
      </c>
    </row>
    <row r="95" spans="1:20" x14ac:dyDescent="0.25">
      <c r="A95" s="14">
        <v>91</v>
      </c>
      <c r="B95" s="14">
        <v>3508207</v>
      </c>
      <c r="C95" s="14" t="str">
        <f>IF(ISERR(FIND("-",tab_Geral[[#This Row],[Municípios]],1)),"","Têm Hifen")</f>
        <v/>
      </c>
      <c r="D95" s="14" t="str">
        <f>IF(tab_Geral[[#This Row],[Informação 3]]&lt;&gt;"","","Não Registrado")</f>
        <v/>
      </c>
      <c r="E95" s="14" t="str">
        <f>IF(tab_Geral[[#This Row],[Municípios]]=tab_Geral[[#This Row],[Informação 1]],"","Não!, Erro!")</f>
        <v/>
      </c>
      <c r="F95" s="14" t="str">
        <f>IF(tab_Geral[[#This Row],[Municípios]]=tab_Geral[[#This Row],[Município]],"","Não!, Erro!")</f>
        <v/>
      </c>
      <c r="G95" s="14" t="str">
        <f>VLOOKUP(tab_Geral[[#This Row],[GeoCodigo]],tab_CETESB[],2,FALSE)</f>
        <v>Buritizal</v>
      </c>
      <c r="H95" s="14" t="str">
        <f>VLOOKUP(tab_Geral[[#This Row],[Informação 3]],tab_AgênciaAmbiental,10,FALSE)</f>
        <v>15</v>
      </c>
      <c r="I95" s="14" t="s">
        <v>93</v>
      </c>
      <c r="J95" s="18" t="s">
        <v>93</v>
      </c>
      <c r="K95" s="17"/>
      <c r="L95" s="17" t="s">
        <v>1896</v>
      </c>
      <c r="M95" s="17" t="s">
        <v>809</v>
      </c>
      <c r="N95" s="17" t="s">
        <v>810</v>
      </c>
      <c r="O95" s="17" t="s">
        <v>811</v>
      </c>
      <c r="P95" s="17" t="s">
        <v>812</v>
      </c>
      <c r="Q95" s="17" t="s">
        <v>813</v>
      </c>
      <c r="R95" s="17" t="s">
        <v>814</v>
      </c>
      <c r="S95" s="17" t="s">
        <v>815</v>
      </c>
      <c r="T95" s="15"/>
    </row>
    <row r="96" spans="1:20" x14ac:dyDescent="0.25">
      <c r="A96" s="14">
        <v>92</v>
      </c>
      <c r="B96" s="14">
        <v>3508306</v>
      </c>
      <c r="C96" s="14" t="str">
        <f>IF(ISERR(FIND("-",tab_Geral[[#This Row],[Municípios]],1)),"","Têm Hifen")</f>
        <v/>
      </c>
      <c r="D96" s="14" t="str">
        <f>IF(tab_Geral[[#This Row],[Informação 3]]&lt;&gt;"","","Não Registrado")</f>
        <v/>
      </c>
      <c r="E96" s="14" t="str">
        <f>IF(tab_Geral[[#This Row],[Municípios]]=tab_Geral[[#This Row],[Informação 1]],"","Não!, Erro!")</f>
        <v/>
      </c>
      <c r="F96" s="14" t="str">
        <f>IF(tab_Geral[[#This Row],[Municípios]]=tab_Geral[[#This Row],[Município]],"","Não!, Erro!")</f>
        <v/>
      </c>
      <c r="G96" s="14" t="str">
        <f>VLOOKUP(tab_Geral[[#This Row],[GeoCodigo]],tab_CETESB[],2,FALSE)</f>
        <v>Cabrália Paulista</v>
      </c>
      <c r="H96" s="14" t="str">
        <f>VLOOKUP(tab_Geral[[#This Row],[Informação 3]],tab_AgênciaAmbiental,10,FALSE)</f>
        <v>8</v>
      </c>
      <c r="I96" s="14" t="s">
        <v>94</v>
      </c>
      <c r="J96" s="18" t="s">
        <v>94</v>
      </c>
      <c r="K96" s="17"/>
      <c r="L96" s="17" t="s">
        <v>1889</v>
      </c>
      <c r="M96" s="17" t="s">
        <v>694</v>
      </c>
      <c r="N96" s="17" t="s">
        <v>695</v>
      </c>
      <c r="O96" s="17" t="s">
        <v>696</v>
      </c>
      <c r="P96" s="17" t="s">
        <v>697</v>
      </c>
      <c r="Q96" s="17" t="s">
        <v>698</v>
      </c>
      <c r="R96" s="17" t="s">
        <v>699</v>
      </c>
      <c r="S96" s="17" t="s">
        <v>700</v>
      </c>
      <c r="T96" s="15"/>
    </row>
    <row r="97" spans="1:20" x14ac:dyDescent="0.25">
      <c r="A97" s="14">
        <v>93</v>
      </c>
      <c r="B97" s="14">
        <v>3508405</v>
      </c>
      <c r="C97" s="14" t="str">
        <f>IF(ISERR(FIND("-",tab_Geral[[#This Row],[Municípios]],1)),"","Têm Hifen")</f>
        <v/>
      </c>
      <c r="D97" s="14" t="str">
        <f>IF(tab_Geral[[#This Row],[Informação 3]]&lt;&gt;"","","Não Registrado")</f>
        <v/>
      </c>
      <c r="E97" s="14" t="str">
        <f>IF(tab_Geral[[#This Row],[Municípios]]=tab_Geral[[#This Row],[Informação 1]],"","Não!, Erro!")</f>
        <v/>
      </c>
      <c r="F97" s="14" t="str">
        <f>IF(tab_Geral[[#This Row],[Municípios]]=tab_Geral[[#This Row],[Município]],"","Não!, Erro!")</f>
        <v/>
      </c>
      <c r="G97" s="14" t="str">
        <f>VLOOKUP(tab_Geral[[#This Row],[GeoCodigo]],tab_CETESB[],2,FALSE)</f>
        <v>Cabreúva</v>
      </c>
      <c r="H97" s="14" t="str">
        <f>VLOOKUP(tab_Geral[[#This Row],[Informação 3]],tab_AgênciaAmbiental,10,FALSE)</f>
        <v>21</v>
      </c>
      <c r="I97" s="14" t="s">
        <v>95</v>
      </c>
      <c r="J97" s="18" t="s">
        <v>95</v>
      </c>
      <c r="K97" s="17"/>
      <c r="L97" s="17" t="s">
        <v>1902</v>
      </c>
      <c r="M97" s="17" t="s">
        <v>884</v>
      </c>
      <c r="N97" s="17" t="s">
        <v>885</v>
      </c>
      <c r="O97" s="17" t="s">
        <v>886</v>
      </c>
      <c r="P97" s="17" t="s">
        <v>887</v>
      </c>
      <c r="Q97" s="17" t="s">
        <v>888</v>
      </c>
      <c r="R97" s="17" t="s">
        <v>889</v>
      </c>
      <c r="S97" s="17" t="s">
        <v>890</v>
      </c>
      <c r="T97" s="15"/>
    </row>
    <row r="98" spans="1:20" x14ac:dyDescent="0.25">
      <c r="A98" s="14">
        <v>94</v>
      </c>
      <c r="B98" s="14">
        <v>3508504</v>
      </c>
      <c r="C98" s="14" t="str">
        <f>IF(ISERR(FIND("-",tab_Geral[[#This Row],[Municípios]],1)),"","Têm Hifen")</f>
        <v/>
      </c>
      <c r="D98" s="14" t="str">
        <f>IF(tab_Geral[[#This Row],[Informação 3]]&lt;&gt;"","","Não Registrado")</f>
        <v/>
      </c>
      <c r="E98" s="14" t="str">
        <f>IF(tab_Geral[[#This Row],[Municípios]]=tab_Geral[[#This Row],[Informação 1]],"","Não!, Erro!")</f>
        <v/>
      </c>
      <c r="F98" s="14" t="str">
        <f>IF(tab_Geral[[#This Row],[Municípios]]=tab_Geral[[#This Row],[Município]],"","Não!, Erro!")</f>
        <v/>
      </c>
      <c r="G98" s="14" t="str">
        <f>VLOOKUP(tab_Geral[[#This Row],[GeoCodigo]],tab_CETESB[],2,FALSE)</f>
        <v>Caçapava</v>
      </c>
      <c r="H98" s="14" t="str">
        <f>VLOOKUP(tab_Geral[[#This Row],[Informação 3]],tab_AgênciaAmbiental,10,FALSE)</f>
        <v>37</v>
      </c>
      <c r="I98" s="14" t="s">
        <v>96</v>
      </c>
      <c r="J98" s="18" t="s">
        <v>96</v>
      </c>
      <c r="K98" s="17"/>
      <c r="L98" s="17" t="s">
        <v>1918</v>
      </c>
      <c r="M98" s="17" t="s">
        <v>891</v>
      </c>
      <c r="N98" s="17" t="s">
        <v>892</v>
      </c>
      <c r="O98" s="17" t="s">
        <v>893</v>
      </c>
      <c r="P98" s="17" t="s">
        <v>894</v>
      </c>
      <c r="Q98" s="17" t="s">
        <v>895</v>
      </c>
      <c r="R98" s="17" t="s">
        <v>896</v>
      </c>
      <c r="S98" s="17" t="s">
        <v>897</v>
      </c>
      <c r="T98" s="15"/>
    </row>
    <row r="99" spans="1:20" x14ac:dyDescent="0.25">
      <c r="A99" s="14">
        <v>95</v>
      </c>
      <c r="B99" s="14">
        <v>3508603</v>
      </c>
      <c r="C99" s="14" t="str">
        <f>IF(ISERR(FIND("-",tab_Geral[[#This Row],[Municípios]],1)),"","Têm Hifen")</f>
        <v/>
      </c>
      <c r="D99" s="14" t="str">
        <f>IF(tab_Geral[[#This Row],[Informação 3]]&lt;&gt;"","","Não Registrado")</f>
        <v/>
      </c>
      <c r="E99" s="14" t="str">
        <f>IF(tab_Geral[[#This Row],[Municípios]]=tab_Geral[[#This Row],[Informação 1]],"","Não!, Erro!")</f>
        <v/>
      </c>
      <c r="F99" s="14" t="str">
        <f>IF(tab_Geral[[#This Row],[Municípios]]=tab_Geral[[#This Row],[Município]],"","Não!, Erro!")</f>
        <v/>
      </c>
      <c r="G99" s="14" t="str">
        <f>VLOOKUP(tab_Geral[[#This Row],[GeoCodigo]],tab_CETESB[],2,FALSE)</f>
        <v>Cachoeira Paulista</v>
      </c>
      <c r="H99" s="14" t="str">
        <f>VLOOKUP(tab_Geral[[#This Row],[Informação 3]],tab_AgênciaAmbiental,10,FALSE)</f>
        <v>40</v>
      </c>
      <c r="I99" s="14" t="s">
        <v>97</v>
      </c>
      <c r="J99" s="18" t="s">
        <v>97</v>
      </c>
      <c r="K99" s="17"/>
      <c r="L99" s="17" t="s">
        <v>1921</v>
      </c>
      <c r="M99" s="17" t="s">
        <v>781</v>
      </c>
      <c r="N99" s="17" t="s">
        <v>782</v>
      </c>
      <c r="O99" s="17" t="s">
        <v>783</v>
      </c>
      <c r="P99" s="17" t="s">
        <v>784</v>
      </c>
      <c r="Q99" s="17" t="s">
        <v>785</v>
      </c>
      <c r="R99" s="17" t="s">
        <v>786</v>
      </c>
      <c r="S99" s="17" t="s">
        <v>787</v>
      </c>
      <c r="T99" s="15"/>
    </row>
    <row r="100" spans="1:20" x14ac:dyDescent="0.25">
      <c r="A100" s="14">
        <v>96</v>
      </c>
      <c r="B100" s="14">
        <v>3508702</v>
      </c>
      <c r="C100" s="14" t="str">
        <f>IF(ISERR(FIND("-",tab_Geral[[#This Row],[Municípios]],1)),"","Têm Hifen")</f>
        <v/>
      </c>
      <c r="D100" s="14" t="str">
        <f>IF(tab_Geral[[#This Row],[Informação 3]]&lt;&gt;"","","Não Registrado")</f>
        <v/>
      </c>
      <c r="E100" s="14" t="str">
        <f>IF(tab_Geral[[#This Row],[Municípios]]=tab_Geral[[#This Row],[Informação 1]],"","Não!, Erro!")</f>
        <v/>
      </c>
      <c r="F100" s="14" t="str">
        <f>IF(tab_Geral[[#This Row],[Municípios]]=tab_Geral[[#This Row],[Município]],"","Não!, Erro!")</f>
        <v/>
      </c>
      <c r="G100" s="14" t="str">
        <f>VLOOKUP(tab_Geral[[#This Row],[GeoCodigo]],tab_CETESB[],2,FALSE)</f>
        <v>Caconde</v>
      </c>
      <c r="H100" s="14" t="str">
        <f>VLOOKUP(tab_Geral[[#This Row],[Informação 3]],tab_AgênciaAmbiental,10,FALSE)</f>
        <v>35</v>
      </c>
      <c r="I100" s="14" t="s">
        <v>98</v>
      </c>
      <c r="J100" s="18" t="s">
        <v>98</v>
      </c>
      <c r="K100" s="17"/>
      <c r="L100" s="17" t="s">
        <v>1916</v>
      </c>
      <c r="M100" s="17" t="s">
        <v>676</v>
      </c>
      <c r="N100" s="17" t="s">
        <v>657</v>
      </c>
      <c r="O100" s="17" t="s">
        <v>677</v>
      </c>
      <c r="P100" s="17" t="s">
        <v>678</v>
      </c>
      <c r="Q100" s="17" t="s">
        <v>679</v>
      </c>
      <c r="R100" s="17" t="s">
        <v>680</v>
      </c>
      <c r="S100" s="17" t="s">
        <v>937</v>
      </c>
    </row>
    <row r="101" spans="1:20" x14ac:dyDescent="0.25">
      <c r="A101" s="14">
        <v>97</v>
      </c>
      <c r="B101" s="14">
        <v>3508801</v>
      </c>
      <c r="C101" s="14" t="str">
        <f>IF(ISERR(FIND("-",tab_Geral[[#This Row],[Municípios]],1)),"","Têm Hifen")</f>
        <v/>
      </c>
      <c r="D101" s="14" t="str">
        <f>IF(tab_Geral[[#This Row],[Informação 3]]&lt;&gt;"","","Não Registrado")</f>
        <v/>
      </c>
      <c r="E101" s="14" t="str">
        <f>IF(tab_Geral[[#This Row],[Municípios]]=tab_Geral[[#This Row],[Informação 1]],"","Não!, Erro!")</f>
        <v/>
      </c>
      <c r="F101" s="14" t="str">
        <f>IF(tab_Geral[[#This Row],[Municípios]]=tab_Geral[[#This Row],[Município]],"","Não!, Erro!")</f>
        <v/>
      </c>
      <c r="G101" s="14" t="str">
        <f>VLOOKUP(tab_Geral[[#This Row],[GeoCodigo]],tab_CETESB[],2,FALSE)</f>
        <v>Cafelândia</v>
      </c>
      <c r="H101" s="14" t="str">
        <f>VLOOKUP(tab_Geral[[#This Row],[Informação 3]],tab_AgênciaAmbiental,10,FALSE)</f>
        <v>23</v>
      </c>
      <c r="I101" s="14" t="s">
        <v>99</v>
      </c>
      <c r="J101" s="18" t="s">
        <v>99</v>
      </c>
      <c r="K101" s="17"/>
      <c r="L101" s="17" t="s">
        <v>1904</v>
      </c>
      <c r="M101" s="17" t="s">
        <v>746</v>
      </c>
      <c r="N101" s="17" t="s">
        <v>747</v>
      </c>
      <c r="O101" s="17" t="s">
        <v>748</v>
      </c>
      <c r="P101" s="17" t="s">
        <v>749</v>
      </c>
      <c r="Q101" s="17" t="s">
        <v>750</v>
      </c>
      <c r="R101" s="17" t="s">
        <v>751</v>
      </c>
      <c r="S101" s="17" t="s">
        <v>752</v>
      </c>
      <c r="T101" s="15"/>
    </row>
    <row r="102" spans="1:20" x14ac:dyDescent="0.25">
      <c r="A102" s="14">
        <v>98</v>
      </c>
      <c r="B102" s="14">
        <v>3508900</v>
      </c>
      <c r="C102" s="14" t="str">
        <f>IF(ISERR(FIND("-",tab_Geral[[#This Row],[Municípios]],1)),"","Têm Hifen")</f>
        <v/>
      </c>
      <c r="D102" s="14" t="str">
        <f>IF(tab_Geral[[#This Row],[Informação 3]]&lt;&gt;"","","Não Registrado")</f>
        <v/>
      </c>
      <c r="E102" s="14" t="str">
        <f>IF(tab_Geral[[#This Row],[Municípios]]=tab_Geral[[#This Row],[Informação 1]],"","Não!, Erro!")</f>
        <v/>
      </c>
      <c r="F102" s="14" t="str">
        <f>IF(tab_Geral[[#This Row],[Municípios]]=tab_Geral[[#This Row],[Município]],"","Não!, Erro!")</f>
        <v/>
      </c>
      <c r="G102" s="14" t="str">
        <f>VLOOKUP(tab_Geral[[#This Row],[GeoCodigo]],tab_CETESB[],2,FALSE)</f>
        <v>Caiabu</v>
      </c>
      <c r="H102" s="14" t="str">
        <f>VLOOKUP(tab_Geral[[#This Row],[Informação 3]],tab_AgênciaAmbiental,10,FALSE)</f>
        <v>29</v>
      </c>
      <c r="I102" s="14" t="s">
        <v>100</v>
      </c>
      <c r="J102" s="18" t="s">
        <v>100</v>
      </c>
      <c r="K102" s="17"/>
      <c r="L102" s="17" t="s">
        <v>1910</v>
      </c>
      <c r="M102" s="17" t="s">
        <v>707</v>
      </c>
      <c r="N102" s="17" t="s">
        <v>708</v>
      </c>
      <c r="O102" s="17" t="s">
        <v>709</v>
      </c>
      <c r="P102" s="17" t="s">
        <v>710</v>
      </c>
      <c r="Q102" s="17" t="s">
        <v>711</v>
      </c>
      <c r="R102" s="17" t="s">
        <v>686</v>
      </c>
      <c r="S102" s="17" t="s">
        <v>712</v>
      </c>
      <c r="T102" s="15"/>
    </row>
    <row r="103" spans="1:20" x14ac:dyDescent="0.25">
      <c r="A103" s="14">
        <v>99</v>
      </c>
      <c r="B103" s="14">
        <v>3509007</v>
      </c>
      <c r="C103" s="14" t="str">
        <f>IF(ISERR(FIND("-",tab_Geral[[#This Row],[Municípios]],1)),"","Têm Hifen")</f>
        <v/>
      </c>
      <c r="D103" s="14" t="str">
        <f>IF(tab_Geral[[#This Row],[Informação 3]]&lt;&gt;"","","Não Registrado")</f>
        <v/>
      </c>
      <c r="E103" s="14" t="str">
        <f>IF(tab_Geral[[#This Row],[Municípios]]=tab_Geral[[#This Row],[Informação 1]],"","Não!, Erro!")</f>
        <v/>
      </c>
      <c r="F103" s="14" t="str">
        <f>IF(tab_Geral[[#This Row],[Municípios]]=tab_Geral[[#This Row],[Município]],"","Não!, Erro!")</f>
        <v/>
      </c>
      <c r="G103" s="14" t="str">
        <f>VLOOKUP(tab_Geral[[#This Row],[GeoCodigo]],tab_CETESB[],2,FALSE)</f>
        <v>Caieiras</v>
      </c>
      <c r="H103" s="14" t="str">
        <f>VLOOKUP(tab_Geral[[#This Row],[Informação 3]],tab_AgênciaAmbiental,10,FALSE)</f>
        <v>32</v>
      </c>
      <c r="I103" s="14" t="s">
        <v>101</v>
      </c>
      <c r="J103" s="18" t="s">
        <v>101</v>
      </c>
      <c r="K103" s="17"/>
      <c r="L103" s="17" t="s">
        <v>1913</v>
      </c>
      <c r="M103" s="17" t="s">
        <v>1861</v>
      </c>
      <c r="N103" s="17" t="s">
        <v>1862</v>
      </c>
      <c r="O103" s="17" t="s">
        <v>859</v>
      </c>
      <c r="P103" s="17" t="s">
        <v>1863</v>
      </c>
      <c r="Q103" s="17" t="s">
        <v>1864</v>
      </c>
      <c r="R103" s="17" t="s">
        <v>686</v>
      </c>
      <c r="S103" s="17" t="s">
        <v>1865</v>
      </c>
      <c r="T103" s="15"/>
    </row>
    <row r="104" spans="1:20" x14ac:dyDescent="0.25">
      <c r="A104" s="14">
        <v>100</v>
      </c>
      <c r="B104" s="14">
        <v>3509106</v>
      </c>
      <c r="C104" s="14" t="str">
        <f>IF(ISERR(FIND("-",tab_Geral[[#This Row],[Municípios]],1)),"","Têm Hifen")</f>
        <v/>
      </c>
      <c r="D104" s="14" t="str">
        <f>IF(tab_Geral[[#This Row],[Informação 3]]&lt;&gt;"","","Não Registrado")</f>
        <v/>
      </c>
      <c r="E104" s="14" t="str">
        <f>IF(tab_Geral[[#This Row],[Municípios]]=tab_Geral[[#This Row],[Informação 1]],"","Não!, Erro!")</f>
        <v/>
      </c>
      <c r="F104" s="14" t="str">
        <f>IF(tab_Geral[[#This Row],[Municípios]]=tab_Geral[[#This Row],[Município]],"","Não!, Erro!")</f>
        <v/>
      </c>
      <c r="G104" s="14" t="str">
        <f>VLOOKUP(tab_Geral[[#This Row],[GeoCodigo]],tab_CETESB[],2,FALSE)</f>
        <v>Caiuá</v>
      </c>
      <c r="H104" s="14" t="str">
        <f>VLOOKUP(tab_Geral[[#This Row],[Informação 3]],tab_AgênciaAmbiental,10,FALSE)</f>
        <v>29</v>
      </c>
      <c r="I104" s="14" t="s">
        <v>102</v>
      </c>
      <c r="J104" s="18" t="s">
        <v>102</v>
      </c>
      <c r="K104" s="17"/>
      <c r="L104" s="17" t="s">
        <v>1910</v>
      </c>
      <c r="M104" s="17" t="s">
        <v>707</v>
      </c>
      <c r="N104" s="17" t="s">
        <v>708</v>
      </c>
      <c r="O104" s="17" t="s">
        <v>709</v>
      </c>
      <c r="P104" s="17" t="s">
        <v>710</v>
      </c>
      <c r="Q104" s="17" t="s">
        <v>711</v>
      </c>
      <c r="R104" s="17" t="s">
        <v>686</v>
      </c>
      <c r="S104" s="17" t="s">
        <v>712</v>
      </c>
      <c r="T104" s="15"/>
    </row>
    <row r="105" spans="1:20" x14ac:dyDescent="0.25">
      <c r="A105" s="14">
        <v>101</v>
      </c>
      <c r="B105" s="14">
        <v>3509205</v>
      </c>
      <c r="C105" s="14" t="str">
        <f>IF(ISERR(FIND("-",tab_Geral[[#This Row],[Municípios]],1)),"","Têm Hifen")</f>
        <v/>
      </c>
      <c r="D105" s="14" t="str">
        <f>IF(tab_Geral[[#This Row],[Informação 3]]&lt;&gt;"","","Não Registrado")</f>
        <v/>
      </c>
      <c r="E105" s="14" t="str">
        <f>IF(tab_Geral[[#This Row],[Municípios]]=tab_Geral[[#This Row],[Informação 1]],"","Não!, Erro!")</f>
        <v/>
      </c>
      <c r="F105" s="14" t="str">
        <f>IF(tab_Geral[[#This Row],[Municípios]]=tab_Geral[[#This Row],[Município]],"","Não!, Erro!")</f>
        <v/>
      </c>
      <c r="G105" s="14" t="str">
        <f>VLOOKUP(tab_Geral[[#This Row],[GeoCodigo]],tab_CETESB[],2,FALSE)</f>
        <v>Cajamar</v>
      </c>
      <c r="H105" s="14" t="str">
        <f>VLOOKUP(tab_Geral[[#This Row],[Informação 3]],tab_AgênciaAmbiental,10,FALSE)</f>
        <v>26</v>
      </c>
      <c r="I105" s="14" t="s">
        <v>103</v>
      </c>
      <c r="J105" s="18" t="s">
        <v>103</v>
      </c>
      <c r="K105" s="17"/>
      <c r="L105" s="17" t="s">
        <v>1907</v>
      </c>
      <c r="M105" s="17" t="s">
        <v>857</v>
      </c>
      <c r="N105" s="17" t="s">
        <v>858</v>
      </c>
      <c r="O105" s="17" t="s">
        <v>859</v>
      </c>
      <c r="P105" s="17" t="s">
        <v>860</v>
      </c>
      <c r="Q105" s="17" t="s">
        <v>861</v>
      </c>
      <c r="R105" s="17" t="s">
        <v>862</v>
      </c>
      <c r="S105" s="17" t="s">
        <v>863</v>
      </c>
      <c r="T105" s="15"/>
    </row>
    <row r="106" spans="1:20" x14ac:dyDescent="0.25">
      <c r="A106" s="14">
        <v>102</v>
      </c>
      <c r="B106" s="14">
        <v>3509254</v>
      </c>
      <c r="C106" s="14" t="str">
        <f>IF(ISERR(FIND("-",tab_Geral[[#This Row],[Municípios]],1)),"","Têm Hifen")</f>
        <v/>
      </c>
      <c r="D106" s="14" t="str">
        <f>IF(tab_Geral[[#This Row],[Informação 3]]&lt;&gt;"","","Não Registrado")</f>
        <v/>
      </c>
      <c r="E106" s="14" t="str">
        <f>IF(tab_Geral[[#This Row],[Municípios]]=tab_Geral[[#This Row],[Informação 1]],"","Não!, Erro!")</f>
        <v/>
      </c>
      <c r="F106" s="14" t="str">
        <f>IF(tab_Geral[[#This Row],[Municípios]]=tab_Geral[[#This Row],[Município]],"","Não!, Erro!")</f>
        <v/>
      </c>
      <c r="G106" s="14" t="str">
        <f>VLOOKUP(tab_Geral[[#This Row],[GeoCodigo]],tab_CETESB[],2,FALSE)</f>
        <v>Cajati</v>
      </c>
      <c r="H106" s="14" t="str">
        <f>VLOOKUP(tab_Geral[[#This Row],[Informação 3]],tab_AgênciaAmbiental,10,FALSE)</f>
        <v>30</v>
      </c>
      <c r="I106" s="14" t="s">
        <v>104</v>
      </c>
      <c r="J106" s="18" t="s">
        <v>104</v>
      </c>
      <c r="K106" s="17"/>
      <c r="L106" s="17" t="s">
        <v>1911</v>
      </c>
      <c r="M106" s="17" t="s">
        <v>843</v>
      </c>
      <c r="N106" s="17" t="s">
        <v>844</v>
      </c>
      <c r="O106" s="17" t="s">
        <v>845</v>
      </c>
      <c r="P106" s="17" t="s">
        <v>846</v>
      </c>
      <c r="Q106" s="17" t="s">
        <v>847</v>
      </c>
      <c r="R106" s="17" t="s">
        <v>848</v>
      </c>
      <c r="S106" s="17" t="s">
        <v>849</v>
      </c>
      <c r="T106" s="15"/>
    </row>
    <row r="107" spans="1:20" x14ac:dyDescent="0.25">
      <c r="A107" s="14">
        <v>103</v>
      </c>
      <c r="B107" s="14">
        <v>3509304</v>
      </c>
      <c r="C107" s="14" t="str">
        <f>IF(ISERR(FIND("-",tab_Geral[[#This Row],[Municípios]],1)),"","Têm Hifen")</f>
        <v/>
      </c>
      <c r="D107" s="14" t="str">
        <f>IF(tab_Geral[[#This Row],[Informação 3]]&lt;&gt;"","","Não Registrado")</f>
        <v/>
      </c>
      <c r="E107" s="14" t="str">
        <f>IF(tab_Geral[[#This Row],[Municípios]]=tab_Geral[[#This Row],[Informação 1]],"","Não!, Erro!")</f>
        <v/>
      </c>
      <c r="F107" s="14" t="str">
        <f>IF(tab_Geral[[#This Row],[Municípios]]=tab_Geral[[#This Row],[Município]],"","Não!, Erro!")</f>
        <v/>
      </c>
      <c r="G107" s="14" t="str">
        <f>VLOOKUP(tab_Geral[[#This Row],[GeoCodigo]],tab_CETESB[],2,FALSE)</f>
        <v>Cajobi</v>
      </c>
      <c r="H107" s="14" t="str">
        <f>VLOOKUP(tab_Geral[[#This Row],[Informação 3]],tab_AgênciaAmbiental,10,FALSE)</f>
        <v>7</v>
      </c>
      <c r="I107" s="14" t="s">
        <v>105</v>
      </c>
      <c r="J107" s="18" t="s">
        <v>105</v>
      </c>
      <c r="K107" s="17"/>
      <c r="L107" s="17" t="s">
        <v>1888</v>
      </c>
      <c r="M107" s="17" t="s">
        <v>713</v>
      </c>
      <c r="N107" s="17" t="s">
        <v>714</v>
      </c>
      <c r="O107" s="17" t="s">
        <v>715</v>
      </c>
      <c r="P107" s="17" t="s">
        <v>716</v>
      </c>
      <c r="Q107" s="17" t="s">
        <v>717</v>
      </c>
      <c r="R107" s="17" t="s">
        <v>718</v>
      </c>
      <c r="S107" s="17" t="s">
        <v>719</v>
      </c>
      <c r="T107" s="15"/>
    </row>
    <row r="108" spans="1:20" x14ac:dyDescent="0.25">
      <c r="A108" s="14">
        <v>104</v>
      </c>
      <c r="B108" s="14">
        <v>3509403</v>
      </c>
      <c r="C108" s="14" t="str">
        <f>IF(ISERR(FIND("-",tab_Geral[[#This Row],[Municípios]],1)),"","Têm Hifen")</f>
        <v/>
      </c>
      <c r="D108" s="14" t="str">
        <f>IF(tab_Geral[[#This Row],[Informação 3]]&lt;&gt;"","","Não Registrado")</f>
        <v/>
      </c>
      <c r="E108" s="14" t="str">
        <f>IF(tab_Geral[[#This Row],[Municípios]]=tab_Geral[[#This Row],[Informação 1]],"","Não!, Erro!")</f>
        <v/>
      </c>
      <c r="F108" s="14" t="str">
        <f>IF(tab_Geral[[#This Row],[Municípios]]=tab_Geral[[#This Row],[Município]],"","Não!, Erro!")</f>
        <v/>
      </c>
      <c r="G108" s="14" t="str">
        <f>VLOOKUP(tab_Geral[[#This Row],[GeoCodigo]],tab_CETESB[],2,FALSE)</f>
        <v>Cajuru</v>
      </c>
      <c r="H108" s="14" t="str">
        <f>VLOOKUP(tab_Geral[[#This Row],[Informação 3]],tab_AgênciaAmbiental,10,FALSE)</f>
        <v>31</v>
      </c>
      <c r="I108" s="14" t="s">
        <v>106</v>
      </c>
      <c r="J108" s="18" t="s">
        <v>106</v>
      </c>
      <c r="K108" s="17"/>
      <c r="L108" s="17" t="s">
        <v>1912</v>
      </c>
      <c r="M108" s="17" t="s">
        <v>720</v>
      </c>
      <c r="N108" s="17" t="s">
        <v>721</v>
      </c>
      <c r="O108" s="17" t="s">
        <v>722</v>
      </c>
      <c r="P108" s="17" t="s">
        <v>723</v>
      </c>
      <c r="Q108" s="17" t="s">
        <v>724</v>
      </c>
      <c r="R108" s="17" t="s">
        <v>725</v>
      </c>
      <c r="S108" s="17" t="s">
        <v>726</v>
      </c>
      <c r="T108" s="15"/>
    </row>
    <row r="109" spans="1:20" x14ac:dyDescent="0.25">
      <c r="A109" s="14">
        <v>105</v>
      </c>
      <c r="B109" s="14">
        <v>3509452</v>
      </c>
      <c r="C109" s="14" t="str">
        <f>IF(ISERR(FIND("-",tab_Geral[[#This Row],[Municípios]],1)),"","Têm Hifen")</f>
        <v/>
      </c>
      <c r="D109" s="14" t="str">
        <f>IF(tab_Geral[[#This Row],[Informação 3]]&lt;&gt;"","","Não Registrado")</f>
        <v/>
      </c>
      <c r="E109" s="14" t="str">
        <f>IF(tab_Geral[[#This Row],[Municípios]]=tab_Geral[[#This Row],[Informação 1]],"","Não!, Erro!")</f>
        <v/>
      </c>
      <c r="F109" s="14" t="str">
        <f>IF(tab_Geral[[#This Row],[Municípios]]=tab_Geral[[#This Row],[Município]],"","Não!, Erro!")</f>
        <v/>
      </c>
      <c r="G109" s="14" t="str">
        <f>VLOOKUP(tab_Geral[[#This Row],[GeoCodigo]],tab_CETESB[],2,FALSE)</f>
        <v>Campina do Monte Alegre</v>
      </c>
      <c r="H109" s="14" t="str">
        <f>VLOOKUP(tab_Geral[[#This Row],[Informação 3]],tab_AgênciaAmbiental,10,FALSE)</f>
        <v>17</v>
      </c>
      <c r="I109" s="14" t="s">
        <v>107</v>
      </c>
      <c r="J109" s="18" t="s">
        <v>107</v>
      </c>
      <c r="K109" s="17"/>
      <c r="L109" s="17" t="s">
        <v>1898</v>
      </c>
      <c r="M109" s="17" t="s">
        <v>701</v>
      </c>
      <c r="N109" s="17" t="s">
        <v>657</v>
      </c>
      <c r="O109" s="17" t="s">
        <v>702</v>
      </c>
      <c r="P109" s="17" t="s">
        <v>703</v>
      </c>
      <c r="Q109" s="17" t="s">
        <v>704</v>
      </c>
      <c r="R109" s="17" t="s">
        <v>705</v>
      </c>
      <c r="S109" s="17" t="s">
        <v>706</v>
      </c>
      <c r="T109" s="15"/>
    </row>
    <row r="110" spans="1:20" x14ac:dyDescent="0.25">
      <c r="A110" s="14">
        <v>106</v>
      </c>
      <c r="B110" s="14">
        <v>3509502</v>
      </c>
      <c r="C110" s="14" t="str">
        <f>IF(ISERR(FIND("-",tab_Geral[[#This Row],[Municípios]],1)),"","Têm Hifen")</f>
        <v/>
      </c>
      <c r="D110" s="14" t="str">
        <f>IF(tab_Geral[[#This Row],[Informação 3]]&lt;&gt;"","","Não Registrado")</f>
        <v/>
      </c>
      <c r="E110" s="14" t="str">
        <f>IF(tab_Geral[[#This Row],[Municípios]]=tab_Geral[[#This Row],[Informação 1]],"","Não!, Erro!")</f>
        <v/>
      </c>
      <c r="F110" s="14" t="str">
        <f>IF(tab_Geral[[#This Row],[Municípios]]=tab_Geral[[#This Row],[Município]],"","Não!, Erro!")</f>
        <v/>
      </c>
      <c r="G110" s="14" t="str">
        <f>VLOOKUP(tab_Geral[[#This Row],[GeoCodigo]],tab_CETESB[],2,FALSE)</f>
        <v>Campinas</v>
      </c>
      <c r="H110" s="14" t="str">
        <f>VLOOKUP(tab_Geral[[#This Row],[Informação 3]],tab_AgênciaAmbiental,10,FALSE)</f>
        <v>10</v>
      </c>
      <c r="I110" s="14" t="s">
        <v>108</v>
      </c>
      <c r="J110" s="18" t="s">
        <v>108</v>
      </c>
      <c r="K110" s="17"/>
      <c r="L110" s="17" t="s">
        <v>1891</v>
      </c>
      <c r="M110" s="17" t="s">
        <v>898</v>
      </c>
      <c r="N110" s="17" t="s">
        <v>899</v>
      </c>
      <c r="O110" s="17" t="s">
        <v>900</v>
      </c>
      <c r="P110" s="17" t="s">
        <v>901</v>
      </c>
      <c r="Q110" s="17" t="s">
        <v>902</v>
      </c>
      <c r="R110" s="17" t="s">
        <v>903</v>
      </c>
      <c r="S110" s="17" t="s">
        <v>904</v>
      </c>
      <c r="T110" s="15"/>
    </row>
    <row r="111" spans="1:20" x14ac:dyDescent="0.25">
      <c r="A111" s="14">
        <v>107</v>
      </c>
      <c r="B111" s="14">
        <v>3509601</v>
      </c>
      <c r="C111" s="14" t="str">
        <f>IF(ISERR(FIND("-",tab_Geral[[#This Row],[Municípios]],1)),"","Têm Hifen")</f>
        <v/>
      </c>
      <c r="D111" s="14" t="str">
        <f>IF(tab_Geral[[#This Row],[Informação 3]]&lt;&gt;"","","Não Registrado")</f>
        <v/>
      </c>
      <c r="E111" s="14" t="str">
        <f>IF(tab_Geral[[#This Row],[Municípios]]=tab_Geral[[#This Row],[Informação 1]],"","Não!, Erro!")</f>
        <v/>
      </c>
      <c r="F111" s="14" t="str">
        <f>IF(tab_Geral[[#This Row],[Municípios]]=tab_Geral[[#This Row],[Município]],"","Não!, Erro!")</f>
        <v/>
      </c>
      <c r="G111" s="14" t="str">
        <f>VLOOKUP(tab_Geral[[#This Row],[GeoCodigo]],tab_CETESB[],2,FALSE)</f>
        <v>Campo Limpo Paulista</v>
      </c>
      <c r="H111" s="14" t="str">
        <f>VLOOKUP(tab_Geral[[#This Row],[Informação 3]],tab_AgênciaAmbiental,10,FALSE)</f>
        <v>21</v>
      </c>
      <c r="I111" s="14" t="s">
        <v>109</v>
      </c>
      <c r="J111" s="18" t="s">
        <v>109</v>
      </c>
      <c r="K111" s="17"/>
      <c r="L111" s="17" t="s">
        <v>1902</v>
      </c>
      <c r="M111" s="17" t="s">
        <v>884</v>
      </c>
      <c r="N111" s="17" t="s">
        <v>885</v>
      </c>
      <c r="O111" s="17" t="s">
        <v>886</v>
      </c>
      <c r="P111" s="17" t="s">
        <v>887</v>
      </c>
      <c r="Q111" s="17" t="s">
        <v>888</v>
      </c>
      <c r="R111" s="17" t="s">
        <v>889</v>
      </c>
      <c r="S111" s="17" t="s">
        <v>890</v>
      </c>
      <c r="T111" s="15"/>
    </row>
    <row r="112" spans="1:20" x14ac:dyDescent="0.25">
      <c r="A112" s="14">
        <v>108</v>
      </c>
      <c r="B112" s="14">
        <v>3509700</v>
      </c>
      <c r="C112" s="14" t="str">
        <f>IF(ISERR(FIND("-",tab_Geral[[#This Row],[Municípios]],1)),"","Têm Hifen")</f>
        <v/>
      </c>
      <c r="D112" s="14" t="str">
        <f>IF(tab_Geral[[#This Row],[Informação 3]]&lt;&gt;"","","Não Registrado")</f>
        <v/>
      </c>
      <c r="E112" s="14" t="str">
        <f>IF(tab_Geral[[#This Row],[Municípios]]=tab_Geral[[#This Row],[Informação 1]],"","Não!, Erro!")</f>
        <v/>
      </c>
      <c r="F112" s="14" t="str">
        <f>IF(tab_Geral[[#This Row],[Municípios]]=tab_Geral[[#This Row],[Município]],"","Não!, Erro!")</f>
        <v/>
      </c>
      <c r="G112" s="14" t="str">
        <f>VLOOKUP(tab_Geral[[#This Row],[GeoCodigo]],tab_CETESB[],2,FALSE)</f>
        <v>Campos do Jordão</v>
      </c>
      <c r="H112" s="14" t="str">
        <f>VLOOKUP(tab_Geral[[#This Row],[Informação 3]],tab_AgênciaAmbiental,10,FALSE)</f>
        <v>40</v>
      </c>
      <c r="I112" s="14" t="s">
        <v>110</v>
      </c>
      <c r="J112" s="18" t="s">
        <v>110</v>
      </c>
      <c r="K112" s="17"/>
      <c r="L112" s="17" t="s">
        <v>1921</v>
      </c>
      <c r="M112" s="17" t="s">
        <v>781</v>
      </c>
      <c r="N112" s="17" t="s">
        <v>782</v>
      </c>
      <c r="O112" s="17" t="s">
        <v>783</v>
      </c>
      <c r="P112" s="17" t="s">
        <v>784</v>
      </c>
      <c r="Q112" s="17" t="s">
        <v>785</v>
      </c>
      <c r="R112" s="17" t="s">
        <v>786</v>
      </c>
      <c r="S112" s="17" t="s">
        <v>787</v>
      </c>
      <c r="T112" s="15"/>
    </row>
    <row r="113" spans="1:20" x14ac:dyDescent="0.25">
      <c r="A113" s="14">
        <v>109</v>
      </c>
      <c r="B113" s="14">
        <v>3509809</v>
      </c>
      <c r="C113" s="14" t="str">
        <f>IF(ISERR(FIND("-",tab_Geral[[#This Row],[Municípios]],1)),"","Têm Hifen")</f>
        <v/>
      </c>
      <c r="D113" s="14" t="str">
        <f>IF(tab_Geral[[#This Row],[Informação 3]]&lt;&gt;"","","Não Registrado")</f>
        <v/>
      </c>
      <c r="E113" s="14" t="str">
        <f>IF(tab_Geral[[#This Row],[Municípios]]=tab_Geral[[#This Row],[Informação 1]],"","Não!, Erro!")</f>
        <v/>
      </c>
      <c r="F113" s="14" t="str">
        <f>IF(tab_Geral[[#This Row],[Municípios]]=tab_Geral[[#This Row],[Município]],"","Não!, Erro!")</f>
        <v/>
      </c>
      <c r="G113" s="14" t="str">
        <f>VLOOKUP(tab_Geral[[#This Row],[GeoCodigo]],tab_CETESB[],2,FALSE)</f>
        <v>Campos Novos Paulista</v>
      </c>
      <c r="H113" s="14" t="str">
        <f>VLOOKUP(tab_Geral[[#This Row],[Informação 3]],tab_AgênciaAmbiental,10,FALSE)</f>
        <v>4</v>
      </c>
      <c r="I113" s="14" t="s">
        <v>111</v>
      </c>
      <c r="J113" s="18" t="s">
        <v>111</v>
      </c>
      <c r="K113" s="17"/>
      <c r="L113" s="17" t="s">
        <v>1885</v>
      </c>
      <c r="M113" s="17" t="s">
        <v>830</v>
      </c>
      <c r="N113" s="17" t="s">
        <v>831</v>
      </c>
      <c r="O113" s="17" t="s">
        <v>832</v>
      </c>
      <c r="P113" s="17" t="s">
        <v>833</v>
      </c>
      <c r="Q113" s="17" t="s">
        <v>834</v>
      </c>
      <c r="R113" s="17" t="s">
        <v>835</v>
      </c>
      <c r="S113" s="17" t="s">
        <v>836</v>
      </c>
      <c r="T113" s="15"/>
    </row>
    <row r="114" spans="1:20" x14ac:dyDescent="0.25">
      <c r="A114" s="14">
        <v>110</v>
      </c>
      <c r="B114" s="14">
        <v>3509908</v>
      </c>
      <c r="C114" s="14" t="str">
        <f>IF(ISERR(FIND("-",tab_Geral[[#This Row],[Municípios]],1)),"","Têm Hifen")</f>
        <v/>
      </c>
      <c r="D114" s="14" t="str">
        <f>IF(tab_Geral[[#This Row],[Informação 3]]&lt;&gt;"","","Não Registrado")</f>
        <v/>
      </c>
      <c r="E114" s="14" t="str">
        <f>IF(tab_Geral[[#This Row],[Municípios]]=tab_Geral[[#This Row],[Informação 1]],"","Não!, Erro!")</f>
        <v/>
      </c>
      <c r="F114" s="14" t="str">
        <f>IF(tab_Geral[[#This Row],[Municípios]]=tab_Geral[[#This Row],[Município]],"","Não!, Erro!")</f>
        <v/>
      </c>
      <c r="G114" s="14" t="str">
        <f>VLOOKUP(tab_Geral[[#This Row],[GeoCodigo]],tab_CETESB[],2,FALSE)</f>
        <v>Cananéia</v>
      </c>
      <c r="H114" s="14" t="str">
        <f>VLOOKUP(tab_Geral[[#This Row],[Informação 3]],tab_AgênciaAmbiental,10,FALSE)</f>
        <v>30</v>
      </c>
      <c r="I114" s="14" t="s">
        <v>112</v>
      </c>
      <c r="J114" s="18" t="s">
        <v>112</v>
      </c>
      <c r="K114" s="17"/>
      <c r="L114" s="17" t="s">
        <v>1911</v>
      </c>
      <c r="M114" s="17" t="s">
        <v>843</v>
      </c>
      <c r="N114" s="17" t="s">
        <v>844</v>
      </c>
      <c r="O114" s="17" t="s">
        <v>845</v>
      </c>
      <c r="P114" s="17" t="s">
        <v>846</v>
      </c>
      <c r="Q114" s="17" t="s">
        <v>847</v>
      </c>
      <c r="R114" s="17" t="s">
        <v>848</v>
      </c>
      <c r="S114" s="17" t="s">
        <v>849</v>
      </c>
      <c r="T114" s="15"/>
    </row>
    <row r="115" spans="1:20" x14ac:dyDescent="0.25">
      <c r="A115" s="14">
        <v>111</v>
      </c>
      <c r="B115" s="14">
        <v>3509957</v>
      </c>
      <c r="C115" s="14" t="str">
        <f>IF(ISERR(FIND("-",tab_Geral[[#This Row],[Municípios]],1)),"","Têm Hifen")</f>
        <v/>
      </c>
      <c r="D115" s="14" t="str">
        <f>IF(tab_Geral[[#This Row],[Informação 3]]&lt;&gt;"","","Não Registrado")</f>
        <v/>
      </c>
      <c r="E115" s="14" t="str">
        <f>IF(tab_Geral[[#This Row],[Municípios]]=tab_Geral[[#This Row],[Informação 1]],"","Não!, Erro!")</f>
        <v/>
      </c>
      <c r="F115" s="14" t="str">
        <f>IF(tab_Geral[[#This Row],[Municípios]]=tab_Geral[[#This Row],[Município]],"","Não!, Erro!")</f>
        <v/>
      </c>
      <c r="G115" s="14" t="str">
        <f>VLOOKUP(tab_Geral[[#This Row],[GeoCodigo]],tab_CETESB[],2,FALSE)</f>
        <v>Canas</v>
      </c>
      <c r="H115" s="14" t="str">
        <f>VLOOKUP(tab_Geral[[#This Row],[Informação 3]],tab_AgênciaAmbiental,10,FALSE)</f>
        <v>40</v>
      </c>
      <c r="I115" s="14" t="s">
        <v>113</v>
      </c>
      <c r="J115" s="18" t="s">
        <v>113</v>
      </c>
      <c r="K115" s="17"/>
      <c r="L115" s="17" t="s">
        <v>1921</v>
      </c>
      <c r="M115" s="17" t="s">
        <v>781</v>
      </c>
      <c r="N115" s="17" t="s">
        <v>782</v>
      </c>
      <c r="O115" s="17" t="s">
        <v>783</v>
      </c>
      <c r="P115" s="17" t="s">
        <v>784</v>
      </c>
      <c r="Q115" s="17" t="s">
        <v>785</v>
      </c>
      <c r="R115" s="17" t="s">
        <v>786</v>
      </c>
      <c r="S115" s="17" t="s">
        <v>787</v>
      </c>
      <c r="T115" s="15"/>
    </row>
    <row r="116" spans="1:20" x14ac:dyDescent="0.25">
      <c r="A116" s="14">
        <v>112</v>
      </c>
      <c r="B116" s="14">
        <v>3510005</v>
      </c>
      <c r="C116" s="14" t="str">
        <f>IF(ISERR(FIND("-",tab_Geral[[#This Row],[Municípios]],1)),"","Têm Hifen")</f>
        <v/>
      </c>
      <c r="D116" s="14" t="str">
        <f>IF(tab_Geral[[#This Row],[Informação 3]]&lt;&gt;"","","Não Registrado")</f>
        <v/>
      </c>
      <c r="E116" s="14" t="str">
        <f>IF(tab_Geral[[#This Row],[Municípios]]=tab_Geral[[#This Row],[Informação 1]],"","Não!, Erro!")</f>
        <v/>
      </c>
      <c r="F116" s="14" t="str">
        <f>IF(tab_Geral[[#This Row],[Municípios]]=tab_Geral[[#This Row],[Município]],"","Não!, Erro!")</f>
        <v/>
      </c>
      <c r="G116" s="14" t="str">
        <f>VLOOKUP(tab_Geral[[#This Row],[GeoCodigo]],tab_CETESB[],2,FALSE)</f>
        <v>Cândido Mota</v>
      </c>
      <c r="H116" s="14" t="str">
        <f>VLOOKUP(tab_Geral[[#This Row],[Informação 3]],tab_AgênciaAmbiental,10,FALSE)</f>
        <v>4</v>
      </c>
      <c r="I116" s="14" t="s">
        <v>114</v>
      </c>
      <c r="J116" s="18" t="s">
        <v>114</v>
      </c>
      <c r="K116" s="17"/>
      <c r="L116" s="17" t="s">
        <v>1885</v>
      </c>
      <c r="M116" s="17" t="s">
        <v>830</v>
      </c>
      <c r="N116" s="17" t="s">
        <v>831</v>
      </c>
      <c r="O116" s="17" t="s">
        <v>832</v>
      </c>
      <c r="P116" s="17" t="s">
        <v>833</v>
      </c>
      <c r="Q116" s="17" t="s">
        <v>834</v>
      </c>
      <c r="R116" s="17" t="s">
        <v>835</v>
      </c>
      <c r="S116" s="17" t="s">
        <v>836</v>
      </c>
      <c r="T116" s="15"/>
    </row>
    <row r="117" spans="1:20" x14ac:dyDescent="0.25">
      <c r="A117" s="14">
        <v>113</v>
      </c>
      <c r="B117" s="14">
        <v>3510104</v>
      </c>
      <c r="C117" s="14" t="str">
        <f>IF(ISERR(FIND("-",tab_Geral[[#This Row],[Municípios]],1)),"","Têm Hifen")</f>
        <v/>
      </c>
      <c r="D117" s="14" t="str">
        <f>IF(tab_Geral[[#This Row],[Informação 3]]&lt;&gt;"","","Não Registrado")</f>
        <v/>
      </c>
      <c r="E117" s="14" t="str">
        <f>IF(tab_Geral[[#This Row],[Municípios]]=tab_Geral[[#This Row],[Informação 1]],"","Não!, Erro!")</f>
        <v/>
      </c>
      <c r="F117" s="14" t="str">
        <f>IF(tab_Geral[[#This Row],[Municípios]]=tab_Geral[[#This Row],[Município]],"","Não!, Erro!")</f>
        <v/>
      </c>
      <c r="G117" s="14" t="str">
        <f>VLOOKUP(tab_Geral[[#This Row],[GeoCodigo]],tab_CETESB[],2,FALSE)</f>
        <v>Cândido Rodrigues</v>
      </c>
      <c r="H117" s="14" t="str">
        <f>VLOOKUP(tab_Geral[[#This Row],[Informação 3]],tab_AgênciaAmbiental,10,FALSE)</f>
        <v>19</v>
      </c>
      <c r="I117" s="14" t="s">
        <v>115</v>
      </c>
      <c r="J117" s="18" t="s">
        <v>115</v>
      </c>
      <c r="K117" s="17"/>
      <c r="L117" s="17" t="s">
        <v>1900</v>
      </c>
      <c r="M117" s="17" t="s">
        <v>850</v>
      </c>
      <c r="N117" s="17" t="s">
        <v>851</v>
      </c>
      <c r="O117" s="17" t="s">
        <v>852</v>
      </c>
      <c r="P117" s="17" t="s">
        <v>853</v>
      </c>
      <c r="Q117" s="17" t="s">
        <v>854</v>
      </c>
      <c r="R117" s="17" t="s">
        <v>855</v>
      </c>
      <c r="S117" s="17" t="s">
        <v>856</v>
      </c>
      <c r="T117" s="15"/>
    </row>
    <row r="118" spans="1:20" x14ac:dyDescent="0.25">
      <c r="A118" s="14">
        <v>114</v>
      </c>
      <c r="B118" s="14">
        <v>3510153</v>
      </c>
      <c r="C118" s="14" t="str">
        <f>IF(ISERR(FIND("-",tab_Geral[[#This Row],[Municípios]],1)),"","Têm Hifen")</f>
        <v/>
      </c>
      <c r="D118" s="14" t="str">
        <f>IF(tab_Geral[[#This Row],[Informação 3]]&lt;&gt;"","","Não Registrado")</f>
        <v/>
      </c>
      <c r="E118" s="14" t="str">
        <f>IF(tab_Geral[[#This Row],[Municípios]]=tab_Geral[[#This Row],[Informação 1]],"","Não!, Erro!")</f>
        <v/>
      </c>
      <c r="F118" s="14" t="str">
        <f>IF(tab_Geral[[#This Row],[Municípios]]=tab_Geral[[#This Row],[Município]],"","Não!, Erro!")</f>
        <v/>
      </c>
      <c r="G118" s="14" t="str">
        <f>VLOOKUP(tab_Geral[[#This Row],[GeoCodigo]],tab_CETESB[],2,FALSE)</f>
        <v>Canitar</v>
      </c>
      <c r="H118" s="14" t="str">
        <f>VLOOKUP(tab_Geral[[#This Row],[Informação 3]],tab_AgênciaAmbiental,10,FALSE)</f>
        <v>4</v>
      </c>
      <c r="I118" s="14" t="s">
        <v>116</v>
      </c>
      <c r="J118" s="18" t="s">
        <v>116</v>
      </c>
      <c r="K118" s="17"/>
      <c r="L118" s="17" t="s">
        <v>1885</v>
      </c>
      <c r="M118" s="17" t="s">
        <v>830</v>
      </c>
      <c r="N118" s="17" t="s">
        <v>831</v>
      </c>
      <c r="O118" s="17" t="s">
        <v>832</v>
      </c>
      <c r="P118" s="17" t="s">
        <v>833</v>
      </c>
      <c r="Q118" s="17" t="s">
        <v>834</v>
      </c>
      <c r="R118" s="17" t="s">
        <v>835</v>
      </c>
      <c r="S118" s="17" t="s">
        <v>836</v>
      </c>
      <c r="T118" s="15"/>
    </row>
    <row r="119" spans="1:20" x14ac:dyDescent="0.25">
      <c r="A119" s="14">
        <v>115</v>
      </c>
      <c r="B119" s="14">
        <v>3510203</v>
      </c>
      <c r="C119" s="14" t="str">
        <f>IF(ISERR(FIND("-",tab_Geral[[#This Row],[Municípios]],1)),"","Têm Hifen")</f>
        <v/>
      </c>
      <c r="D119" s="14" t="str">
        <f>IF(tab_Geral[[#This Row],[Informação 3]]&lt;&gt;"","","Não Registrado")</f>
        <v/>
      </c>
      <c r="E119" s="14" t="str">
        <f>IF(tab_Geral[[#This Row],[Municípios]]=tab_Geral[[#This Row],[Informação 1]],"","Não!, Erro!")</f>
        <v/>
      </c>
      <c r="F119" s="14" t="str">
        <f>IF(tab_Geral[[#This Row],[Municípios]]=tab_Geral[[#This Row],[Município]],"","Não!, Erro!")</f>
        <v/>
      </c>
      <c r="G119" s="14" t="str">
        <f>VLOOKUP(tab_Geral[[#This Row],[GeoCodigo]],tab_CETESB[],2,FALSE)</f>
        <v>Capão Bonito</v>
      </c>
      <c r="H119" s="14" t="str">
        <f>VLOOKUP(tab_Geral[[#This Row],[Informação 3]],tab_AgênciaAmbiental,10,FALSE)</f>
        <v>11</v>
      </c>
      <c r="I119" s="14" t="s">
        <v>117</v>
      </c>
      <c r="J119" s="18" t="s">
        <v>117</v>
      </c>
      <c r="K119" s="17"/>
      <c r="L119" s="17" t="s">
        <v>1892</v>
      </c>
      <c r="M119" s="17" t="s">
        <v>795</v>
      </c>
      <c r="N119" s="17" t="s">
        <v>796</v>
      </c>
      <c r="O119" s="17" t="s">
        <v>797</v>
      </c>
      <c r="P119" s="17" t="s">
        <v>798</v>
      </c>
      <c r="Q119" s="17" t="s">
        <v>799</v>
      </c>
      <c r="R119" s="17" t="s">
        <v>800</v>
      </c>
      <c r="S119" s="17" t="s">
        <v>801</v>
      </c>
      <c r="T119" s="15"/>
    </row>
    <row r="120" spans="1:20" x14ac:dyDescent="0.25">
      <c r="A120" s="14">
        <v>116</v>
      </c>
      <c r="B120" s="14">
        <v>3510302</v>
      </c>
      <c r="C120" s="14" t="str">
        <f>IF(ISERR(FIND("-",tab_Geral[[#This Row],[Municípios]],1)),"","Têm Hifen")</f>
        <v/>
      </c>
      <c r="D120" s="14" t="str">
        <f>IF(tab_Geral[[#This Row],[Informação 3]]&lt;&gt;"","","Não Registrado")</f>
        <v/>
      </c>
      <c r="E120" s="14" t="str">
        <f>IF(tab_Geral[[#This Row],[Municípios]]=tab_Geral[[#This Row],[Informação 1]],"","Não!, Erro!")</f>
        <v/>
      </c>
      <c r="F120" s="14" t="str">
        <f>IF(tab_Geral[[#This Row],[Municípios]]=tab_Geral[[#This Row],[Município]],"","Não!, Erro!")</f>
        <v/>
      </c>
      <c r="G120" s="14" t="str">
        <f>VLOOKUP(tab_Geral[[#This Row],[GeoCodigo]],tab_CETESB[],2,FALSE)</f>
        <v>Capela do Alto</v>
      </c>
      <c r="H120" s="14" t="str">
        <f>VLOOKUP(tab_Geral[[#This Row],[Informação 3]],tab_AgênciaAmbiental,10,FALSE)</f>
        <v>39</v>
      </c>
      <c r="I120" s="14" t="s">
        <v>118</v>
      </c>
      <c r="J120" s="18" t="s">
        <v>118</v>
      </c>
      <c r="K120" s="17"/>
      <c r="L120" s="17" t="s">
        <v>1920</v>
      </c>
      <c r="M120" s="17" t="s">
        <v>802</v>
      </c>
      <c r="N120" s="17" t="s">
        <v>803</v>
      </c>
      <c r="O120" s="17" t="s">
        <v>804</v>
      </c>
      <c r="P120" s="17" t="s">
        <v>805</v>
      </c>
      <c r="Q120" s="17" t="s">
        <v>806</v>
      </c>
      <c r="R120" s="17" t="s">
        <v>807</v>
      </c>
      <c r="S120" s="17" t="s">
        <v>808</v>
      </c>
      <c r="T120" s="15"/>
    </row>
    <row r="121" spans="1:20" x14ac:dyDescent="0.25">
      <c r="A121" s="14">
        <v>117</v>
      </c>
      <c r="B121" s="14">
        <v>3510401</v>
      </c>
      <c r="C121" s="14" t="str">
        <f>IF(ISERR(FIND("-",tab_Geral[[#This Row],[Municípios]],1)),"","Têm Hifen")</f>
        <v/>
      </c>
      <c r="D121" s="14" t="str">
        <f>IF(tab_Geral[[#This Row],[Informação 3]]&lt;&gt;"","","Não Registrado")</f>
        <v/>
      </c>
      <c r="E121" s="14" t="str">
        <f>IF(tab_Geral[[#This Row],[Municípios]]=tab_Geral[[#This Row],[Informação 1]],"","Não!, Erro!")</f>
        <v/>
      </c>
      <c r="F121" s="14" t="str">
        <f>IF(tab_Geral[[#This Row],[Municípios]]=tab_Geral[[#This Row],[Município]],"","Não!, Erro!")</f>
        <v/>
      </c>
      <c r="G121" s="14" t="str">
        <f>VLOOKUP(tab_Geral[[#This Row],[GeoCodigo]],tab_CETESB[],2,FALSE)</f>
        <v>Capivari</v>
      </c>
      <c r="H121" s="14" t="str">
        <f>VLOOKUP(tab_Geral[[#This Row],[Informação 3]],tab_AgênciaAmbiental,10,FALSE)</f>
        <v>10</v>
      </c>
      <c r="I121" s="14" t="s">
        <v>119</v>
      </c>
      <c r="J121" s="18" t="s">
        <v>119</v>
      </c>
      <c r="K121" s="17"/>
      <c r="L121" s="17" t="s">
        <v>1891</v>
      </c>
      <c r="M121" s="17" t="s">
        <v>898</v>
      </c>
      <c r="N121" s="17" t="s">
        <v>899</v>
      </c>
      <c r="O121" s="17" t="s">
        <v>900</v>
      </c>
      <c r="P121" s="17" t="s">
        <v>901</v>
      </c>
      <c r="Q121" s="17" t="s">
        <v>902</v>
      </c>
      <c r="R121" s="17" t="s">
        <v>903</v>
      </c>
      <c r="S121" s="17" t="s">
        <v>904</v>
      </c>
      <c r="T121" s="15"/>
    </row>
    <row r="122" spans="1:20" x14ac:dyDescent="0.25">
      <c r="A122" s="14">
        <v>118</v>
      </c>
      <c r="B122" s="14">
        <v>3510500</v>
      </c>
      <c r="C122" s="14" t="str">
        <f>IF(ISERR(FIND("-",tab_Geral[[#This Row],[Municípios]],1)),"","Têm Hifen")</f>
        <v/>
      </c>
      <c r="D122" s="14" t="str">
        <f>IF(tab_Geral[[#This Row],[Informação 3]]&lt;&gt;"","","Não Registrado")</f>
        <v/>
      </c>
      <c r="E122" s="14" t="str">
        <f>IF(tab_Geral[[#This Row],[Municípios]]=tab_Geral[[#This Row],[Informação 1]],"","Não!, Erro!")</f>
        <v/>
      </c>
      <c r="F122" s="14" t="str">
        <f>IF(tab_Geral[[#This Row],[Municípios]]=tab_Geral[[#This Row],[Município]],"","Não!, Erro!")</f>
        <v/>
      </c>
      <c r="G122" s="14" t="str">
        <f>VLOOKUP(tab_Geral[[#This Row],[GeoCodigo]],tab_CETESB[],2,FALSE)</f>
        <v>Caraguatatuba</v>
      </c>
      <c r="H122" s="14" t="str">
        <f>VLOOKUP(tab_Geral[[#This Row],[Informação 3]],tab_AgênciaAmbiental,10,FALSE)</f>
        <v>38</v>
      </c>
      <c r="I122" s="14" t="s">
        <v>120</v>
      </c>
      <c r="J122" s="18" t="s">
        <v>120</v>
      </c>
      <c r="K122" s="17"/>
      <c r="L122" s="17" t="s">
        <v>1919</v>
      </c>
      <c r="M122" s="17" t="s">
        <v>905</v>
      </c>
      <c r="N122" s="17" t="s">
        <v>906</v>
      </c>
      <c r="O122" s="17" t="s">
        <v>907</v>
      </c>
      <c r="P122" s="17" t="s">
        <v>908</v>
      </c>
      <c r="Q122" s="17" t="s">
        <v>909</v>
      </c>
      <c r="R122" s="17" t="s">
        <v>910</v>
      </c>
      <c r="S122" s="17" t="s">
        <v>911</v>
      </c>
      <c r="T122" s="15"/>
    </row>
    <row r="123" spans="1:20" x14ac:dyDescent="0.25">
      <c r="A123" s="14">
        <v>119</v>
      </c>
      <c r="B123" s="14">
        <v>3510609</v>
      </c>
      <c r="C123" s="14" t="str">
        <f>IF(ISERR(FIND("-",tab_Geral[[#This Row],[Municípios]],1)),"","Têm Hifen")</f>
        <v/>
      </c>
      <c r="D123" s="14" t="str">
        <f>IF(tab_Geral[[#This Row],[Informação 3]]&lt;&gt;"","","Não Registrado")</f>
        <v/>
      </c>
      <c r="E123" s="14" t="str">
        <f>IF(tab_Geral[[#This Row],[Municípios]]=tab_Geral[[#This Row],[Informação 1]],"","Não!, Erro!")</f>
        <v/>
      </c>
      <c r="F123" s="14" t="str">
        <f>IF(tab_Geral[[#This Row],[Municípios]]=tab_Geral[[#This Row],[Município]],"","Não!, Erro!")</f>
        <v/>
      </c>
      <c r="G123" s="14" t="str">
        <f>VLOOKUP(tab_Geral[[#This Row],[GeoCodigo]],tab_CETESB[],2,FALSE)</f>
        <v>Carapicuíba</v>
      </c>
      <c r="H123" s="14" t="str">
        <f>VLOOKUP(tab_Geral[[#This Row],[Informação 3]],tab_AgênciaAmbiental,10,FALSE)</f>
        <v>26</v>
      </c>
      <c r="I123" s="14" t="s">
        <v>121</v>
      </c>
      <c r="J123" s="18" t="s">
        <v>121</v>
      </c>
      <c r="K123" s="17"/>
      <c r="L123" s="17" t="s">
        <v>1907</v>
      </c>
      <c r="M123" s="17" t="s">
        <v>857</v>
      </c>
      <c r="N123" s="17" t="s">
        <v>858</v>
      </c>
      <c r="O123" s="17" t="s">
        <v>859</v>
      </c>
      <c r="P123" s="17" t="s">
        <v>860</v>
      </c>
      <c r="Q123" s="17" t="s">
        <v>861</v>
      </c>
      <c r="R123" s="17" t="s">
        <v>862</v>
      </c>
      <c r="S123" s="17" t="s">
        <v>863</v>
      </c>
      <c r="T123" s="15"/>
    </row>
    <row r="124" spans="1:20" x14ac:dyDescent="0.25">
      <c r="A124" s="14">
        <v>120</v>
      </c>
      <c r="B124" s="14">
        <v>3510708</v>
      </c>
      <c r="C124" s="14" t="str">
        <f>IF(ISERR(FIND("-",tab_Geral[[#This Row],[Municípios]],1)),"","Têm Hifen")</f>
        <v/>
      </c>
      <c r="D124" s="14" t="str">
        <f>IF(tab_Geral[[#This Row],[Informação 3]]&lt;&gt;"","","Não Registrado")</f>
        <v/>
      </c>
      <c r="E124" s="14" t="str">
        <f>IF(tab_Geral[[#This Row],[Municípios]]=tab_Geral[[#This Row],[Informação 1]],"","Não!, Erro!")</f>
        <v/>
      </c>
      <c r="F124" s="14" t="str">
        <f>IF(tab_Geral[[#This Row],[Municípios]]=tab_Geral[[#This Row],[Município]],"","Não!, Erro!")</f>
        <v/>
      </c>
      <c r="G124" s="14" t="str">
        <f>VLOOKUP(tab_Geral[[#This Row],[GeoCodigo]],tab_CETESB[],2,FALSE)</f>
        <v>Cardoso</v>
      </c>
      <c r="H124" s="14" t="str">
        <f>VLOOKUP(tab_Geral[[#This Row],[Informação 3]],tab_AgênciaAmbiental,10,FALSE)</f>
        <v>41</v>
      </c>
      <c r="I124" s="14" t="s">
        <v>122</v>
      </c>
      <c r="J124" s="18" t="s">
        <v>122</v>
      </c>
      <c r="K124" s="17"/>
      <c r="L124" s="17" t="s">
        <v>1922</v>
      </c>
      <c r="M124" s="17" t="s">
        <v>739</v>
      </c>
      <c r="N124" s="17" t="s">
        <v>740</v>
      </c>
      <c r="O124" s="17" t="s">
        <v>741</v>
      </c>
      <c r="P124" s="17" t="s">
        <v>742</v>
      </c>
      <c r="Q124" s="17" t="s">
        <v>743</v>
      </c>
      <c r="R124" s="17" t="s">
        <v>744</v>
      </c>
      <c r="S124" s="17" t="s">
        <v>745</v>
      </c>
      <c r="T124" s="15"/>
    </row>
    <row r="125" spans="1:20" x14ac:dyDescent="0.25">
      <c r="A125" s="14">
        <v>121</v>
      </c>
      <c r="B125" s="14">
        <v>3510807</v>
      </c>
      <c r="C125" s="14" t="str">
        <f>IF(ISERR(FIND("-",tab_Geral[[#This Row],[Municípios]],1)),"","Têm Hifen")</f>
        <v/>
      </c>
      <c r="D125" s="14" t="str">
        <f>IF(tab_Geral[[#This Row],[Informação 3]]&lt;&gt;"","","Não Registrado")</f>
        <v/>
      </c>
      <c r="E125" s="14" t="str">
        <f>IF(tab_Geral[[#This Row],[Municípios]]=tab_Geral[[#This Row],[Informação 1]],"","Não!, Erro!")</f>
        <v/>
      </c>
      <c r="F125" s="14" t="str">
        <f>IF(tab_Geral[[#This Row],[Municípios]]=tab_Geral[[#This Row],[Município]],"","Não!, Erro!")</f>
        <v/>
      </c>
      <c r="G125" s="14" t="str">
        <f>VLOOKUP(tab_Geral[[#This Row],[GeoCodigo]],tab_CETESB[],2,FALSE)</f>
        <v>Casa Branca</v>
      </c>
      <c r="H125" s="14" t="str">
        <f>VLOOKUP(tab_Geral[[#This Row],[Informação 3]],tab_AgênciaAmbiental,10,FALSE)</f>
        <v>35</v>
      </c>
      <c r="I125" s="14" t="s">
        <v>123</v>
      </c>
      <c r="J125" s="18" t="s">
        <v>123</v>
      </c>
      <c r="K125" s="17"/>
      <c r="L125" s="17" t="s">
        <v>1916</v>
      </c>
      <c r="M125" s="17" t="s">
        <v>676</v>
      </c>
      <c r="N125" s="17" t="s">
        <v>657</v>
      </c>
      <c r="O125" s="17" t="s">
        <v>677</v>
      </c>
      <c r="P125" s="17" t="s">
        <v>678</v>
      </c>
      <c r="Q125" s="17" t="s">
        <v>679</v>
      </c>
      <c r="R125" s="17" t="s">
        <v>680</v>
      </c>
      <c r="S125" s="17" t="s">
        <v>937</v>
      </c>
    </row>
    <row r="126" spans="1:20" x14ac:dyDescent="0.25">
      <c r="A126" s="14">
        <v>122</v>
      </c>
      <c r="B126" s="14">
        <v>3510906</v>
      </c>
      <c r="C126" s="14" t="str">
        <f>IF(ISERR(FIND("-",tab_Geral[[#This Row],[Municípios]],1)),"","Têm Hifen")</f>
        <v/>
      </c>
      <c r="D126" s="14" t="str">
        <f>IF(tab_Geral[[#This Row],[Informação 3]]&lt;&gt;"","","Não Registrado")</f>
        <v/>
      </c>
      <c r="E126" s="14" t="str">
        <f>IF(tab_Geral[[#This Row],[Municípios]]=tab_Geral[[#This Row],[Informação 1]],"","Não!, Erro!")</f>
        <v/>
      </c>
      <c r="F126" s="14" t="str">
        <f>IF(tab_Geral[[#This Row],[Municípios]]=tab_Geral[[#This Row],[Município]],"","Não!, Erro!")</f>
        <v/>
      </c>
      <c r="G126" s="14" t="str">
        <f>VLOOKUP(tab_Geral[[#This Row],[GeoCodigo]],tab_CETESB[],2,FALSE)</f>
        <v>Cássia dos Coqueiros</v>
      </c>
      <c r="H126" s="14" t="str">
        <f>VLOOKUP(tab_Geral[[#This Row],[Informação 3]],tab_AgênciaAmbiental,10,FALSE)</f>
        <v>31</v>
      </c>
      <c r="I126" s="14" t="s">
        <v>124</v>
      </c>
      <c r="J126" s="18" t="s">
        <v>124</v>
      </c>
      <c r="K126" s="17"/>
      <c r="L126" s="17" t="s">
        <v>1912</v>
      </c>
      <c r="M126" s="17" t="s">
        <v>720</v>
      </c>
      <c r="N126" s="17" t="s">
        <v>721</v>
      </c>
      <c r="O126" s="17" t="s">
        <v>722</v>
      </c>
      <c r="P126" s="17" t="s">
        <v>723</v>
      </c>
      <c r="Q126" s="17" t="s">
        <v>724</v>
      </c>
      <c r="R126" s="17" t="s">
        <v>725</v>
      </c>
      <c r="S126" s="17" t="s">
        <v>726</v>
      </c>
      <c r="T126" s="15"/>
    </row>
    <row r="127" spans="1:20" x14ac:dyDescent="0.25">
      <c r="A127" s="14">
        <v>123</v>
      </c>
      <c r="B127" s="14">
        <v>3511003</v>
      </c>
      <c r="C127" s="14" t="str">
        <f>IF(ISERR(FIND("-",tab_Geral[[#This Row],[Municípios]],1)),"","Têm Hifen")</f>
        <v/>
      </c>
      <c r="D127" s="14" t="str">
        <f>IF(tab_Geral[[#This Row],[Informação 3]]&lt;&gt;"","","Não Registrado")</f>
        <v/>
      </c>
      <c r="E127" s="14" t="str">
        <f>IF(tab_Geral[[#This Row],[Municípios]]=tab_Geral[[#This Row],[Informação 1]],"","Não!, Erro!")</f>
        <v/>
      </c>
      <c r="F127" s="14" t="str">
        <f>IF(tab_Geral[[#This Row],[Municípios]]=tab_Geral[[#This Row],[Município]],"","Não!, Erro!")</f>
        <v/>
      </c>
      <c r="G127" s="14" t="str">
        <f>VLOOKUP(tab_Geral[[#This Row],[GeoCodigo]],tab_CETESB[],2,FALSE)</f>
        <v>Castilho</v>
      </c>
      <c r="H127" s="14" t="str">
        <f>VLOOKUP(tab_Geral[[#This Row],[Informação 3]],tab_AgênciaAmbiental,10,FALSE)</f>
        <v>13</v>
      </c>
      <c r="I127" s="14" t="s">
        <v>125</v>
      </c>
      <c r="J127" s="18" t="s">
        <v>125</v>
      </c>
      <c r="K127" s="17"/>
      <c r="L127" s="17" t="s">
        <v>1894</v>
      </c>
      <c r="M127" s="17" t="s">
        <v>656</v>
      </c>
      <c r="N127" s="17" t="s">
        <v>657</v>
      </c>
      <c r="O127" s="17" t="s">
        <v>658</v>
      </c>
      <c r="P127" s="17" t="s">
        <v>659</v>
      </c>
      <c r="Q127" s="17" t="s">
        <v>660</v>
      </c>
      <c r="R127" s="17" t="s">
        <v>661</v>
      </c>
      <c r="S127" s="17" t="s">
        <v>662</v>
      </c>
      <c r="T127" s="15"/>
    </row>
    <row r="128" spans="1:20" x14ac:dyDescent="0.25">
      <c r="A128" s="14">
        <v>124</v>
      </c>
      <c r="B128" s="14">
        <v>3511102</v>
      </c>
      <c r="C128" s="14" t="str">
        <f>IF(ISERR(FIND("-",tab_Geral[[#This Row],[Municípios]],1)),"","Têm Hifen")</f>
        <v/>
      </c>
      <c r="D128" s="14" t="str">
        <f>IF(tab_Geral[[#This Row],[Informação 3]]&lt;&gt;"","","Não Registrado")</f>
        <v/>
      </c>
      <c r="E128" s="14" t="str">
        <f>IF(tab_Geral[[#This Row],[Municípios]]=tab_Geral[[#This Row],[Informação 1]],"","Não!, Erro!")</f>
        <v/>
      </c>
      <c r="F128" s="14" t="str">
        <f>IF(tab_Geral[[#This Row],[Municípios]]=tab_Geral[[#This Row],[Município]],"","Não!, Erro!")</f>
        <v/>
      </c>
      <c r="G128" s="14" t="str">
        <f>VLOOKUP(tab_Geral[[#This Row],[GeoCodigo]],tab_CETESB[],2,FALSE)</f>
        <v>Catanduva</v>
      </c>
      <c r="H128" s="14" t="str">
        <f>VLOOKUP(tab_Geral[[#This Row],[Informação 3]],tab_AgênciaAmbiental,10,FALSE)</f>
        <v>36</v>
      </c>
      <c r="I128" s="14" t="s">
        <v>126</v>
      </c>
      <c r="J128" s="18" t="s">
        <v>126</v>
      </c>
      <c r="K128" s="17"/>
      <c r="L128" s="17" t="s">
        <v>1917</v>
      </c>
      <c r="M128" s="17" t="s">
        <v>663</v>
      </c>
      <c r="N128" s="17" t="s">
        <v>664</v>
      </c>
      <c r="O128" s="17" t="s">
        <v>665</v>
      </c>
      <c r="P128" s="17" t="s">
        <v>666</v>
      </c>
      <c r="Q128" s="17" t="s">
        <v>667</v>
      </c>
      <c r="R128" s="17" t="s">
        <v>668</v>
      </c>
      <c r="S128" s="17" t="s">
        <v>938</v>
      </c>
    </row>
    <row r="129" spans="1:20" x14ac:dyDescent="0.25">
      <c r="A129" s="14">
        <v>125</v>
      </c>
      <c r="B129" s="14">
        <v>3511201</v>
      </c>
      <c r="C129" s="14" t="str">
        <f>IF(ISERR(FIND("-",tab_Geral[[#This Row],[Municípios]],1)),"","Têm Hifen")</f>
        <v/>
      </c>
      <c r="D129" s="14" t="str">
        <f>IF(tab_Geral[[#This Row],[Informação 3]]&lt;&gt;"","","Não Registrado")</f>
        <v/>
      </c>
      <c r="E129" s="14" t="str">
        <f>IF(tab_Geral[[#This Row],[Municípios]]=tab_Geral[[#This Row],[Informação 1]],"","Não!, Erro!")</f>
        <v/>
      </c>
      <c r="F129" s="14" t="str">
        <f>IF(tab_Geral[[#This Row],[Municípios]]=tab_Geral[[#This Row],[Município]],"","Não!, Erro!")</f>
        <v/>
      </c>
      <c r="G129" s="14" t="str">
        <f>VLOOKUP(tab_Geral[[#This Row],[GeoCodigo]],tab_CETESB[],2,FALSE)</f>
        <v>Catiguá</v>
      </c>
      <c r="H129" s="14" t="str">
        <f>VLOOKUP(tab_Geral[[#This Row],[Informação 3]],tab_AgênciaAmbiental,10,FALSE)</f>
        <v>36</v>
      </c>
      <c r="I129" s="14" t="s">
        <v>127</v>
      </c>
      <c r="J129" s="18" t="s">
        <v>127</v>
      </c>
      <c r="K129" s="17"/>
      <c r="L129" s="17" t="s">
        <v>1917</v>
      </c>
      <c r="M129" s="17" t="s">
        <v>663</v>
      </c>
      <c r="N129" s="17" t="s">
        <v>664</v>
      </c>
      <c r="O129" s="17" t="s">
        <v>665</v>
      </c>
      <c r="P129" s="17" t="s">
        <v>666</v>
      </c>
      <c r="Q129" s="17" t="s">
        <v>667</v>
      </c>
      <c r="R129" s="17" t="s">
        <v>668</v>
      </c>
      <c r="S129" s="17" t="s">
        <v>938</v>
      </c>
    </row>
    <row r="130" spans="1:20" x14ac:dyDescent="0.25">
      <c r="A130" s="14">
        <v>126</v>
      </c>
      <c r="B130" s="14">
        <v>3511300</v>
      </c>
      <c r="C130" s="14" t="str">
        <f>IF(ISERR(FIND("-",tab_Geral[[#This Row],[Municípios]],1)),"","Têm Hifen")</f>
        <v/>
      </c>
      <c r="D130" s="14" t="str">
        <f>IF(tab_Geral[[#This Row],[Informação 3]]&lt;&gt;"","","Não Registrado")</f>
        <v/>
      </c>
      <c r="E130" s="14" t="str">
        <f>IF(tab_Geral[[#This Row],[Municípios]]=tab_Geral[[#This Row],[Informação 1]],"","Não!, Erro!")</f>
        <v/>
      </c>
      <c r="F130" s="14" t="str">
        <f>IF(tab_Geral[[#This Row],[Municípios]]=tab_Geral[[#This Row],[Município]],"","Não!, Erro!")</f>
        <v/>
      </c>
      <c r="G130" s="14" t="str">
        <f>VLOOKUP(tab_Geral[[#This Row],[GeoCodigo]],tab_CETESB[],2,FALSE)</f>
        <v>Cedral</v>
      </c>
      <c r="H130" s="14" t="str">
        <f>VLOOKUP(tab_Geral[[#This Row],[Informação 3]],tab_AgênciaAmbiental,10,FALSE)</f>
        <v>36</v>
      </c>
      <c r="I130" s="14" t="s">
        <v>128</v>
      </c>
      <c r="J130" s="18" t="s">
        <v>128</v>
      </c>
      <c r="K130" s="17"/>
      <c r="L130" s="17" t="s">
        <v>1917</v>
      </c>
      <c r="M130" s="17" t="s">
        <v>663</v>
      </c>
      <c r="N130" s="17" t="s">
        <v>664</v>
      </c>
      <c r="O130" s="17" t="s">
        <v>665</v>
      </c>
      <c r="P130" s="17" t="s">
        <v>666</v>
      </c>
      <c r="Q130" s="17" t="s">
        <v>667</v>
      </c>
      <c r="R130" s="17" t="s">
        <v>668</v>
      </c>
      <c r="S130" s="17" t="s">
        <v>938</v>
      </c>
    </row>
    <row r="131" spans="1:20" x14ac:dyDescent="0.25">
      <c r="A131" s="14">
        <v>127</v>
      </c>
      <c r="B131" s="14">
        <v>3511409</v>
      </c>
      <c r="C131" s="14" t="str">
        <f>IF(ISERR(FIND("-",tab_Geral[[#This Row],[Municípios]],1)),"","Têm Hifen")</f>
        <v/>
      </c>
      <c r="D131" s="14" t="str">
        <f>IF(tab_Geral[[#This Row],[Informação 3]]&lt;&gt;"","","Não Registrado")</f>
        <v/>
      </c>
      <c r="E131" s="14" t="str">
        <f>IF(tab_Geral[[#This Row],[Municípios]]=tab_Geral[[#This Row],[Informação 1]],"","Não!, Erro!")</f>
        <v/>
      </c>
      <c r="F131" s="14" t="str">
        <f>IF(tab_Geral[[#This Row],[Municípios]]=tab_Geral[[#This Row],[Município]],"","Não!, Erro!")</f>
        <v/>
      </c>
      <c r="G131" s="14" t="str">
        <f>VLOOKUP(tab_Geral[[#This Row],[GeoCodigo]],tab_CETESB[],2,FALSE)</f>
        <v>Cerqueira César</v>
      </c>
      <c r="H131" s="14" t="str">
        <f>VLOOKUP(tab_Geral[[#This Row],[Informação 3]],tab_AgênciaAmbiental,10,FALSE)</f>
        <v>6</v>
      </c>
      <c r="I131" s="14" t="s">
        <v>129</v>
      </c>
      <c r="J131" s="18" t="s">
        <v>129</v>
      </c>
      <c r="K131" s="17"/>
      <c r="L131" s="17" t="s">
        <v>1887</v>
      </c>
      <c r="M131" s="17" t="s">
        <v>681</v>
      </c>
      <c r="N131" s="17" t="s">
        <v>682</v>
      </c>
      <c r="O131" s="17" t="s">
        <v>683</v>
      </c>
      <c r="P131" s="17" t="s">
        <v>684</v>
      </c>
      <c r="Q131" s="17" t="s">
        <v>685</v>
      </c>
      <c r="R131" s="17" t="s">
        <v>686</v>
      </c>
      <c r="S131" s="17" t="s">
        <v>687</v>
      </c>
      <c r="T131" s="15"/>
    </row>
    <row r="132" spans="1:20" x14ac:dyDescent="0.25">
      <c r="A132" s="14">
        <v>128</v>
      </c>
      <c r="B132" s="14">
        <v>3511508</v>
      </c>
      <c r="C132" s="14" t="str">
        <f>IF(ISERR(FIND("-",tab_Geral[[#This Row],[Municípios]],1)),"","Têm Hifen")</f>
        <v/>
      </c>
      <c r="D132" s="14" t="str">
        <f>IF(tab_Geral[[#This Row],[Informação 3]]&lt;&gt;"","","Não Registrado")</f>
        <v/>
      </c>
      <c r="E132" s="14" t="str">
        <f>IF(tab_Geral[[#This Row],[Municípios]]=tab_Geral[[#This Row],[Informação 1]],"","Não!, Erro!")</f>
        <v/>
      </c>
      <c r="F132" s="14" t="str">
        <f>IF(tab_Geral[[#This Row],[Municípios]]=tab_Geral[[#This Row],[Município]],"","Não!, Erro!")</f>
        <v/>
      </c>
      <c r="G132" s="14" t="str">
        <f>VLOOKUP(tab_Geral[[#This Row],[GeoCodigo]],tab_CETESB[],2,FALSE)</f>
        <v>Cerquilho</v>
      </c>
      <c r="H132" s="14" t="str">
        <f>VLOOKUP(tab_Geral[[#This Row],[Informação 3]],tab_AgênciaAmbiental,10,FALSE)</f>
        <v>18</v>
      </c>
      <c r="I132" s="14" t="s">
        <v>130</v>
      </c>
      <c r="J132" s="18" t="s">
        <v>130</v>
      </c>
      <c r="K132" s="17"/>
      <c r="L132" s="17" t="s">
        <v>1899</v>
      </c>
      <c r="M132" s="17" t="s">
        <v>733</v>
      </c>
      <c r="N132" s="17" t="s">
        <v>657</v>
      </c>
      <c r="O132" s="17" t="s">
        <v>734</v>
      </c>
      <c r="P132" s="17" t="s">
        <v>735</v>
      </c>
      <c r="Q132" s="17" t="s">
        <v>736</v>
      </c>
      <c r="R132" s="17" t="s">
        <v>737</v>
      </c>
      <c r="S132" s="17" t="s">
        <v>738</v>
      </c>
      <c r="T132" s="15"/>
    </row>
    <row r="133" spans="1:20" x14ac:dyDescent="0.25">
      <c r="A133" s="14">
        <v>129</v>
      </c>
      <c r="B133" s="14">
        <v>3511607</v>
      </c>
      <c r="C133" s="14" t="str">
        <f>IF(ISERR(FIND("-",tab_Geral[[#This Row],[Municípios]],1)),"","Têm Hifen")</f>
        <v/>
      </c>
      <c r="D133" s="14" t="str">
        <f>IF(tab_Geral[[#This Row],[Informação 3]]&lt;&gt;"","","Não Registrado")</f>
        <v/>
      </c>
      <c r="E133" s="14" t="str">
        <f>IF(tab_Geral[[#This Row],[Municípios]]=tab_Geral[[#This Row],[Informação 1]],"","Não!, Erro!")</f>
        <v/>
      </c>
      <c r="F133" s="14" t="str">
        <f>IF(tab_Geral[[#This Row],[Municípios]]=tab_Geral[[#This Row],[Município]],"","Não!, Erro!")</f>
        <v/>
      </c>
      <c r="G133" s="14" t="str">
        <f>VLOOKUP(tab_Geral[[#This Row],[GeoCodigo]],tab_CETESB[],2,FALSE)</f>
        <v>Cesário Lange</v>
      </c>
      <c r="H133" s="14" t="str">
        <f>VLOOKUP(tab_Geral[[#This Row],[Informação 3]],tab_AgênciaAmbiental,10,FALSE)</f>
        <v>9</v>
      </c>
      <c r="I133" s="14" t="s">
        <v>131</v>
      </c>
      <c r="J133" s="18" t="s">
        <v>131</v>
      </c>
      <c r="K133" s="17"/>
      <c r="L133" s="17" t="s">
        <v>1890</v>
      </c>
      <c r="M133" s="17" t="s">
        <v>774</v>
      </c>
      <c r="N133" s="17" t="s">
        <v>775</v>
      </c>
      <c r="O133" s="17" t="s">
        <v>776</v>
      </c>
      <c r="P133" s="17" t="s">
        <v>777</v>
      </c>
      <c r="Q133" s="17" t="s">
        <v>778</v>
      </c>
      <c r="R133" s="17" t="s">
        <v>779</v>
      </c>
      <c r="S133" s="17" t="s">
        <v>780</v>
      </c>
      <c r="T133" s="15"/>
    </row>
    <row r="134" spans="1:20" x14ac:dyDescent="0.25">
      <c r="A134" s="14">
        <v>130</v>
      </c>
      <c r="B134" s="14">
        <v>3511706</v>
      </c>
      <c r="C134" s="14" t="str">
        <f>IF(ISERR(FIND("-",tab_Geral[[#This Row],[Municípios]],1)),"","Têm Hifen")</f>
        <v/>
      </c>
      <c r="D134" s="14" t="str">
        <f>IF(tab_Geral[[#This Row],[Informação 3]]&lt;&gt;"","","Não Registrado")</f>
        <v/>
      </c>
      <c r="E134" s="14" t="str">
        <f>IF(tab_Geral[[#This Row],[Municípios]]=tab_Geral[[#This Row],[Informação 1]],"","Não!, Erro!")</f>
        <v/>
      </c>
      <c r="F134" s="14" t="str">
        <f>IF(tab_Geral[[#This Row],[Municípios]]=tab_Geral[[#This Row],[Município]],"","Não!, Erro!")</f>
        <v/>
      </c>
      <c r="G134" s="14" t="str">
        <f>VLOOKUP(tab_Geral[[#This Row],[GeoCodigo]],tab_CETESB[],2,FALSE)</f>
        <v>Charqueada</v>
      </c>
      <c r="H134" s="14" t="str">
        <f>VLOOKUP(tab_Geral[[#This Row],[Informação 3]],tab_AgênciaAmbiental,10,FALSE)</f>
        <v>28</v>
      </c>
      <c r="I134" s="14" t="s">
        <v>132</v>
      </c>
      <c r="J134" s="18" t="s">
        <v>132</v>
      </c>
      <c r="K134" s="17"/>
      <c r="L134" s="17" t="s">
        <v>1909</v>
      </c>
      <c r="M134" s="17" t="s">
        <v>688</v>
      </c>
      <c r="N134" s="17" t="s">
        <v>657</v>
      </c>
      <c r="O134" s="17" t="s">
        <v>689</v>
      </c>
      <c r="P134" s="17" t="s">
        <v>690</v>
      </c>
      <c r="Q134" s="17" t="s">
        <v>691</v>
      </c>
      <c r="R134" s="17" t="s">
        <v>692</v>
      </c>
      <c r="S134" s="17" t="s">
        <v>693</v>
      </c>
      <c r="T134" s="15"/>
    </row>
    <row r="135" spans="1:20" x14ac:dyDescent="0.25">
      <c r="A135" s="14">
        <v>131</v>
      </c>
      <c r="B135" s="14">
        <v>3557204</v>
      </c>
      <c r="C135" s="14" t="str">
        <f>IF(ISERR(FIND("-",tab_Geral[[#This Row],[Municípios]],1)),"","Têm Hifen")</f>
        <v/>
      </c>
      <c r="D135" s="14" t="str">
        <f>IF(tab_Geral[[#This Row],[Informação 3]]&lt;&gt;"","","Não Registrado")</f>
        <v/>
      </c>
      <c r="E135" s="14" t="str">
        <f>IF(tab_Geral[[#This Row],[Municípios]]=tab_Geral[[#This Row],[Informação 1]],"","Não!, Erro!")</f>
        <v/>
      </c>
      <c r="F135" s="14" t="str">
        <f>IF(tab_Geral[[#This Row],[Municípios]]=tab_Geral[[#This Row],[Município]],"","Não!, Erro!")</f>
        <v/>
      </c>
      <c r="G135" s="14" t="str">
        <f>VLOOKUP(tab_Geral[[#This Row],[GeoCodigo]],tab_CETESB[],2,FALSE)</f>
        <v>Chavantes</v>
      </c>
      <c r="H135" s="14" t="str">
        <f>VLOOKUP(tab_Geral[[#This Row],[Informação 3]],tab_AgênciaAmbiental,10,FALSE)</f>
        <v>4</v>
      </c>
      <c r="I135" s="14" t="s">
        <v>133</v>
      </c>
      <c r="J135" s="18" t="s">
        <v>133</v>
      </c>
      <c r="K135" s="17"/>
      <c r="L135" s="17" t="s">
        <v>1885</v>
      </c>
      <c r="M135" s="17" t="s">
        <v>830</v>
      </c>
      <c r="N135" s="17" t="s">
        <v>831</v>
      </c>
      <c r="O135" s="17" t="s">
        <v>832</v>
      </c>
      <c r="P135" s="17" t="s">
        <v>833</v>
      </c>
      <c r="Q135" s="17" t="s">
        <v>834</v>
      </c>
      <c r="R135" s="17" t="s">
        <v>835</v>
      </c>
      <c r="S135" s="17" t="s">
        <v>836</v>
      </c>
      <c r="T135" s="15"/>
    </row>
    <row r="136" spans="1:20" x14ac:dyDescent="0.25">
      <c r="A136" s="14">
        <v>132</v>
      </c>
      <c r="B136" s="14">
        <v>3511904</v>
      </c>
      <c r="C136" s="14" t="str">
        <f>IF(ISERR(FIND("-",tab_Geral[[#This Row],[Municípios]],1)),"","Têm Hifen")</f>
        <v/>
      </c>
      <c r="D136" s="14" t="str">
        <f>IF(tab_Geral[[#This Row],[Informação 3]]&lt;&gt;"","","Não Registrado")</f>
        <v/>
      </c>
      <c r="E136" s="14" t="str">
        <f>IF(tab_Geral[[#This Row],[Municípios]]=tab_Geral[[#This Row],[Informação 1]],"","Não!, Erro!")</f>
        <v/>
      </c>
      <c r="F136" s="14" t="str">
        <f>IF(tab_Geral[[#This Row],[Municípios]]=tab_Geral[[#This Row],[Município]],"","Não!, Erro!")</f>
        <v/>
      </c>
      <c r="G136" s="14" t="str">
        <f>VLOOKUP(tab_Geral[[#This Row],[GeoCodigo]],tab_CETESB[],2,FALSE)</f>
        <v>Clementina</v>
      </c>
      <c r="H136" s="14" t="str">
        <f>VLOOKUP(tab_Geral[[#This Row],[Informação 3]],tab_AgênciaAmbiental,10,FALSE)</f>
        <v>2</v>
      </c>
      <c r="I136" s="14" t="s">
        <v>134</v>
      </c>
      <c r="J136" s="18" t="s">
        <v>134</v>
      </c>
      <c r="K136" s="17"/>
      <c r="L136" s="17" t="s">
        <v>1883</v>
      </c>
      <c r="M136" s="17" t="s">
        <v>727</v>
      </c>
      <c r="N136" s="17" t="s">
        <v>728</v>
      </c>
      <c r="O136" s="17" t="s">
        <v>729</v>
      </c>
      <c r="P136" s="17" t="s">
        <v>730</v>
      </c>
      <c r="Q136" s="17" t="s">
        <v>731</v>
      </c>
      <c r="R136" s="17" t="s">
        <v>732</v>
      </c>
      <c r="S136" s="17" t="s">
        <v>936</v>
      </c>
    </row>
    <row r="137" spans="1:20" x14ac:dyDescent="0.25">
      <c r="A137" s="14">
        <v>133</v>
      </c>
      <c r="B137" s="14">
        <v>3512001</v>
      </c>
      <c r="C137" s="14" t="str">
        <f>IF(ISERR(FIND("-",tab_Geral[[#This Row],[Municípios]],1)),"","Têm Hifen")</f>
        <v/>
      </c>
      <c r="D137" s="14" t="str">
        <f>IF(tab_Geral[[#This Row],[Informação 3]]&lt;&gt;"","","Não Registrado")</f>
        <v/>
      </c>
      <c r="E137" s="14" t="str">
        <f>IF(tab_Geral[[#This Row],[Municípios]]=tab_Geral[[#This Row],[Informação 1]],"","Não!, Erro!")</f>
        <v/>
      </c>
      <c r="F137" s="14" t="str">
        <f>IF(tab_Geral[[#This Row],[Municípios]]=tab_Geral[[#This Row],[Município]],"","Não!, Erro!")</f>
        <v/>
      </c>
      <c r="G137" s="14" t="str">
        <f>VLOOKUP(tab_Geral[[#This Row],[GeoCodigo]],tab_CETESB[],2,FALSE)</f>
        <v>Colina</v>
      </c>
      <c r="H137" s="14" t="str">
        <f>VLOOKUP(tab_Geral[[#This Row],[Informação 3]],tab_AgênciaAmbiental,10,FALSE)</f>
        <v>7</v>
      </c>
      <c r="I137" s="14" t="s">
        <v>135</v>
      </c>
      <c r="J137" s="18" t="s">
        <v>135</v>
      </c>
      <c r="K137" s="17"/>
      <c r="L137" s="17" t="s">
        <v>1888</v>
      </c>
      <c r="M137" s="17" t="s">
        <v>713</v>
      </c>
      <c r="N137" s="17" t="s">
        <v>714</v>
      </c>
      <c r="O137" s="17" t="s">
        <v>715</v>
      </c>
      <c r="P137" s="17" t="s">
        <v>716</v>
      </c>
      <c r="Q137" s="17" t="s">
        <v>717</v>
      </c>
      <c r="R137" s="17" t="s">
        <v>718</v>
      </c>
      <c r="S137" s="17" t="s">
        <v>719</v>
      </c>
      <c r="T137" s="15"/>
    </row>
    <row r="138" spans="1:20" x14ac:dyDescent="0.25">
      <c r="A138" s="14">
        <v>134</v>
      </c>
      <c r="B138" s="14">
        <v>3512100</v>
      </c>
      <c r="C138" s="14" t="str">
        <f>IF(ISERR(FIND("-",tab_Geral[[#This Row],[Municípios]],1)),"","Têm Hifen")</f>
        <v/>
      </c>
      <c r="D138" s="14" t="str">
        <f>IF(tab_Geral[[#This Row],[Informação 3]]&lt;&gt;"","","Não Registrado")</f>
        <v/>
      </c>
      <c r="E138" s="14" t="str">
        <f>IF(tab_Geral[[#This Row],[Municípios]]=tab_Geral[[#This Row],[Informação 1]],"","Não!, Erro!")</f>
        <v/>
      </c>
      <c r="F138" s="14" t="str">
        <f>IF(tab_Geral[[#This Row],[Municípios]]=tab_Geral[[#This Row],[Município]],"","Não!, Erro!")</f>
        <v/>
      </c>
      <c r="G138" s="14" t="str">
        <f>VLOOKUP(tab_Geral[[#This Row],[GeoCodigo]],tab_CETESB[],2,FALSE)</f>
        <v>Colômbia</v>
      </c>
      <c r="H138" s="14" t="str">
        <f>VLOOKUP(tab_Geral[[#This Row],[Informação 3]],tab_AgênciaAmbiental,10,FALSE)</f>
        <v>7</v>
      </c>
      <c r="I138" s="14" t="s">
        <v>136</v>
      </c>
      <c r="J138" s="18" t="s">
        <v>136</v>
      </c>
      <c r="K138" s="17"/>
      <c r="L138" s="17" t="s">
        <v>1888</v>
      </c>
      <c r="M138" s="17" t="s">
        <v>713</v>
      </c>
      <c r="N138" s="17" t="s">
        <v>714</v>
      </c>
      <c r="O138" s="17" t="s">
        <v>715</v>
      </c>
      <c r="P138" s="17" t="s">
        <v>716</v>
      </c>
      <c r="Q138" s="17" t="s">
        <v>717</v>
      </c>
      <c r="R138" s="17" t="s">
        <v>718</v>
      </c>
      <c r="S138" s="17" t="s">
        <v>719</v>
      </c>
      <c r="T138" s="15"/>
    </row>
    <row r="139" spans="1:20" x14ac:dyDescent="0.25">
      <c r="A139" s="14">
        <v>135</v>
      </c>
      <c r="B139" s="14">
        <v>3512209</v>
      </c>
      <c r="C139" s="14" t="str">
        <f>IF(ISERR(FIND("-",tab_Geral[[#This Row],[Municípios]],1)),"","Têm Hifen")</f>
        <v/>
      </c>
      <c r="D139" s="14" t="str">
        <f>IF(tab_Geral[[#This Row],[Informação 3]]&lt;&gt;"","","Não Registrado")</f>
        <v/>
      </c>
      <c r="E139" s="14" t="str">
        <f>IF(tab_Geral[[#This Row],[Municípios]]=tab_Geral[[#This Row],[Informação 1]],"","Não!, Erro!")</f>
        <v/>
      </c>
      <c r="F139" s="14" t="str">
        <f>IF(tab_Geral[[#This Row],[Municípios]]=tab_Geral[[#This Row],[Município]],"","Não!, Erro!")</f>
        <v/>
      </c>
      <c r="G139" s="14" t="str">
        <f>VLOOKUP(tab_Geral[[#This Row],[GeoCodigo]],tab_CETESB[],2,FALSE)</f>
        <v>Conchal</v>
      </c>
      <c r="H139" s="14" t="str">
        <f>VLOOKUP(tab_Geral[[#This Row],[Informação 3]],tab_AgênciaAmbiental,10,FALSE)</f>
        <v>25</v>
      </c>
      <c r="I139" s="14" t="s">
        <v>137</v>
      </c>
      <c r="J139" s="18" t="s">
        <v>137</v>
      </c>
      <c r="K139" s="17"/>
      <c r="L139" s="17" t="s">
        <v>1906</v>
      </c>
      <c r="M139" s="17" t="s">
        <v>669</v>
      </c>
      <c r="N139" s="17" t="s">
        <v>670</v>
      </c>
      <c r="O139" s="17" t="s">
        <v>671</v>
      </c>
      <c r="P139" s="17" t="s">
        <v>672</v>
      </c>
      <c r="Q139" s="17" t="s">
        <v>673</v>
      </c>
      <c r="R139" s="17" t="s">
        <v>674</v>
      </c>
      <c r="S139" s="17" t="s">
        <v>675</v>
      </c>
      <c r="T139" s="15"/>
    </row>
    <row r="140" spans="1:20" x14ac:dyDescent="0.25">
      <c r="A140" s="14">
        <v>136</v>
      </c>
      <c r="B140" s="14">
        <v>3512308</v>
      </c>
      <c r="C140" s="14" t="str">
        <f>IF(ISERR(FIND("-",tab_Geral[[#This Row],[Municípios]],1)),"","Têm Hifen")</f>
        <v/>
      </c>
      <c r="D140" s="14" t="str">
        <f>IF(tab_Geral[[#This Row],[Informação 3]]&lt;&gt;"","","Não Registrado")</f>
        <v/>
      </c>
      <c r="E140" s="14" t="str">
        <f>IF(tab_Geral[[#This Row],[Municípios]]=tab_Geral[[#This Row],[Informação 1]],"","Não!, Erro!")</f>
        <v/>
      </c>
      <c r="F140" s="14" t="str">
        <f>IF(tab_Geral[[#This Row],[Municípios]]=tab_Geral[[#This Row],[Município]],"","Não!, Erro!")</f>
        <v/>
      </c>
      <c r="G140" s="14" t="str">
        <f>VLOOKUP(tab_Geral[[#This Row],[GeoCodigo]],tab_CETESB[],2,FALSE)</f>
        <v>Conchas</v>
      </c>
      <c r="H140" s="14" t="str">
        <f>VLOOKUP(tab_Geral[[#This Row],[Informação 3]],tab_AgênciaAmbiental,10,FALSE)</f>
        <v>9</v>
      </c>
      <c r="I140" s="14" t="s">
        <v>138</v>
      </c>
      <c r="J140" s="18" t="s">
        <v>138</v>
      </c>
      <c r="K140" s="17"/>
      <c r="L140" s="17" t="s">
        <v>1890</v>
      </c>
      <c r="M140" s="17" t="s">
        <v>774</v>
      </c>
      <c r="N140" s="17" t="s">
        <v>775</v>
      </c>
      <c r="O140" s="17" t="s">
        <v>776</v>
      </c>
      <c r="P140" s="17" t="s">
        <v>777</v>
      </c>
      <c r="Q140" s="17" t="s">
        <v>778</v>
      </c>
      <c r="R140" s="17" t="s">
        <v>779</v>
      </c>
      <c r="S140" s="17" t="s">
        <v>780</v>
      </c>
      <c r="T140" s="15"/>
    </row>
    <row r="141" spans="1:20" x14ac:dyDescent="0.25">
      <c r="A141" s="14">
        <v>137</v>
      </c>
      <c r="B141" s="14">
        <v>3512407</v>
      </c>
      <c r="C141" s="14" t="str">
        <f>IF(ISERR(FIND("-",tab_Geral[[#This Row],[Municípios]],1)),"","Têm Hifen")</f>
        <v/>
      </c>
      <c r="D141" s="14" t="str">
        <f>IF(tab_Geral[[#This Row],[Informação 3]]&lt;&gt;"","","Não Registrado")</f>
        <v/>
      </c>
      <c r="E141" s="14" t="str">
        <f>IF(tab_Geral[[#This Row],[Municípios]]=tab_Geral[[#This Row],[Informação 1]],"","Não!, Erro!")</f>
        <v/>
      </c>
      <c r="F141" s="14" t="str">
        <f>IF(tab_Geral[[#This Row],[Municípios]]=tab_Geral[[#This Row],[Município]],"","Não!, Erro!")</f>
        <v/>
      </c>
      <c r="G141" s="14" t="str">
        <f>VLOOKUP(tab_Geral[[#This Row],[GeoCodigo]],tab_CETESB[],2,FALSE)</f>
        <v>Cordeirópolis</v>
      </c>
      <c r="H141" s="14" t="str">
        <f>VLOOKUP(tab_Geral[[#This Row],[Informação 3]],tab_AgênciaAmbiental,10,FALSE)</f>
        <v>22</v>
      </c>
      <c r="I141" s="14" t="s">
        <v>139</v>
      </c>
      <c r="J141" s="18" t="s">
        <v>139</v>
      </c>
      <c r="K141" s="17"/>
      <c r="L141" s="17" t="s">
        <v>1903</v>
      </c>
      <c r="M141" s="17" t="s">
        <v>816</v>
      </c>
      <c r="N141" s="17" t="s">
        <v>817</v>
      </c>
      <c r="O141" s="17" t="s">
        <v>818</v>
      </c>
      <c r="P141" s="17" t="s">
        <v>819</v>
      </c>
      <c r="Q141" s="17" t="s">
        <v>820</v>
      </c>
      <c r="R141" s="17" t="s">
        <v>821</v>
      </c>
      <c r="S141" s="17" t="s">
        <v>822</v>
      </c>
      <c r="T141" s="15"/>
    </row>
    <row r="142" spans="1:20" x14ac:dyDescent="0.25">
      <c r="A142" s="14">
        <v>138</v>
      </c>
      <c r="B142" s="14">
        <v>3512506</v>
      </c>
      <c r="C142" s="14" t="str">
        <f>IF(ISERR(FIND("-",tab_Geral[[#This Row],[Municípios]],1)),"","Têm Hifen")</f>
        <v/>
      </c>
      <c r="D142" s="14" t="str">
        <f>IF(tab_Geral[[#This Row],[Informação 3]]&lt;&gt;"","","Não Registrado")</f>
        <v/>
      </c>
      <c r="E142" s="14" t="str">
        <f>IF(tab_Geral[[#This Row],[Municípios]]=tab_Geral[[#This Row],[Informação 1]],"","Não!, Erro!")</f>
        <v/>
      </c>
      <c r="F142" s="14" t="str">
        <f>IF(tab_Geral[[#This Row],[Municípios]]=tab_Geral[[#This Row],[Município]],"","Não!, Erro!")</f>
        <v/>
      </c>
      <c r="G142" s="14" t="str">
        <f>VLOOKUP(tab_Geral[[#This Row],[GeoCodigo]],tab_CETESB[],2,FALSE)</f>
        <v>Coroados</v>
      </c>
      <c r="H142" s="14" t="str">
        <f>VLOOKUP(tab_Geral[[#This Row],[Informação 3]],tab_AgênciaAmbiental,10,FALSE)</f>
        <v>2</v>
      </c>
      <c r="I142" s="14" t="s">
        <v>140</v>
      </c>
      <c r="J142" s="18" t="s">
        <v>140</v>
      </c>
      <c r="K142" s="17"/>
      <c r="L142" s="17" t="s">
        <v>1883</v>
      </c>
      <c r="M142" s="17" t="s">
        <v>727</v>
      </c>
      <c r="N142" s="17" t="s">
        <v>728</v>
      </c>
      <c r="O142" s="17" t="s">
        <v>729</v>
      </c>
      <c r="P142" s="17" t="s">
        <v>730</v>
      </c>
      <c r="Q142" s="17" t="s">
        <v>731</v>
      </c>
      <c r="R142" s="17" t="s">
        <v>732</v>
      </c>
      <c r="S142" s="17" t="s">
        <v>936</v>
      </c>
    </row>
    <row r="143" spans="1:20" x14ac:dyDescent="0.25">
      <c r="A143" s="14">
        <v>139</v>
      </c>
      <c r="B143" s="14">
        <v>3512605</v>
      </c>
      <c r="C143" s="14" t="str">
        <f>IF(ISERR(FIND("-",tab_Geral[[#This Row],[Municípios]],1)),"","Têm Hifen")</f>
        <v/>
      </c>
      <c r="D143" s="14" t="str">
        <f>IF(tab_Geral[[#This Row],[Informação 3]]&lt;&gt;"","","Não Registrado")</f>
        <v/>
      </c>
      <c r="E143" s="14" t="str">
        <f>IF(tab_Geral[[#This Row],[Municípios]]=tab_Geral[[#This Row],[Informação 1]],"","Não!, Erro!")</f>
        <v/>
      </c>
      <c r="F143" s="14" t="str">
        <f>IF(tab_Geral[[#This Row],[Municípios]]=tab_Geral[[#This Row],[Município]],"","Não!, Erro!")</f>
        <v/>
      </c>
      <c r="G143" s="14" t="str">
        <f>VLOOKUP(tab_Geral[[#This Row],[GeoCodigo]],tab_CETESB[],2,FALSE)</f>
        <v>Coronel Macedo</v>
      </c>
      <c r="H143" s="14" t="str">
        <f>VLOOKUP(tab_Geral[[#This Row],[Informação 3]],tab_AgênciaAmbiental,10,FALSE)</f>
        <v>6</v>
      </c>
      <c r="I143" s="14" t="s">
        <v>141</v>
      </c>
      <c r="J143" s="18" t="s">
        <v>141</v>
      </c>
      <c r="K143" s="17"/>
      <c r="L143" s="17" t="s">
        <v>1887</v>
      </c>
      <c r="M143" s="17" t="s">
        <v>681</v>
      </c>
      <c r="N143" s="17" t="s">
        <v>682</v>
      </c>
      <c r="O143" s="17" t="s">
        <v>683</v>
      </c>
      <c r="P143" s="17" t="s">
        <v>684</v>
      </c>
      <c r="Q143" s="17" t="s">
        <v>685</v>
      </c>
      <c r="R143" s="17" t="s">
        <v>686</v>
      </c>
      <c r="S143" s="17" t="s">
        <v>687</v>
      </c>
      <c r="T143" s="15"/>
    </row>
    <row r="144" spans="1:20" x14ac:dyDescent="0.25">
      <c r="A144" s="14">
        <v>140</v>
      </c>
      <c r="B144" s="14">
        <v>3512704</v>
      </c>
      <c r="C144" s="14" t="str">
        <f>IF(ISERR(FIND("-",tab_Geral[[#This Row],[Municípios]],1)),"","Têm Hifen")</f>
        <v/>
      </c>
      <c r="D144" s="14" t="str">
        <f>IF(tab_Geral[[#This Row],[Informação 3]]&lt;&gt;"","","Não Registrado")</f>
        <v/>
      </c>
      <c r="E144" s="14" t="str">
        <f>IF(tab_Geral[[#This Row],[Municípios]]=tab_Geral[[#This Row],[Informação 1]],"","Não!, Erro!")</f>
        <v/>
      </c>
      <c r="F144" s="14" t="str">
        <f>IF(tab_Geral[[#This Row],[Municípios]]=tab_Geral[[#This Row],[Município]],"","Não!, Erro!")</f>
        <v/>
      </c>
      <c r="G144" s="14" t="str">
        <f>VLOOKUP(tab_Geral[[#This Row],[GeoCodigo]],tab_CETESB[],2,FALSE)</f>
        <v>Corumbataí</v>
      </c>
      <c r="H144" s="14" t="str">
        <f>VLOOKUP(tab_Geral[[#This Row],[Informação 3]],tab_AgênciaAmbiental,10,FALSE)</f>
        <v>28</v>
      </c>
      <c r="I144" s="14" t="s">
        <v>142</v>
      </c>
      <c r="J144" s="18" t="s">
        <v>142</v>
      </c>
      <c r="K144" s="17"/>
      <c r="L144" s="17" t="s">
        <v>1909</v>
      </c>
      <c r="M144" s="17" t="s">
        <v>688</v>
      </c>
      <c r="N144" s="17" t="s">
        <v>657</v>
      </c>
      <c r="O144" s="17" t="s">
        <v>689</v>
      </c>
      <c r="P144" s="17" t="s">
        <v>690</v>
      </c>
      <c r="Q144" s="17" t="s">
        <v>691</v>
      </c>
      <c r="R144" s="17" t="s">
        <v>692</v>
      </c>
      <c r="S144" s="17" t="s">
        <v>693</v>
      </c>
      <c r="T144" s="15"/>
    </row>
    <row r="145" spans="1:20" x14ac:dyDescent="0.25">
      <c r="A145" s="14">
        <v>141</v>
      </c>
      <c r="B145" s="14">
        <v>3512803</v>
      </c>
      <c r="C145" s="14" t="str">
        <f>IF(ISERR(FIND("-",tab_Geral[[#This Row],[Municípios]],1)),"","Têm Hifen")</f>
        <v/>
      </c>
      <c r="D145" s="14" t="str">
        <f>IF(tab_Geral[[#This Row],[Informação 3]]&lt;&gt;"","","Não Registrado")</f>
        <v/>
      </c>
      <c r="E145" s="14" t="str">
        <f>IF(tab_Geral[[#This Row],[Municípios]]=tab_Geral[[#This Row],[Informação 1]],"","Não!, Erro!")</f>
        <v/>
      </c>
      <c r="F145" s="14" t="str">
        <f>IF(tab_Geral[[#This Row],[Municípios]]=tab_Geral[[#This Row],[Município]],"","Não!, Erro!")</f>
        <v/>
      </c>
      <c r="G145" s="14" t="str">
        <f>VLOOKUP(tab_Geral[[#This Row],[GeoCodigo]],tab_CETESB[],2,FALSE)</f>
        <v>Cosmópolis</v>
      </c>
      <c r="H145" s="14" t="str">
        <f>VLOOKUP(tab_Geral[[#This Row],[Informação 3]],tab_AgênciaAmbiental,10,FALSE)</f>
        <v>22</v>
      </c>
      <c r="I145" s="14" t="s">
        <v>143</v>
      </c>
      <c r="J145" s="18" t="s">
        <v>143</v>
      </c>
      <c r="K145" s="17"/>
      <c r="L145" s="17" t="s">
        <v>1903</v>
      </c>
      <c r="M145" s="17" t="s">
        <v>816</v>
      </c>
      <c r="N145" s="17" t="s">
        <v>817</v>
      </c>
      <c r="O145" s="17" t="s">
        <v>818</v>
      </c>
      <c r="P145" s="17" t="s">
        <v>819</v>
      </c>
      <c r="Q145" s="17" t="s">
        <v>820</v>
      </c>
      <c r="R145" s="17" t="s">
        <v>821</v>
      </c>
      <c r="S145" s="17" t="s">
        <v>822</v>
      </c>
      <c r="T145" s="15"/>
    </row>
    <row r="146" spans="1:20" x14ac:dyDescent="0.25">
      <c r="A146" s="14">
        <v>142</v>
      </c>
      <c r="B146" s="14">
        <v>3512902</v>
      </c>
      <c r="C146" s="14" t="str">
        <f>IF(ISERR(FIND("-",tab_Geral[[#This Row],[Municípios]],1)),"","Têm Hifen")</f>
        <v/>
      </c>
      <c r="D146" s="14" t="str">
        <f>IF(tab_Geral[[#This Row],[Informação 3]]&lt;&gt;"","","Não Registrado")</f>
        <v/>
      </c>
      <c r="E146" s="14" t="str">
        <f>IF(tab_Geral[[#This Row],[Municípios]]=tab_Geral[[#This Row],[Informação 1]],"","Não!, Erro!")</f>
        <v/>
      </c>
      <c r="F146" s="14" t="str">
        <f>IF(tab_Geral[[#This Row],[Municípios]]=tab_Geral[[#This Row],[Município]],"","Não!, Erro!")</f>
        <v/>
      </c>
      <c r="G146" s="14" t="str">
        <f>VLOOKUP(tab_Geral[[#This Row],[GeoCodigo]],tab_CETESB[],2,FALSE)</f>
        <v>Cosmorama</v>
      </c>
      <c r="H146" s="14" t="str">
        <f>VLOOKUP(tab_Geral[[#This Row],[Informação 3]],tab_AgênciaAmbiental,10,FALSE)</f>
        <v>41</v>
      </c>
      <c r="I146" s="14" t="s">
        <v>144</v>
      </c>
      <c r="J146" s="18" t="s">
        <v>144</v>
      </c>
      <c r="K146" s="17"/>
      <c r="L146" s="17" t="s">
        <v>1922</v>
      </c>
      <c r="M146" s="17" t="s">
        <v>739</v>
      </c>
      <c r="N146" s="17" t="s">
        <v>740</v>
      </c>
      <c r="O146" s="17" t="s">
        <v>741</v>
      </c>
      <c r="P146" s="17" t="s">
        <v>742</v>
      </c>
      <c r="Q146" s="17" t="s">
        <v>743</v>
      </c>
      <c r="R146" s="17" t="s">
        <v>744</v>
      </c>
      <c r="S146" s="17" t="s">
        <v>745</v>
      </c>
      <c r="T146" s="15"/>
    </row>
    <row r="147" spans="1:20" x14ac:dyDescent="0.25">
      <c r="A147" s="14">
        <v>143</v>
      </c>
      <c r="B147" s="14">
        <v>3513009</v>
      </c>
      <c r="C147" s="14" t="str">
        <f>IF(ISERR(FIND("-",tab_Geral[[#This Row],[Municípios]],1)),"","Têm Hifen")</f>
        <v/>
      </c>
      <c r="D147" s="14" t="str">
        <f>IF(tab_Geral[[#This Row],[Informação 3]]&lt;&gt;"","","Não Registrado")</f>
        <v/>
      </c>
      <c r="E147" s="14" t="str">
        <f>IF(tab_Geral[[#This Row],[Municípios]]=tab_Geral[[#This Row],[Informação 1]],"","Não!, Erro!")</f>
        <v/>
      </c>
      <c r="F147" s="14" t="str">
        <f>IF(tab_Geral[[#This Row],[Municípios]]=tab_Geral[[#This Row],[Município]],"","Não!, Erro!")</f>
        <v/>
      </c>
      <c r="G147" s="14" t="str">
        <f>VLOOKUP(tab_Geral[[#This Row],[GeoCodigo]],tab_CETESB[],2,FALSE)</f>
        <v>Cotia</v>
      </c>
      <c r="H147" s="14" t="str">
        <f>VLOOKUP(tab_Geral[[#This Row],[Informação 3]],tab_AgênciaAmbiental,10,FALSE)</f>
        <v>14</v>
      </c>
      <c r="I147" s="14" t="s">
        <v>145</v>
      </c>
      <c r="J147" s="18" t="s">
        <v>145</v>
      </c>
      <c r="K147" s="17"/>
      <c r="L147" s="17" t="s">
        <v>1895</v>
      </c>
      <c r="M147" s="17" t="s">
        <v>912</v>
      </c>
      <c r="N147" s="17" t="s">
        <v>913</v>
      </c>
      <c r="O147" s="17" t="s">
        <v>914</v>
      </c>
      <c r="P147" s="17" t="s">
        <v>915</v>
      </c>
      <c r="Q147" s="17" t="s">
        <v>916</v>
      </c>
      <c r="R147" s="17" t="s">
        <v>917</v>
      </c>
      <c r="S147" s="17" t="s">
        <v>918</v>
      </c>
      <c r="T147" s="15"/>
    </row>
    <row r="148" spans="1:20" x14ac:dyDescent="0.25">
      <c r="A148" s="14">
        <v>144</v>
      </c>
      <c r="B148" s="14">
        <v>3513108</v>
      </c>
      <c r="C148" s="14" t="str">
        <f>IF(ISERR(FIND("-",tab_Geral[[#This Row],[Municípios]],1)),"","Têm Hifen")</f>
        <v/>
      </c>
      <c r="D148" s="14" t="str">
        <f>IF(tab_Geral[[#This Row],[Informação 3]]&lt;&gt;"","","Não Registrado")</f>
        <v/>
      </c>
      <c r="E148" s="14" t="str">
        <f>IF(tab_Geral[[#This Row],[Municípios]]=tab_Geral[[#This Row],[Informação 1]],"","Não!, Erro!")</f>
        <v/>
      </c>
      <c r="F148" s="14" t="str">
        <f>IF(tab_Geral[[#This Row],[Municípios]]=tab_Geral[[#This Row],[Município]],"","Não!, Erro!")</f>
        <v/>
      </c>
      <c r="G148" s="14" t="str">
        <f>VLOOKUP(tab_Geral[[#This Row],[GeoCodigo]],tab_CETESB[],2,FALSE)</f>
        <v>Cravinhos</v>
      </c>
      <c r="H148" s="14" t="str">
        <f>VLOOKUP(tab_Geral[[#This Row],[Informação 3]],tab_AgênciaAmbiental,10,FALSE)</f>
        <v>31</v>
      </c>
      <c r="I148" s="14" t="s">
        <v>146</v>
      </c>
      <c r="J148" s="18" t="s">
        <v>146</v>
      </c>
      <c r="K148" s="17"/>
      <c r="L148" s="17" t="s">
        <v>1912</v>
      </c>
      <c r="M148" s="17" t="s">
        <v>720</v>
      </c>
      <c r="N148" s="17" t="s">
        <v>721</v>
      </c>
      <c r="O148" s="17" t="s">
        <v>722</v>
      </c>
      <c r="P148" s="17" t="s">
        <v>723</v>
      </c>
      <c r="Q148" s="17" t="s">
        <v>724</v>
      </c>
      <c r="R148" s="17" t="s">
        <v>725</v>
      </c>
      <c r="S148" s="17" t="s">
        <v>726</v>
      </c>
      <c r="T148" s="15"/>
    </row>
    <row r="149" spans="1:20" x14ac:dyDescent="0.25">
      <c r="A149" s="14">
        <v>145</v>
      </c>
      <c r="B149" s="14">
        <v>3513207</v>
      </c>
      <c r="C149" s="14" t="str">
        <f>IF(ISERR(FIND("-",tab_Geral[[#This Row],[Municípios]],1)),"","Têm Hifen")</f>
        <v/>
      </c>
      <c r="D149" s="14" t="str">
        <f>IF(tab_Geral[[#This Row],[Informação 3]]&lt;&gt;"","","Não Registrado")</f>
        <v/>
      </c>
      <c r="E149" s="14" t="str">
        <f>IF(tab_Geral[[#This Row],[Municípios]]=tab_Geral[[#This Row],[Informação 1]],"","Não!, Erro!")</f>
        <v/>
      </c>
      <c r="F149" s="14" t="str">
        <f>IF(tab_Geral[[#This Row],[Municípios]]=tab_Geral[[#This Row],[Município]],"","Não!, Erro!")</f>
        <v/>
      </c>
      <c r="G149" s="14" t="str">
        <f>VLOOKUP(tab_Geral[[#This Row],[GeoCodigo]],tab_CETESB[],2,FALSE)</f>
        <v>Cristais Paulista</v>
      </c>
      <c r="H149" s="14" t="str">
        <f>VLOOKUP(tab_Geral[[#This Row],[Informação 3]],tab_AgênciaAmbiental,10,FALSE)</f>
        <v>15</v>
      </c>
      <c r="I149" s="14" t="s">
        <v>147</v>
      </c>
      <c r="J149" s="18" t="s">
        <v>147</v>
      </c>
      <c r="K149" s="17"/>
      <c r="L149" s="17" t="s">
        <v>1896</v>
      </c>
      <c r="M149" s="17" t="s">
        <v>809</v>
      </c>
      <c r="N149" s="17" t="s">
        <v>810</v>
      </c>
      <c r="O149" s="17" t="s">
        <v>811</v>
      </c>
      <c r="P149" s="17" t="s">
        <v>812</v>
      </c>
      <c r="Q149" s="17" t="s">
        <v>813</v>
      </c>
      <c r="R149" s="17" t="s">
        <v>814</v>
      </c>
      <c r="S149" s="17" t="s">
        <v>815</v>
      </c>
      <c r="T149" s="15"/>
    </row>
    <row r="150" spans="1:20" x14ac:dyDescent="0.25">
      <c r="A150" s="14">
        <v>146</v>
      </c>
      <c r="B150" s="14">
        <v>3513306</v>
      </c>
      <c r="C150" s="14" t="str">
        <f>IF(ISERR(FIND("-",tab_Geral[[#This Row],[Municípios]],1)),"","Têm Hifen")</f>
        <v/>
      </c>
      <c r="D150" s="14" t="str">
        <f>IF(tab_Geral[[#This Row],[Informação 3]]&lt;&gt;"","","Não Registrado")</f>
        <v/>
      </c>
      <c r="E150" s="14" t="str">
        <f>IF(tab_Geral[[#This Row],[Municípios]]=tab_Geral[[#This Row],[Informação 1]],"","Não!, Erro!")</f>
        <v/>
      </c>
      <c r="F150" s="14" t="str">
        <f>IF(tab_Geral[[#This Row],[Municípios]]=tab_Geral[[#This Row],[Município]],"","Não!, Erro!")</f>
        <v/>
      </c>
      <c r="G150" s="14" t="str">
        <f>VLOOKUP(tab_Geral[[#This Row],[GeoCodigo]],tab_CETESB[],2,FALSE)</f>
        <v>Cruzália</v>
      </c>
      <c r="H150" s="14" t="str">
        <f>VLOOKUP(tab_Geral[[#This Row],[Informação 3]],tab_AgênciaAmbiental,10,FALSE)</f>
        <v>4</v>
      </c>
      <c r="I150" s="14" t="s">
        <v>148</v>
      </c>
      <c r="J150" s="18" t="s">
        <v>148</v>
      </c>
      <c r="K150" s="17"/>
      <c r="L150" s="17" t="s">
        <v>1885</v>
      </c>
      <c r="M150" s="17" t="s">
        <v>830</v>
      </c>
      <c r="N150" s="17" t="s">
        <v>831</v>
      </c>
      <c r="O150" s="17" t="s">
        <v>832</v>
      </c>
      <c r="P150" s="17" t="s">
        <v>833</v>
      </c>
      <c r="Q150" s="17" t="s">
        <v>834</v>
      </c>
      <c r="R150" s="17" t="s">
        <v>835</v>
      </c>
      <c r="S150" s="17" t="s">
        <v>836</v>
      </c>
      <c r="T150" s="15"/>
    </row>
    <row r="151" spans="1:20" x14ac:dyDescent="0.25">
      <c r="A151" s="14">
        <v>147</v>
      </c>
      <c r="B151" s="14">
        <v>3513405</v>
      </c>
      <c r="C151" s="14" t="str">
        <f>IF(ISERR(FIND("-",tab_Geral[[#This Row],[Municípios]],1)),"","Têm Hifen")</f>
        <v/>
      </c>
      <c r="D151" s="14" t="str">
        <f>IF(tab_Geral[[#This Row],[Informação 3]]&lt;&gt;"","","Não Registrado")</f>
        <v/>
      </c>
      <c r="E151" s="14" t="str">
        <f>IF(tab_Geral[[#This Row],[Municípios]]=tab_Geral[[#This Row],[Informação 1]],"","Não!, Erro!")</f>
        <v/>
      </c>
      <c r="F151" s="14" t="str">
        <f>IF(tab_Geral[[#This Row],[Municípios]]=tab_Geral[[#This Row],[Município]],"","Não!, Erro!")</f>
        <v/>
      </c>
      <c r="G151" s="14" t="str">
        <f>VLOOKUP(tab_Geral[[#This Row],[GeoCodigo]],tab_CETESB[],2,FALSE)</f>
        <v>Cruzeiro</v>
      </c>
      <c r="H151" s="14" t="str">
        <f>VLOOKUP(tab_Geral[[#This Row],[Informação 3]],tab_AgênciaAmbiental,10,FALSE)</f>
        <v>40</v>
      </c>
      <c r="I151" s="14" t="s">
        <v>149</v>
      </c>
      <c r="J151" s="18" t="s">
        <v>149</v>
      </c>
      <c r="K151" s="17"/>
      <c r="L151" s="17" t="s">
        <v>1921</v>
      </c>
      <c r="M151" s="17" t="s">
        <v>781</v>
      </c>
      <c r="N151" s="17" t="s">
        <v>782</v>
      </c>
      <c r="O151" s="17" t="s">
        <v>783</v>
      </c>
      <c r="P151" s="17" t="s">
        <v>784</v>
      </c>
      <c r="Q151" s="17" t="s">
        <v>785</v>
      </c>
      <c r="R151" s="17" t="s">
        <v>786</v>
      </c>
      <c r="S151" s="17" t="s">
        <v>787</v>
      </c>
      <c r="T151" s="15"/>
    </row>
    <row r="152" spans="1:20" x14ac:dyDescent="0.25">
      <c r="A152" s="14">
        <v>148</v>
      </c>
      <c r="B152" s="14">
        <v>3513504</v>
      </c>
      <c r="C152" s="14" t="str">
        <f>IF(ISERR(FIND("-",tab_Geral[[#This Row],[Municípios]],1)),"","Têm Hifen")</f>
        <v/>
      </c>
      <c r="D152" s="14" t="str">
        <f>IF(tab_Geral[[#This Row],[Informação 3]]&lt;&gt;"","","Não Registrado")</f>
        <v/>
      </c>
      <c r="E152" s="14" t="str">
        <f>IF(tab_Geral[[#This Row],[Municípios]]=tab_Geral[[#This Row],[Informação 1]],"","Não!, Erro!")</f>
        <v/>
      </c>
      <c r="F152" s="14" t="str">
        <f>IF(tab_Geral[[#This Row],[Municípios]]=tab_Geral[[#This Row],[Município]],"","Não!, Erro!")</f>
        <v/>
      </c>
      <c r="G152" s="14" t="str">
        <f>VLOOKUP(tab_Geral[[#This Row],[GeoCodigo]],tab_CETESB[],2,FALSE)</f>
        <v>Cubatão</v>
      </c>
      <c r="H152" s="14" t="str">
        <f>VLOOKUP(tab_Geral[[#This Row],[Informação 3]],tab_AgênciaAmbiental,10,FALSE)</f>
        <v>12</v>
      </c>
      <c r="I152" s="14" t="s">
        <v>150</v>
      </c>
      <c r="J152" s="18" t="s">
        <v>150</v>
      </c>
      <c r="K152" s="17"/>
      <c r="L152" s="17" t="s">
        <v>1893</v>
      </c>
      <c r="M152" s="17" t="s">
        <v>864</v>
      </c>
      <c r="N152" s="17" t="s">
        <v>865</v>
      </c>
      <c r="O152" s="17" t="s">
        <v>866</v>
      </c>
      <c r="P152" s="17" t="s">
        <v>867</v>
      </c>
      <c r="Q152" s="17" t="s">
        <v>868</v>
      </c>
      <c r="R152" s="17" t="s">
        <v>869</v>
      </c>
      <c r="S152" s="17" t="s">
        <v>870</v>
      </c>
      <c r="T152" s="15"/>
    </row>
    <row r="153" spans="1:20" x14ac:dyDescent="0.25">
      <c r="A153" s="14">
        <v>149</v>
      </c>
      <c r="B153" s="14">
        <v>3513603</v>
      </c>
      <c r="C153" s="14" t="str">
        <f>IF(ISERR(FIND("-",tab_Geral[[#This Row],[Municípios]],1)),"","Têm Hifen")</f>
        <v/>
      </c>
      <c r="D153" s="14" t="str">
        <f>IF(tab_Geral[[#This Row],[Informação 3]]&lt;&gt;"","","Não Registrado")</f>
        <v/>
      </c>
      <c r="E153" s="14" t="str">
        <f>IF(tab_Geral[[#This Row],[Municípios]]=tab_Geral[[#This Row],[Informação 1]],"","Não!, Erro!")</f>
        <v/>
      </c>
      <c r="F153" s="14" t="str">
        <f>IF(tab_Geral[[#This Row],[Municípios]]=tab_Geral[[#This Row],[Município]],"","Não!, Erro!")</f>
        <v/>
      </c>
      <c r="G153" s="14" t="str">
        <f>VLOOKUP(tab_Geral[[#This Row],[GeoCodigo]],tab_CETESB[],2,FALSE)</f>
        <v>Cunha</v>
      </c>
      <c r="H153" s="14" t="str">
        <f>VLOOKUP(tab_Geral[[#This Row],[Informação 3]],tab_AgênciaAmbiental,10,FALSE)</f>
        <v>40</v>
      </c>
      <c r="I153" s="14" t="s">
        <v>151</v>
      </c>
      <c r="J153" s="18" t="s">
        <v>151</v>
      </c>
      <c r="K153" s="17"/>
      <c r="L153" s="17" t="s">
        <v>1921</v>
      </c>
      <c r="M153" s="17" t="s">
        <v>781</v>
      </c>
      <c r="N153" s="17" t="s">
        <v>782</v>
      </c>
      <c r="O153" s="17" t="s">
        <v>783</v>
      </c>
      <c r="P153" s="17" t="s">
        <v>784</v>
      </c>
      <c r="Q153" s="17" t="s">
        <v>785</v>
      </c>
      <c r="R153" s="17" t="s">
        <v>786</v>
      </c>
      <c r="S153" s="17" t="s">
        <v>787</v>
      </c>
      <c r="T153" s="15"/>
    </row>
    <row r="154" spans="1:20" x14ac:dyDescent="0.25">
      <c r="A154" s="14">
        <v>150</v>
      </c>
      <c r="B154" s="14">
        <v>3513702</v>
      </c>
      <c r="C154" s="14" t="str">
        <f>IF(ISERR(FIND("-",tab_Geral[[#This Row],[Municípios]],1)),"","Têm Hifen")</f>
        <v/>
      </c>
      <c r="D154" s="14" t="str">
        <f>IF(tab_Geral[[#This Row],[Informação 3]]&lt;&gt;"","","Não Registrado")</f>
        <v/>
      </c>
      <c r="E154" s="14" t="str">
        <f>IF(tab_Geral[[#This Row],[Municípios]]=tab_Geral[[#This Row],[Informação 1]],"","Não!, Erro!")</f>
        <v/>
      </c>
      <c r="F154" s="14" t="str">
        <f>IF(tab_Geral[[#This Row],[Municípios]]=tab_Geral[[#This Row],[Município]],"","Não!, Erro!")</f>
        <v/>
      </c>
      <c r="G154" s="14" t="str">
        <f>VLOOKUP(tab_Geral[[#This Row],[GeoCodigo]],tab_CETESB[],2,FALSE)</f>
        <v>Descalvado</v>
      </c>
      <c r="H154" s="14" t="str">
        <f>VLOOKUP(tab_Geral[[#This Row],[Informação 3]],tab_AgênciaAmbiental,10,FALSE)</f>
        <v>34</v>
      </c>
      <c r="I154" s="14" t="s">
        <v>152</v>
      </c>
      <c r="J154" s="18" t="s">
        <v>152</v>
      </c>
      <c r="K154" s="17"/>
      <c r="L154" s="17" t="s">
        <v>1915</v>
      </c>
      <c r="M154" s="17" t="s">
        <v>877</v>
      </c>
      <c r="N154" s="17" t="s">
        <v>878</v>
      </c>
      <c r="O154" s="17" t="s">
        <v>879</v>
      </c>
      <c r="P154" s="17" t="s">
        <v>880</v>
      </c>
      <c r="Q154" s="17" t="s">
        <v>881</v>
      </c>
      <c r="R154" s="17" t="s">
        <v>882</v>
      </c>
      <c r="S154" s="17" t="s">
        <v>883</v>
      </c>
      <c r="T154" s="15"/>
    </row>
    <row r="155" spans="1:20" x14ac:dyDescent="0.25">
      <c r="A155" s="14">
        <v>151</v>
      </c>
      <c r="B155" s="14">
        <v>3513801</v>
      </c>
      <c r="C155" s="14" t="str">
        <f>IF(ISERR(FIND("-",tab_Geral[[#This Row],[Municípios]],1)),"","Têm Hifen")</f>
        <v/>
      </c>
      <c r="D155" s="14" t="str">
        <f>IF(tab_Geral[[#This Row],[Informação 3]]&lt;&gt;"","","Não Registrado")</f>
        <v/>
      </c>
      <c r="E155" s="14" t="str">
        <f>IF(tab_Geral[[#This Row],[Municípios]]=tab_Geral[[#This Row],[Informação 1]],"","Não!, Erro!")</f>
        <v/>
      </c>
      <c r="F155" s="14" t="str">
        <f>IF(tab_Geral[[#This Row],[Municípios]]=tab_Geral[[#This Row],[Município]],"","Não!, Erro!")</f>
        <v/>
      </c>
      <c r="G155" s="14" t="str">
        <f>VLOOKUP(tab_Geral[[#This Row],[GeoCodigo]],tab_CETESB[],2,FALSE)</f>
        <v>Diadema</v>
      </c>
      <c r="H155" s="14" t="str">
        <f>VLOOKUP(tab_Geral[[#This Row],[Informação 3]],tab_AgênciaAmbiental,10,FALSE)</f>
        <v>43</v>
      </c>
      <c r="I155" s="14" t="s">
        <v>153</v>
      </c>
      <c r="J155" s="18" t="s">
        <v>153</v>
      </c>
      <c r="K155" s="17"/>
      <c r="L155" s="17" t="s">
        <v>1924</v>
      </c>
      <c r="M155" s="17" t="s">
        <v>919</v>
      </c>
      <c r="N155" s="17" t="s">
        <v>920</v>
      </c>
      <c r="O155" s="17" t="s">
        <v>921</v>
      </c>
      <c r="P155" s="17" t="s">
        <v>922</v>
      </c>
      <c r="Q155" s="17" t="s">
        <v>923</v>
      </c>
      <c r="R155" s="17" t="s">
        <v>924</v>
      </c>
      <c r="S155" s="17" t="s">
        <v>925</v>
      </c>
      <c r="T155" s="15"/>
    </row>
    <row r="156" spans="1:20" x14ac:dyDescent="0.25">
      <c r="A156" s="14">
        <v>152</v>
      </c>
      <c r="B156" s="14">
        <v>3513850</v>
      </c>
      <c r="C156" s="14" t="str">
        <f>IF(ISERR(FIND("-",tab_Geral[[#This Row],[Municípios]],1)),"","Têm Hifen")</f>
        <v/>
      </c>
      <c r="D156" s="14" t="str">
        <f>IF(tab_Geral[[#This Row],[Informação 3]]&lt;&gt;"","","Não Registrado")</f>
        <v/>
      </c>
      <c r="E156" s="14" t="str">
        <f>IF(tab_Geral[[#This Row],[Municípios]]=tab_Geral[[#This Row],[Informação 1]],"","Não!, Erro!")</f>
        <v/>
      </c>
      <c r="F156" s="14" t="str">
        <f>IF(tab_Geral[[#This Row],[Municípios]]=tab_Geral[[#This Row],[Município]],"","Não!, Erro!")</f>
        <v/>
      </c>
      <c r="G156" s="14" t="str">
        <f>VLOOKUP(tab_Geral[[#This Row],[GeoCodigo]],tab_CETESB[],2,FALSE)</f>
        <v>Dirce Reis</v>
      </c>
      <c r="H156" s="14" t="str">
        <f>VLOOKUP(tab_Geral[[#This Row],[Informação 3]],tab_AgênciaAmbiental,10,FALSE)</f>
        <v>20</v>
      </c>
      <c r="I156" s="14" t="s">
        <v>154</v>
      </c>
      <c r="J156" s="18" t="s">
        <v>154</v>
      </c>
      <c r="K156" s="17"/>
      <c r="L156" s="17" t="s">
        <v>1901</v>
      </c>
      <c r="M156" s="17" t="s">
        <v>788</v>
      </c>
      <c r="N156" s="17" t="s">
        <v>789</v>
      </c>
      <c r="O156" s="17" t="s">
        <v>790</v>
      </c>
      <c r="P156" s="17" t="s">
        <v>791</v>
      </c>
      <c r="Q156" s="17" t="s">
        <v>792</v>
      </c>
      <c r="R156" s="17" t="s">
        <v>793</v>
      </c>
      <c r="S156" s="17" t="s">
        <v>794</v>
      </c>
      <c r="T156" s="15"/>
    </row>
    <row r="157" spans="1:20" x14ac:dyDescent="0.25">
      <c r="A157" s="14">
        <v>153</v>
      </c>
      <c r="B157" s="14">
        <v>3513900</v>
      </c>
      <c r="C157" s="14" t="str">
        <f>IF(ISERR(FIND("-",tab_Geral[[#This Row],[Municípios]],1)),"","Têm Hifen")</f>
        <v/>
      </c>
      <c r="D157" s="14" t="str">
        <f>IF(tab_Geral[[#This Row],[Informação 3]]&lt;&gt;"","","Não Registrado")</f>
        <v/>
      </c>
      <c r="E157" s="14" t="str">
        <f>IF(tab_Geral[[#This Row],[Municípios]]=tab_Geral[[#This Row],[Informação 1]],"","Não!, Erro!")</f>
        <v/>
      </c>
      <c r="F157" s="14" t="str">
        <f>IF(tab_Geral[[#This Row],[Municípios]]=tab_Geral[[#This Row],[Município]],"","Não!, Erro!")</f>
        <v/>
      </c>
      <c r="G157" s="14" t="str">
        <f>VLOOKUP(tab_Geral[[#This Row],[GeoCodigo]],tab_CETESB[],2,FALSE)</f>
        <v>Divinolândia</v>
      </c>
      <c r="H157" s="14" t="str">
        <f>VLOOKUP(tab_Geral[[#This Row],[Informação 3]],tab_AgênciaAmbiental,10,FALSE)</f>
        <v>35</v>
      </c>
      <c r="I157" s="14" t="s">
        <v>155</v>
      </c>
      <c r="J157" s="18" t="s">
        <v>155</v>
      </c>
      <c r="K157" s="17"/>
      <c r="L157" s="17" t="s">
        <v>1916</v>
      </c>
      <c r="M157" s="17" t="s">
        <v>676</v>
      </c>
      <c r="N157" s="17" t="s">
        <v>657</v>
      </c>
      <c r="O157" s="17" t="s">
        <v>677</v>
      </c>
      <c r="P157" s="17" t="s">
        <v>678</v>
      </c>
      <c r="Q157" s="17" t="s">
        <v>679</v>
      </c>
      <c r="R157" s="17" t="s">
        <v>680</v>
      </c>
      <c r="S157" s="17" t="s">
        <v>937</v>
      </c>
    </row>
    <row r="158" spans="1:20" x14ac:dyDescent="0.25">
      <c r="A158" s="14">
        <v>154</v>
      </c>
      <c r="B158" s="14">
        <v>3514007</v>
      </c>
      <c r="C158" s="14" t="str">
        <f>IF(ISERR(FIND("-",tab_Geral[[#This Row],[Municípios]],1)),"","Têm Hifen")</f>
        <v/>
      </c>
      <c r="D158" s="14" t="str">
        <f>IF(tab_Geral[[#This Row],[Informação 3]]&lt;&gt;"","","Não Registrado")</f>
        <v/>
      </c>
      <c r="E158" s="14" t="str">
        <f>IF(tab_Geral[[#This Row],[Municípios]]=tab_Geral[[#This Row],[Informação 1]],"","Não!, Erro!")</f>
        <v/>
      </c>
      <c r="F158" s="14" t="str">
        <f>IF(tab_Geral[[#This Row],[Municípios]]=tab_Geral[[#This Row],[Município]],"","Não!, Erro!")</f>
        <v/>
      </c>
      <c r="G158" s="14" t="str">
        <f>VLOOKUP(tab_Geral[[#This Row],[GeoCodigo]],tab_CETESB[],2,FALSE)</f>
        <v>Dobrada</v>
      </c>
      <c r="H158" s="14" t="str">
        <f>VLOOKUP(tab_Geral[[#This Row],[Informação 3]],tab_AgênciaAmbiental,10,FALSE)</f>
        <v>3</v>
      </c>
      <c r="I158" s="14" t="s">
        <v>156</v>
      </c>
      <c r="J158" s="18" t="s">
        <v>156</v>
      </c>
      <c r="K158" s="17"/>
      <c r="L158" s="17" t="s">
        <v>1884</v>
      </c>
      <c r="M158" s="17" t="s">
        <v>760</v>
      </c>
      <c r="N158" s="17" t="s">
        <v>761</v>
      </c>
      <c r="O158" s="17" t="s">
        <v>762</v>
      </c>
      <c r="P158" s="17" t="s">
        <v>763</v>
      </c>
      <c r="Q158" s="17" t="s">
        <v>764</v>
      </c>
      <c r="R158" s="17" t="s">
        <v>765</v>
      </c>
      <c r="S158" s="17" t="s">
        <v>766</v>
      </c>
      <c r="T158" s="15"/>
    </row>
    <row r="159" spans="1:20" x14ac:dyDescent="0.25">
      <c r="A159" s="14">
        <v>155</v>
      </c>
      <c r="B159" s="14">
        <v>3514106</v>
      </c>
      <c r="C159" s="14" t="str">
        <f>IF(ISERR(FIND("-",tab_Geral[[#This Row],[Municípios]],1)),"","Têm Hifen")</f>
        <v/>
      </c>
      <c r="D159" s="14" t="str">
        <f>IF(tab_Geral[[#This Row],[Informação 3]]&lt;&gt;"","","Não Registrado")</f>
        <v/>
      </c>
      <c r="E159" s="14" t="str">
        <f>IF(tab_Geral[[#This Row],[Municípios]]=tab_Geral[[#This Row],[Informação 1]],"","Não!, Erro!")</f>
        <v/>
      </c>
      <c r="F159" s="14" t="str">
        <f>IF(tab_Geral[[#This Row],[Municípios]]=tab_Geral[[#This Row],[Município]],"","Não!, Erro!")</f>
        <v/>
      </c>
      <c r="G159" s="14" t="str">
        <f>VLOOKUP(tab_Geral[[#This Row],[GeoCodigo]],tab_CETESB[],2,FALSE)</f>
        <v>Dois Córregos</v>
      </c>
      <c r="H159" s="14" t="str">
        <f>VLOOKUP(tab_Geral[[#This Row],[Informação 3]],tab_AgênciaAmbiental,10,FALSE)</f>
        <v>8</v>
      </c>
      <c r="I159" s="14" t="s">
        <v>157</v>
      </c>
      <c r="J159" s="18" t="s">
        <v>157</v>
      </c>
      <c r="K159" s="17"/>
      <c r="L159" s="17" t="s">
        <v>1889</v>
      </c>
      <c r="M159" s="17" t="s">
        <v>694</v>
      </c>
      <c r="N159" s="17" t="s">
        <v>695</v>
      </c>
      <c r="O159" s="17" t="s">
        <v>696</v>
      </c>
      <c r="P159" s="17" t="s">
        <v>697</v>
      </c>
      <c r="Q159" s="17" t="s">
        <v>698</v>
      </c>
      <c r="R159" s="17" t="s">
        <v>699</v>
      </c>
      <c r="S159" s="17" t="s">
        <v>700</v>
      </c>
      <c r="T159" s="15"/>
    </row>
    <row r="160" spans="1:20" x14ac:dyDescent="0.25">
      <c r="A160" s="14">
        <v>156</v>
      </c>
      <c r="B160" s="14">
        <v>3514205</v>
      </c>
      <c r="C160" s="14" t="str">
        <f>IF(ISERR(FIND("-",tab_Geral[[#This Row],[Municípios]],1)),"","Têm Hifen")</f>
        <v/>
      </c>
      <c r="D160" s="14" t="str">
        <f>IF(tab_Geral[[#This Row],[Informação 3]]&lt;&gt;"","","Não Registrado")</f>
        <v/>
      </c>
      <c r="E160" s="14" t="str">
        <f>IF(tab_Geral[[#This Row],[Municípios]]=tab_Geral[[#This Row],[Informação 1]],"","Não!, Erro!")</f>
        <v/>
      </c>
      <c r="F160" s="14" t="str">
        <f>IF(tab_Geral[[#This Row],[Municípios]]=tab_Geral[[#This Row],[Município]],"","Não!, Erro!")</f>
        <v/>
      </c>
      <c r="G160" s="14" t="str">
        <f>VLOOKUP(tab_Geral[[#This Row],[GeoCodigo]],tab_CETESB[],2,FALSE)</f>
        <v>Dolcinópolis</v>
      </c>
      <c r="H160" s="14" t="str">
        <f>VLOOKUP(tab_Geral[[#This Row],[Informação 3]],tab_AgênciaAmbiental,10,FALSE)</f>
        <v>20</v>
      </c>
      <c r="I160" s="14" t="s">
        <v>158</v>
      </c>
      <c r="J160" s="18" t="s">
        <v>158</v>
      </c>
      <c r="K160" s="17"/>
      <c r="L160" s="17" t="s">
        <v>1901</v>
      </c>
      <c r="M160" s="17" t="s">
        <v>788</v>
      </c>
      <c r="N160" s="17" t="s">
        <v>789</v>
      </c>
      <c r="O160" s="17" t="s">
        <v>790</v>
      </c>
      <c r="P160" s="17" t="s">
        <v>791</v>
      </c>
      <c r="Q160" s="17" t="s">
        <v>792</v>
      </c>
      <c r="R160" s="17" t="s">
        <v>793</v>
      </c>
      <c r="S160" s="17" t="s">
        <v>794</v>
      </c>
      <c r="T160" s="15"/>
    </row>
    <row r="161" spans="1:20" x14ac:dyDescent="0.25">
      <c r="A161" s="14">
        <v>157</v>
      </c>
      <c r="B161" s="14">
        <v>3514304</v>
      </c>
      <c r="C161" s="14" t="str">
        <f>IF(ISERR(FIND("-",tab_Geral[[#This Row],[Municípios]],1)),"","Têm Hifen")</f>
        <v/>
      </c>
      <c r="D161" s="14" t="str">
        <f>IF(tab_Geral[[#This Row],[Informação 3]]&lt;&gt;"","","Não Registrado")</f>
        <v/>
      </c>
      <c r="E161" s="14" t="str">
        <f>IF(tab_Geral[[#This Row],[Municípios]]=tab_Geral[[#This Row],[Informação 1]],"","Não!, Erro!")</f>
        <v/>
      </c>
      <c r="F161" s="14" t="str">
        <f>IF(tab_Geral[[#This Row],[Municípios]]=tab_Geral[[#This Row],[Município]],"","Não!, Erro!")</f>
        <v/>
      </c>
      <c r="G161" s="14" t="str">
        <f>VLOOKUP(tab_Geral[[#This Row],[GeoCodigo]],tab_CETESB[],2,FALSE)</f>
        <v>Dourado</v>
      </c>
      <c r="H161" s="14" t="str">
        <f>VLOOKUP(tab_Geral[[#This Row],[Informação 3]],tab_AgênciaAmbiental,10,FALSE)</f>
        <v>34</v>
      </c>
      <c r="I161" s="14" t="s">
        <v>159</v>
      </c>
      <c r="J161" s="18" t="s">
        <v>159</v>
      </c>
      <c r="K161" s="17"/>
      <c r="L161" s="17" t="s">
        <v>1915</v>
      </c>
      <c r="M161" s="17" t="s">
        <v>877</v>
      </c>
      <c r="N161" s="17" t="s">
        <v>878</v>
      </c>
      <c r="O161" s="17" t="s">
        <v>879</v>
      </c>
      <c r="P161" s="17" t="s">
        <v>880</v>
      </c>
      <c r="Q161" s="17" t="s">
        <v>881</v>
      </c>
      <c r="R161" s="17" t="s">
        <v>882</v>
      </c>
      <c r="S161" s="17" t="s">
        <v>883</v>
      </c>
      <c r="T161" s="15"/>
    </row>
    <row r="162" spans="1:20" x14ac:dyDescent="0.25">
      <c r="A162" s="14">
        <v>158</v>
      </c>
      <c r="B162" s="14">
        <v>3514403</v>
      </c>
      <c r="C162" s="14" t="str">
        <f>IF(ISERR(FIND("-",tab_Geral[[#This Row],[Municípios]],1)),"","Têm Hifen")</f>
        <v/>
      </c>
      <c r="D162" s="14" t="str">
        <f>IF(tab_Geral[[#This Row],[Informação 3]]&lt;&gt;"","","Não Registrado")</f>
        <v/>
      </c>
      <c r="E162" s="14" t="str">
        <f>IF(tab_Geral[[#This Row],[Municípios]]=tab_Geral[[#This Row],[Informação 1]],"","Não!, Erro!")</f>
        <v/>
      </c>
      <c r="F162" s="14" t="str">
        <f>IF(tab_Geral[[#This Row],[Municípios]]=tab_Geral[[#This Row],[Município]],"","Não!, Erro!")</f>
        <v/>
      </c>
      <c r="G162" s="14" t="str">
        <f>VLOOKUP(tab_Geral[[#This Row],[GeoCodigo]],tab_CETESB[],2,FALSE)</f>
        <v>Dracena</v>
      </c>
      <c r="H162" s="14" t="str">
        <f>VLOOKUP(tab_Geral[[#This Row],[Informação 3]],tab_AgênciaAmbiental,10,FALSE)</f>
        <v>13</v>
      </c>
      <c r="I162" s="14" t="s">
        <v>160</v>
      </c>
      <c r="J162" s="18" t="s">
        <v>160</v>
      </c>
      <c r="K162" s="17"/>
      <c r="L162" s="17" t="s">
        <v>1894</v>
      </c>
      <c r="M162" s="17" t="s">
        <v>656</v>
      </c>
      <c r="N162" s="17" t="s">
        <v>657</v>
      </c>
      <c r="O162" s="17" t="s">
        <v>658</v>
      </c>
      <c r="P162" s="17" t="s">
        <v>659</v>
      </c>
      <c r="Q162" s="17" t="s">
        <v>660</v>
      </c>
      <c r="R162" s="17" t="s">
        <v>661</v>
      </c>
      <c r="S162" s="17" t="s">
        <v>662</v>
      </c>
      <c r="T162" s="15"/>
    </row>
    <row r="163" spans="1:20" x14ac:dyDescent="0.25">
      <c r="A163" s="14">
        <v>159</v>
      </c>
      <c r="B163" s="14">
        <v>3514502</v>
      </c>
      <c r="C163" s="14" t="str">
        <f>IF(ISERR(FIND("-",tab_Geral[[#This Row],[Municípios]],1)),"","Têm Hifen")</f>
        <v/>
      </c>
      <c r="D163" s="14" t="str">
        <f>IF(tab_Geral[[#This Row],[Informação 3]]&lt;&gt;"","","Não Registrado")</f>
        <v/>
      </c>
      <c r="E163" s="14" t="str">
        <f>IF(tab_Geral[[#This Row],[Municípios]]=tab_Geral[[#This Row],[Informação 1]],"","Não!, Erro!")</f>
        <v/>
      </c>
      <c r="F163" s="14" t="str">
        <f>IF(tab_Geral[[#This Row],[Municípios]]=tab_Geral[[#This Row],[Município]],"","Não!, Erro!")</f>
        <v/>
      </c>
      <c r="G163" s="14" t="str">
        <f>VLOOKUP(tab_Geral[[#This Row],[GeoCodigo]],tab_CETESB[],2,FALSE)</f>
        <v>Duartina</v>
      </c>
      <c r="H163" s="14" t="str">
        <f>VLOOKUP(tab_Geral[[#This Row],[Informação 3]],tab_AgênciaAmbiental,10,FALSE)</f>
        <v>8</v>
      </c>
      <c r="I163" s="14" t="s">
        <v>161</v>
      </c>
      <c r="J163" s="18" t="s">
        <v>161</v>
      </c>
      <c r="K163" s="17"/>
      <c r="L163" s="17" t="s">
        <v>1889</v>
      </c>
      <c r="M163" s="17" t="s">
        <v>694</v>
      </c>
      <c r="N163" s="17" t="s">
        <v>695</v>
      </c>
      <c r="O163" s="17" t="s">
        <v>696</v>
      </c>
      <c r="P163" s="17" t="s">
        <v>697</v>
      </c>
      <c r="Q163" s="17" t="s">
        <v>698</v>
      </c>
      <c r="R163" s="17" t="s">
        <v>699</v>
      </c>
      <c r="S163" s="17" t="s">
        <v>700</v>
      </c>
      <c r="T163" s="15"/>
    </row>
    <row r="164" spans="1:20" x14ac:dyDescent="0.25">
      <c r="A164" s="14">
        <v>160</v>
      </c>
      <c r="B164" s="14">
        <v>3514601</v>
      </c>
      <c r="C164" s="14" t="str">
        <f>IF(ISERR(FIND("-",tab_Geral[[#This Row],[Municípios]],1)),"","Têm Hifen")</f>
        <v/>
      </c>
      <c r="D164" s="14" t="str">
        <f>IF(tab_Geral[[#This Row],[Informação 3]]&lt;&gt;"","","Não Registrado")</f>
        <v/>
      </c>
      <c r="E164" s="14" t="str">
        <f>IF(tab_Geral[[#This Row],[Municípios]]=tab_Geral[[#This Row],[Informação 1]],"","Não!, Erro!")</f>
        <v/>
      </c>
      <c r="F164" s="14" t="str">
        <f>IF(tab_Geral[[#This Row],[Municípios]]=tab_Geral[[#This Row],[Município]],"","Não!, Erro!")</f>
        <v/>
      </c>
      <c r="G164" s="14" t="str">
        <f>VLOOKUP(tab_Geral[[#This Row],[GeoCodigo]],tab_CETESB[],2,FALSE)</f>
        <v>Dumont</v>
      </c>
      <c r="H164" s="14" t="str">
        <f>VLOOKUP(tab_Geral[[#This Row],[Informação 3]],tab_AgênciaAmbiental,10,FALSE)</f>
        <v>19</v>
      </c>
      <c r="I164" s="14" t="s">
        <v>162</v>
      </c>
      <c r="J164" s="18" t="s">
        <v>162</v>
      </c>
      <c r="K164" s="17"/>
      <c r="L164" s="17" t="s">
        <v>1900</v>
      </c>
      <c r="M164" s="17" t="s">
        <v>850</v>
      </c>
      <c r="N164" s="17" t="s">
        <v>851</v>
      </c>
      <c r="O164" s="17" t="s">
        <v>852</v>
      </c>
      <c r="P164" s="17" t="s">
        <v>853</v>
      </c>
      <c r="Q164" s="17" t="s">
        <v>854</v>
      </c>
      <c r="R164" s="17" t="s">
        <v>855</v>
      </c>
      <c r="S164" s="17" t="s">
        <v>856</v>
      </c>
      <c r="T164" s="15"/>
    </row>
    <row r="165" spans="1:20" x14ac:dyDescent="0.25">
      <c r="A165" s="14">
        <v>161</v>
      </c>
      <c r="B165" s="14">
        <v>3514700</v>
      </c>
      <c r="C165" s="14" t="str">
        <f>IF(ISERR(FIND("-",tab_Geral[[#This Row],[Municípios]],1)),"","Têm Hifen")</f>
        <v/>
      </c>
      <c r="D165" s="14" t="str">
        <f>IF(tab_Geral[[#This Row],[Informação 3]]&lt;&gt;"","","Não Registrado")</f>
        <v/>
      </c>
      <c r="E165" s="14" t="str">
        <f>IF(tab_Geral[[#This Row],[Municípios]]=tab_Geral[[#This Row],[Informação 1]],"","Não!, Erro!")</f>
        <v/>
      </c>
      <c r="F165" s="14" t="str">
        <f>IF(tab_Geral[[#This Row],[Municípios]]=tab_Geral[[#This Row],[Município]],"","Não!, Erro!")</f>
        <v/>
      </c>
      <c r="G165" s="14" t="str">
        <f>VLOOKUP(tab_Geral[[#This Row],[GeoCodigo]],tab_CETESB[],2,FALSE)</f>
        <v>Echaporã</v>
      </c>
      <c r="H165" s="14" t="str">
        <f>VLOOKUP(tab_Geral[[#This Row],[Informação 3]],tab_AgênciaAmbiental,10,FALSE)</f>
        <v>4</v>
      </c>
      <c r="I165" s="14" t="s">
        <v>163</v>
      </c>
      <c r="J165" s="18" t="s">
        <v>163</v>
      </c>
      <c r="K165" s="17"/>
      <c r="L165" s="17" t="s">
        <v>1885</v>
      </c>
      <c r="M165" s="17" t="s">
        <v>830</v>
      </c>
      <c r="N165" s="17" t="s">
        <v>831</v>
      </c>
      <c r="O165" s="17" t="s">
        <v>832</v>
      </c>
      <c r="P165" s="17" t="s">
        <v>833</v>
      </c>
      <c r="Q165" s="17" t="s">
        <v>834</v>
      </c>
      <c r="R165" s="17" t="s">
        <v>835</v>
      </c>
      <c r="S165" s="17" t="s">
        <v>836</v>
      </c>
      <c r="T165" s="15"/>
    </row>
    <row r="166" spans="1:20" x14ac:dyDescent="0.25">
      <c r="A166" s="14">
        <v>162</v>
      </c>
      <c r="B166" s="14">
        <v>3514809</v>
      </c>
      <c r="C166" s="14" t="str">
        <f>IF(ISERR(FIND("-",tab_Geral[[#This Row],[Municípios]],1)),"","Têm Hifen")</f>
        <v/>
      </c>
      <c r="D166" s="14" t="str">
        <f>IF(tab_Geral[[#This Row],[Informação 3]]&lt;&gt;"","","Não Registrado")</f>
        <v/>
      </c>
      <c r="E166" s="14" t="str">
        <f>IF(tab_Geral[[#This Row],[Municípios]]=tab_Geral[[#This Row],[Informação 1]],"","Não!, Erro!")</f>
        <v/>
      </c>
      <c r="F166" s="14" t="str">
        <f>IF(tab_Geral[[#This Row],[Municípios]]=tab_Geral[[#This Row],[Município]],"","Não!, Erro!")</f>
        <v/>
      </c>
      <c r="G166" s="14" t="str">
        <f>VLOOKUP(tab_Geral[[#This Row],[GeoCodigo]],tab_CETESB[],2,FALSE)</f>
        <v>Eldorado</v>
      </c>
      <c r="H166" s="14" t="str">
        <f>VLOOKUP(tab_Geral[[#This Row],[Informação 3]],tab_AgênciaAmbiental,10,FALSE)</f>
        <v>30</v>
      </c>
      <c r="I166" s="14" t="s">
        <v>164</v>
      </c>
      <c r="J166" s="18" t="s">
        <v>164</v>
      </c>
      <c r="K166" s="17"/>
      <c r="L166" s="17" t="s">
        <v>1911</v>
      </c>
      <c r="M166" s="17" t="s">
        <v>843</v>
      </c>
      <c r="N166" s="17" t="s">
        <v>844</v>
      </c>
      <c r="O166" s="17" t="s">
        <v>845</v>
      </c>
      <c r="P166" s="17" t="s">
        <v>846</v>
      </c>
      <c r="Q166" s="17" t="s">
        <v>847</v>
      </c>
      <c r="R166" s="17" t="s">
        <v>848</v>
      </c>
      <c r="S166" s="17" t="s">
        <v>849</v>
      </c>
      <c r="T166" s="15"/>
    </row>
    <row r="167" spans="1:20" x14ac:dyDescent="0.25">
      <c r="A167" s="14">
        <v>163</v>
      </c>
      <c r="B167" s="14">
        <v>3514908</v>
      </c>
      <c r="C167" s="14" t="str">
        <f>IF(ISERR(FIND("-",tab_Geral[[#This Row],[Municípios]],1)),"","Têm Hifen")</f>
        <v/>
      </c>
      <c r="D167" s="14" t="str">
        <f>IF(tab_Geral[[#This Row],[Informação 3]]&lt;&gt;"","","Não Registrado")</f>
        <v/>
      </c>
      <c r="E167" s="14" t="str">
        <f>IF(tab_Geral[[#This Row],[Municípios]]=tab_Geral[[#This Row],[Informação 1]],"","Não!, Erro!")</f>
        <v/>
      </c>
      <c r="F167" s="14" t="str">
        <f>IF(tab_Geral[[#This Row],[Municípios]]=tab_Geral[[#This Row],[Município]],"","Não!, Erro!")</f>
        <v/>
      </c>
      <c r="G167" s="14" t="str">
        <f>VLOOKUP(tab_Geral[[#This Row],[GeoCodigo]],tab_CETESB[],2,FALSE)</f>
        <v>Elias Fausto</v>
      </c>
      <c r="H167" s="14" t="str">
        <f>VLOOKUP(tab_Geral[[#This Row],[Informação 3]],tab_AgênciaAmbiental,10,FALSE)</f>
        <v>10</v>
      </c>
      <c r="I167" s="14" t="s">
        <v>165</v>
      </c>
      <c r="J167" s="18" t="s">
        <v>165</v>
      </c>
      <c r="K167" s="17"/>
      <c r="L167" s="17" t="s">
        <v>1891</v>
      </c>
      <c r="M167" s="17" t="s">
        <v>898</v>
      </c>
      <c r="N167" s="17" t="s">
        <v>899</v>
      </c>
      <c r="O167" s="17" t="s">
        <v>900</v>
      </c>
      <c r="P167" s="17" t="s">
        <v>901</v>
      </c>
      <c r="Q167" s="17" t="s">
        <v>902</v>
      </c>
      <c r="R167" s="17" t="s">
        <v>903</v>
      </c>
      <c r="S167" s="17" t="s">
        <v>904</v>
      </c>
      <c r="T167" s="15"/>
    </row>
    <row r="168" spans="1:20" x14ac:dyDescent="0.25">
      <c r="A168" s="14">
        <v>164</v>
      </c>
      <c r="B168" s="14">
        <v>3514924</v>
      </c>
      <c r="C168" s="14" t="str">
        <f>IF(ISERR(FIND("-",tab_Geral[[#This Row],[Municípios]],1)),"","Têm Hifen")</f>
        <v/>
      </c>
      <c r="D168" s="14" t="str">
        <f>IF(tab_Geral[[#This Row],[Informação 3]]&lt;&gt;"","","Não Registrado")</f>
        <v/>
      </c>
      <c r="E168" s="14" t="str">
        <f>IF(tab_Geral[[#This Row],[Municípios]]=tab_Geral[[#This Row],[Informação 1]],"","Não!, Erro!")</f>
        <v/>
      </c>
      <c r="F168" s="14" t="str">
        <f>IF(tab_Geral[[#This Row],[Municípios]]=tab_Geral[[#This Row],[Município]],"","Não!, Erro!")</f>
        <v/>
      </c>
      <c r="G168" s="14" t="str">
        <f>VLOOKUP(tab_Geral[[#This Row],[GeoCodigo]],tab_CETESB[],2,FALSE)</f>
        <v>Elisiário</v>
      </c>
      <c r="H168" s="14" t="str">
        <f>VLOOKUP(tab_Geral[[#This Row],[Informação 3]],tab_AgênciaAmbiental,10,FALSE)</f>
        <v>36</v>
      </c>
      <c r="I168" s="14" t="s">
        <v>166</v>
      </c>
      <c r="J168" s="18" t="s">
        <v>166</v>
      </c>
      <c r="K168" s="17"/>
      <c r="L168" s="17" t="s">
        <v>1917</v>
      </c>
      <c r="M168" s="17" t="s">
        <v>663</v>
      </c>
      <c r="N168" s="17" t="s">
        <v>664</v>
      </c>
      <c r="O168" s="17" t="s">
        <v>665</v>
      </c>
      <c r="P168" s="17" t="s">
        <v>666</v>
      </c>
      <c r="Q168" s="17" t="s">
        <v>667</v>
      </c>
      <c r="R168" s="17" t="s">
        <v>668</v>
      </c>
      <c r="S168" s="17" t="s">
        <v>938</v>
      </c>
    </row>
    <row r="169" spans="1:20" x14ac:dyDescent="0.25">
      <c r="A169" s="14">
        <v>165</v>
      </c>
      <c r="B169" s="14">
        <v>3514957</v>
      </c>
      <c r="C169" s="14" t="str">
        <f>IF(ISERR(FIND("-",tab_Geral[[#This Row],[Municípios]],1)),"","Têm Hifen")</f>
        <v/>
      </c>
      <c r="D169" s="14" t="str">
        <f>IF(tab_Geral[[#This Row],[Informação 3]]&lt;&gt;"","","Não Registrado")</f>
        <v/>
      </c>
      <c r="E169" s="14" t="str">
        <f>IF(tab_Geral[[#This Row],[Municípios]]=tab_Geral[[#This Row],[Informação 1]],"","Não!, Erro!")</f>
        <v/>
      </c>
      <c r="F169" s="14" t="str">
        <f>IF(tab_Geral[[#This Row],[Municípios]]=tab_Geral[[#This Row],[Município]],"","Não!, Erro!")</f>
        <v/>
      </c>
      <c r="G169" s="14" t="str">
        <f>VLOOKUP(tab_Geral[[#This Row],[GeoCodigo]],tab_CETESB[],2,FALSE)</f>
        <v>Embaúba</v>
      </c>
      <c r="H169" s="14" t="str">
        <f>VLOOKUP(tab_Geral[[#This Row],[Informação 3]],tab_AgênciaAmbiental,10,FALSE)</f>
        <v>7</v>
      </c>
      <c r="I169" s="14" t="s">
        <v>167</v>
      </c>
      <c r="J169" s="18" t="s">
        <v>167</v>
      </c>
      <c r="K169" s="17"/>
      <c r="L169" s="17" t="s">
        <v>1888</v>
      </c>
      <c r="M169" s="17" t="s">
        <v>713</v>
      </c>
      <c r="N169" s="17" t="s">
        <v>714</v>
      </c>
      <c r="O169" s="17" t="s">
        <v>715</v>
      </c>
      <c r="P169" s="17" t="s">
        <v>716</v>
      </c>
      <c r="Q169" s="17" t="s">
        <v>717</v>
      </c>
      <c r="R169" s="17" t="s">
        <v>718</v>
      </c>
      <c r="S169" s="17" t="s">
        <v>719</v>
      </c>
      <c r="T169" s="15"/>
    </row>
    <row r="170" spans="1:20" x14ac:dyDescent="0.25">
      <c r="A170" s="14">
        <v>630</v>
      </c>
      <c r="B170" s="14">
        <v>3515004</v>
      </c>
      <c r="C170" s="14" t="str">
        <f>IF(ISERR(FIND("-",tab_Geral[[#This Row],[Municípios]],1)),"","Têm Hifen")</f>
        <v/>
      </c>
      <c r="D170" s="14" t="str">
        <f>IF(tab_Geral[[#This Row],[Informação 3]]&lt;&gt;"","","Não Registrado")</f>
        <v/>
      </c>
      <c r="E170" s="14" t="str">
        <f>IF(tab_Geral[[#This Row],[Municípios]]=tab_Geral[[#This Row],[Informação 1]],"","Não!, Erro!")</f>
        <v/>
      </c>
      <c r="F170" s="14" t="str">
        <f>IF(tab_Geral[[#This Row],[Municípios]]=tab_Geral[[#This Row],[Município]],"","Não!, Erro!")</f>
        <v>Não!, Erro!</v>
      </c>
      <c r="G170" s="14" t="str">
        <f>VLOOKUP(tab_Geral[[#This Row],[GeoCodigo]],tab_CETESB[],2,FALSE)</f>
        <v>Embu</v>
      </c>
      <c r="H170" s="14" t="str">
        <f>VLOOKUP(tab_Geral[[#This Row],[Informação 3]],tab_AgênciaAmbiental,10,FALSE)</f>
        <v>14</v>
      </c>
      <c r="I170" s="14" t="s">
        <v>168</v>
      </c>
      <c r="J170" s="18" t="s">
        <v>168</v>
      </c>
      <c r="K170" s="17"/>
      <c r="L170" s="17" t="s">
        <v>1895</v>
      </c>
      <c r="M170" s="17" t="s">
        <v>912</v>
      </c>
      <c r="N170" s="17" t="s">
        <v>913</v>
      </c>
      <c r="O170" s="17" t="s">
        <v>914</v>
      </c>
      <c r="P170" s="17" t="s">
        <v>915</v>
      </c>
      <c r="Q170" s="17" t="s">
        <v>916</v>
      </c>
      <c r="R170" s="17" t="s">
        <v>917</v>
      </c>
      <c r="S170" s="17" t="s">
        <v>918</v>
      </c>
      <c r="T170" s="15"/>
    </row>
    <row r="171" spans="1:20" x14ac:dyDescent="0.25">
      <c r="A171" s="14">
        <v>643</v>
      </c>
      <c r="B171" s="14">
        <v>3515103</v>
      </c>
      <c r="C171" s="14" t="str">
        <f>IF(ISERR(FIND("-",tab_Geral[[#This Row],[Municípios]],1)),"","Têm Hifen")</f>
        <v>Têm Hifen</v>
      </c>
      <c r="D171" s="14" t="str">
        <f>IF(tab_Geral[[#This Row],[Informação 3]]&lt;&gt;"","","Não Registrado")</f>
        <v/>
      </c>
      <c r="E171" s="14" t="str">
        <f>IF(tab_Geral[[#This Row],[Municípios]]=tab_Geral[[#This Row],[Informação 1]],"","Não!, Erro!")</f>
        <v/>
      </c>
      <c r="F171" s="14" t="str">
        <f>IF(tab_Geral[[#This Row],[Municípios]]=tab_Geral[[#This Row],[Município]],"","Não!, Erro!")</f>
        <v/>
      </c>
      <c r="G171" s="14" t="str">
        <f>VLOOKUP(tab_Geral[[#This Row],[GeoCodigo]],tab_CETESB[],2,FALSE)</f>
        <v>Embu-Guaçu</v>
      </c>
      <c r="H171" s="14" t="str">
        <f>VLOOKUP(tab_Geral[[#This Row],[Informação 3]],tab_AgênciaAmbiental,10,FALSE)</f>
        <v>14</v>
      </c>
      <c r="I171" s="14" t="s">
        <v>169</v>
      </c>
      <c r="J171" s="20" t="s">
        <v>169</v>
      </c>
      <c r="K171" s="17"/>
      <c r="L171" s="17" t="s">
        <v>1895</v>
      </c>
      <c r="M171" s="17" t="s">
        <v>912</v>
      </c>
      <c r="N171" s="17" t="s">
        <v>913</v>
      </c>
      <c r="O171" s="17" t="s">
        <v>914</v>
      </c>
      <c r="P171" s="17" t="s">
        <v>915</v>
      </c>
      <c r="Q171" s="17" t="s">
        <v>916</v>
      </c>
      <c r="R171" s="17" t="s">
        <v>917</v>
      </c>
      <c r="S171" s="19" t="s">
        <v>918</v>
      </c>
      <c r="T171" s="15"/>
    </row>
    <row r="172" spans="1:20" x14ac:dyDescent="0.25">
      <c r="A172" s="14">
        <v>166</v>
      </c>
      <c r="B172" s="14">
        <v>3515129</v>
      </c>
      <c r="C172" s="14" t="str">
        <f>IF(ISERR(FIND("-",tab_Geral[[#This Row],[Municípios]],1)),"","Têm Hifen")</f>
        <v/>
      </c>
      <c r="D172" s="14" t="str">
        <f>IF(tab_Geral[[#This Row],[Informação 3]]&lt;&gt;"","","Não Registrado")</f>
        <v/>
      </c>
      <c r="E172" s="14" t="str">
        <f>IF(tab_Geral[[#This Row],[Municípios]]=tab_Geral[[#This Row],[Informação 1]],"","Não!, Erro!")</f>
        <v/>
      </c>
      <c r="F172" s="14" t="str">
        <f>IF(tab_Geral[[#This Row],[Municípios]]=tab_Geral[[#This Row],[Município]],"","Não!, Erro!")</f>
        <v/>
      </c>
      <c r="G172" s="14" t="str">
        <f>VLOOKUP(tab_Geral[[#This Row],[GeoCodigo]],tab_CETESB[],2,FALSE)</f>
        <v>Emilianópolis</v>
      </c>
      <c r="H172" s="14" t="str">
        <f>VLOOKUP(tab_Geral[[#This Row],[Informação 3]],tab_AgênciaAmbiental,10,FALSE)</f>
        <v>29</v>
      </c>
      <c r="I172" s="14" t="s">
        <v>170</v>
      </c>
      <c r="J172" s="18" t="s">
        <v>170</v>
      </c>
      <c r="K172" s="17"/>
      <c r="L172" s="17" t="s">
        <v>1910</v>
      </c>
      <c r="M172" s="17" t="s">
        <v>707</v>
      </c>
      <c r="N172" s="17" t="s">
        <v>708</v>
      </c>
      <c r="O172" s="17" t="s">
        <v>709</v>
      </c>
      <c r="P172" s="17" t="s">
        <v>710</v>
      </c>
      <c r="Q172" s="17" t="s">
        <v>711</v>
      </c>
      <c r="R172" s="17" t="s">
        <v>686</v>
      </c>
      <c r="S172" s="17" t="s">
        <v>712</v>
      </c>
      <c r="T172" s="15"/>
    </row>
    <row r="173" spans="1:20" x14ac:dyDescent="0.25">
      <c r="A173" s="14">
        <v>167</v>
      </c>
      <c r="B173" s="14">
        <v>3515152</v>
      </c>
      <c r="C173" s="14" t="str">
        <f>IF(ISERR(FIND("-",tab_Geral[[#This Row],[Municípios]],1)),"","Têm Hifen")</f>
        <v/>
      </c>
      <c r="D173" s="14" t="str">
        <f>IF(tab_Geral[[#This Row],[Informação 3]]&lt;&gt;"","","Não Registrado")</f>
        <v/>
      </c>
      <c r="E173" s="14" t="str">
        <f>IF(tab_Geral[[#This Row],[Municípios]]=tab_Geral[[#This Row],[Informação 1]],"","Não!, Erro!")</f>
        <v/>
      </c>
      <c r="F173" s="14" t="str">
        <f>IF(tab_Geral[[#This Row],[Municípios]]=tab_Geral[[#This Row],[Município]],"","Não!, Erro!")</f>
        <v/>
      </c>
      <c r="G173" s="14" t="str">
        <f>VLOOKUP(tab_Geral[[#This Row],[GeoCodigo]],tab_CETESB[],2,FALSE)</f>
        <v>Engenheiro Coelho</v>
      </c>
      <c r="H173" s="14" t="str">
        <f>VLOOKUP(tab_Geral[[#This Row],[Informação 3]],tab_AgênciaAmbiental,10,FALSE)</f>
        <v>25</v>
      </c>
      <c r="I173" s="14" t="s">
        <v>171</v>
      </c>
      <c r="J173" s="18" t="s">
        <v>171</v>
      </c>
      <c r="K173" s="17"/>
      <c r="L173" s="17" t="s">
        <v>1906</v>
      </c>
      <c r="M173" s="17" t="s">
        <v>669</v>
      </c>
      <c r="N173" s="17" t="s">
        <v>670</v>
      </c>
      <c r="O173" s="17" t="s">
        <v>671</v>
      </c>
      <c r="P173" s="17" t="s">
        <v>672</v>
      </c>
      <c r="Q173" s="17" t="s">
        <v>673</v>
      </c>
      <c r="R173" s="17" t="s">
        <v>674</v>
      </c>
      <c r="S173" s="17" t="s">
        <v>675</v>
      </c>
      <c r="T173" s="15"/>
    </row>
    <row r="174" spans="1:20" x14ac:dyDescent="0.25">
      <c r="A174" s="14">
        <v>168</v>
      </c>
      <c r="B174" s="14">
        <v>3515186</v>
      </c>
      <c r="C174" s="14" t="str">
        <f>IF(ISERR(FIND("-",tab_Geral[[#This Row],[Municípios]],1)),"","Têm Hifen")</f>
        <v/>
      </c>
      <c r="D174" s="14" t="str">
        <f>IF(tab_Geral[[#This Row],[Informação 3]]&lt;&gt;"","","Não Registrado")</f>
        <v/>
      </c>
      <c r="E174" s="14" t="str">
        <f>IF(tab_Geral[[#This Row],[Municípios]]=tab_Geral[[#This Row],[Informação 1]],"","Não!, Erro!")</f>
        <v/>
      </c>
      <c r="F174" s="14" t="str">
        <f>IF(tab_Geral[[#This Row],[Municípios]]=tab_Geral[[#This Row],[Município]],"","Não!, Erro!")</f>
        <v/>
      </c>
      <c r="G174" s="14" t="str">
        <f>VLOOKUP(tab_Geral[[#This Row],[GeoCodigo]],tab_CETESB[],2,FALSE)</f>
        <v>Espírito Santo do Pinhal</v>
      </c>
      <c r="H174" s="14" t="str">
        <f>VLOOKUP(tab_Geral[[#This Row],[Informação 3]],tab_AgênciaAmbiental,10,FALSE)</f>
        <v>35</v>
      </c>
      <c r="I174" s="14" t="s">
        <v>172</v>
      </c>
      <c r="J174" s="18" t="s">
        <v>172</v>
      </c>
      <c r="K174" s="17"/>
      <c r="L174" s="17" t="s">
        <v>1916</v>
      </c>
      <c r="M174" s="17" t="s">
        <v>676</v>
      </c>
      <c r="N174" s="17" t="s">
        <v>657</v>
      </c>
      <c r="O174" s="17" t="s">
        <v>677</v>
      </c>
      <c r="P174" s="17" t="s">
        <v>678</v>
      </c>
      <c r="Q174" s="17" t="s">
        <v>679</v>
      </c>
      <c r="R174" s="17" t="s">
        <v>680</v>
      </c>
      <c r="S174" s="17" t="s">
        <v>937</v>
      </c>
    </row>
    <row r="175" spans="1:20" x14ac:dyDescent="0.25">
      <c r="A175" s="14">
        <v>169</v>
      </c>
      <c r="B175" s="14">
        <v>3515194</v>
      </c>
      <c r="C175" s="14" t="str">
        <f>IF(ISERR(FIND("-",tab_Geral[[#This Row],[Municípios]],1)),"","Têm Hifen")</f>
        <v/>
      </c>
      <c r="D175" s="14" t="str">
        <f>IF(tab_Geral[[#This Row],[Informação 3]]&lt;&gt;"","","Não Registrado")</f>
        <v/>
      </c>
      <c r="E175" s="14" t="str">
        <f>IF(tab_Geral[[#This Row],[Municípios]]=tab_Geral[[#This Row],[Informação 1]],"","Não!, Erro!")</f>
        <v/>
      </c>
      <c r="F175" s="14" t="str">
        <f>IF(tab_Geral[[#This Row],[Municípios]]=tab_Geral[[#This Row],[Município]],"","Não!, Erro!")</f>
        <v/>
      </c>
      <c r="G175" s="14" t="str">
        <f>VLOOKUP(tab_Geral[[#This Row],[GeoCodigo]],tab_CETESB[],2,FALSE)</f>
        <v>Espírito Santo do Turvo</v>
      </c>
      <c r="H175" s="14" t="str">
        <f>VLOOKUP(tab_Geral[[#This Row],[Informação 3]],tab_AgênciaAmbiental,10,FALSE)</f>
        <v>4</v>
      </c>
      <c r="I175" s="14" t="s">
        <v>173</v>
      </c>
      <c r="J175" s="18" t="s">
        <v>173</v>
      </c>
      <c r="K175" s="17"/>
      <c r="L175" s="17" t="s">
        <v>1885</v>
      </c>
      <c r="M175" s="17" t="s">
        <v>830</v>
      </c>
      <c r="N175" s="17" t="s">
        <v>831</v>
      </c>
      <c r="O175" s="17" t="s">
        <v>832</v>
      </c>
      <c r="P175" s="17" t="s">
        <v>833</v>
      </c>
      <c r="Q175" s="17" t="s">
        <v>834</v>
      </c>
      <c r="R175" s="17" t="s">
        <v>835</v>
      </c>
      <c r="S175" s="17" t="s">
        <v>836</v>
      </c>
      <c r="T175" s="15"/>
    </row>
    <row r="176" spans="1:20" x14ac:dyDescent="0.25">
      <c r="A176" s="14">
        <v>170</v>
      </c>
      <c r="B176" s="14">
        <v>3557303</v>
      </c>
      <c r="C176" s="14" t="str">
        <f>IF(ISERR(FIND("-",tab_Geral[[#This Row],[Municípios]],1)),"","Têm Hifen")</f>
        <v/>
      </c>
      <c r="D176" s="14" t="str">
        <f>IF(tab_Geral[[#This Row],[Informação 3]]&lt;&gt;"","","Não Registrado")</f>
        <v/>
      </c>
      <c r="E176" s="14" t="str">
        <f>IF(tab_Geral[[#This Row],[Municípios]]=tab_Geral[[#This Row],[Informação 1]],"","Não!, Erro!")</f>
        <v/>
      </c>
      <c r="F176" s="14" t="str">
        <f>IF(tab_Geral[[#This Row],[Municípios]]=tab_Geral[[#This Row],[Município]],"","Não!, Erro!")</f>
        <v/>
      </c>
      <c r="G176" s="14" t="str">
        <f>VLOOKUP(tab_Geral[[#This Row],[GeoCodigo]],tab_CETESB[],2,FALSE)</f>
        <v>Estiva Gerbi</v>
      </c>
      <c r="H176" s="14" t="str">
        <f>VLOOKUP(tab_Geral[[#This Row],[Informação 3]],tab_AgênciaAmbiental,10,FALSE)</f>
        <v>25</v>
      </c>
      <c r="I176" s="14" t="s">
        <v>174</v>
      </c>
      <c r="J176" s="18" t="s">
        <v>174</v>
      </c>
      <c r="K176" s="17"/>
      <c r="L176" s="17" t="s">
        <v>1906</v>
      </c>
      <c r="M176" s="17" t="s">
        <v>669</v>
      </c>
      <c r="N176" s="17" t="s">
        <v>670</v>
      </c>
      <c r="O176" s="17" t="s">
        <v>671</v>
      </c>
      <c r="P176" s="17" t="s">
        <v>672</v>
      </c>
      <c r="Q176" s="17" t="s">
        <v>673</v>
      </c>
      <c r="R176" s="17" t="s">
        <v>674</v>
      </c>
      <c r="S176" s="17" t="s">
        <v>675</v>
      </c>
      <c r="T176" s="15"/>
    </row>
    <row r="177" spans="1:20" x14ac:dyDescent="0.25">
      <c r="A177" s="14">
        <v>171</v>
      </c>
      <c r="B177" s="14">
        <v>3515301</v>
      </c>
      <c r="C177" s="14" t="str">
        <f>IF(ISERR(FIND("-",tab_Geral[[#This Row],[Municípios]],1)),"","Têm Hifen")</f>
        <v/>
      </c>
      <c r="D177" s="14" t="str">
        <f>IF(tab_Geral[[#This Row],[Informação 3]]&lt;&gt;"","","Não Registrado")</f>
        <v/>
      </c>
      <c r="E177" s="14" t="str">
        <f>IF(tab_Geral[[#This Row],[Municípios]]=tab_Geral[[#This Row],[Informação 1]],"","Não!, Erro!")</f>
        <v/>
      </c>
      <c r="F177" s="14" t="str">
        <f>IF(tab_Geral[[#This Row],[Municípios]]=tab_Geral[[#This Row],[Município]],"","Não!, Erro!")</f>
        <v/>
      </c>
      <c r="G177" s="14" t="str">
        <f>VLOOKUP(tab_Geral[[#This Row],[GeoCodigo]],tab_CETESB[],2,FALSE)</f>
        <v>Estrela do Norte</v>
      </c>
      <c r="H177" s="14" t="str">
        <f>VLOOKUP(tab_Geral[[#This Row],[Informação 3]],tab_AgênciaAmbiental,10,FALSE)</f>
        <v>29</v>
      </c>
      <c r="I177" s="14" t="s">
        <v>176</v>
      </c>
      <c r="J177" s="18" t="s">
        <v>176</v>
      </c>
      <c r="K177" s="17"/>
      <c r="L177" s="17" t="s">
        <v>1910</v>
      </c>
      <c r="M177" s="17" t="s">
        <v>707</v>
      </c>
      <c r="N177" s="17" t="s">
        <v>708</v>
      </c>
      <c r="O177" s="17" t="s">
        <v>709</v>
      </c>
      <c r="P177" s="17" t="s">
        <v>710</v>
      </c>
      <c r="Q177" s="17" t="s">
        <v>711</v>
      </c>
      <c r="R177" s="17" t="s">
        <v>686</v>
      </c>
      <c r="S177" s="17" t="s">
        <v>712</v>
      </c>
      <c r="T177" s="15"/>
    </row>
    <row r="178" spans="1:20" x14ac:dyDescent="0.25">
      <c r="A178" s="14">
        <v>631</v>
      </c>
      <c r="B178" s="14">
        <v>3515202</v>
      </c>
      <c r="C178" s="14" t="str">
        <f>IF(ISERR(FIND("-",tab_Geral[[#This Row],[Municípios]],1)),"","Têm Hifen")</f>
        <v/>
      </c>
      <c r="D178" s="14" t="str">
        <f>IF(tab_Geral[[#This Row],[Informação 3]]&lt;&gt;"","","Não Registrado")</f>
        <v/>
      </c>
      <c r="E178" s="14" t="str">
        <f>IF(tab_Geral[[#This Row],[Municípios]]=tab_Geral[[#This Row],[Informação 1]],"","Não!, Erro!")</f>
        <v/>
      </c>
      <c r="F178" s="14" t="str">
        <f>IF(tab_Geral[[#This Row],[Municípios]]=tab_Geral[[#This Row],[Município]],"","Não!, Erro!")</f>
        <v>Não!, Erro!</v>
      </c>
      <c r="G178" s="14" t="str">
        <f>VLOOKUP(tab_Geral[[#This Row],[GeoCodigo]],tab_CETESB[],2,FALSE)</f>
        <v>Estrela d'Oeste</v>
      </c>
      <c r="H178" s="14" t="str">
        <f>VLOOKUP(tab_Geral[[#This Row],[Informação 3]],tab_AgênciaAmbiental,10,FALSE)</f>
        <v>20</v>
      </c>
      <c r="I178" s="14" t="s">
        <v>175</v>
      </c>
      <c r="J178" s="18" t="s">
        <v>175</v>
      </c>
      <c r="K178" s="17"/>
      <c r="L178" s="17" t="s">
        <v>1901</v>
      </c>
      <c r="M178" s="17" t="s">
        <v>788</v>
      </c>
      <c r="N178" s="17" t="s">
        <v>789</v>
      </c>
      <c r="O178" s="17" t="s">
        <v>790</v>
      </c>
      <c r="P178" s="17" t="s">
        <v>791</v>
      </c>
      <c r="Q178" s="17" t="s">
        <v>792</v>
      </c>
      <c r="R178" s="17" t="s">
        <v>793</v>
      </c>
      <c r="S178" s="17" t="s">
        <v>794</v>
      </c>
      <c r="T178" s="15"/>
    </row>
    <row r="179" spans="1:20" x14ac:dyDescent="0.25">
      <c r="A179" s="14">
        <v>172</v>
      </c>
      <c r="B179" s="14">
        <v>3515350</v>
      </c>
      <c r="C179" s="14" t="str">
        <f>IF(ISERR(FIND("-",tab_Geral[[#This Row],[Municípios]],1)),"","Têm Hifen")</f>
        <v/>
      </c>
      <c r="D179" s="14" t="str">
        <f>IF(tab_Geral[[#This Row],[Informação 3]]&lt;&gt;"","","Não Registrado")</f>
        <v/>
      </c>
      <c r="E179" s="14" t="str">
        <f>IF(tab_Geral[[#This Row],[Municípios]]=tab_Geral[[#This Row],[Informação 1]],"","Não!, Erro!")</f>
        <v/>
      </c>
      <c r="F179" s="14" t="str">
        <f>IF(tab_Geral[[#This Row],[Municípios]]=tab_Geral[[#This Row],[Município]],"","Não!, Erro!")</f>
        <v/>
      </c>
      <c r="G179" s="14" t="str">
        <f>VLOOKUP(tab_Geral[[#This Row],[GeoCodigo]],tab_CETESB[],2,FALSE)</f>
        <v>Euclides da Cunha Paulista</v>
      </c>
      <c r="H179" s="14" t="str">
        <f>VLOOKUP(tab_Geral[[#This Row],[Informação 3]],tab_AgênciaAmbiental,10,FALSE)</f>
        <v>29</v>
      </c>
      <c r="I179" s="14" t="s">
        <v>177</v>
      </c>
      <c r="J179" s="18" t="s">
        <v>177</v>
      </c>
      <c r="K179" s="17"/>
      <c r="L179" s="17" t="s">
        <v>1910</v>
      </c>
      <c r="M179" s="17" t="s">
        <v>707</v>
      </c>
      <c r="N179" s="17" t="s">
        <v>708</v>
      </c>
      <c r="O179" s="17" t="s">
        <v>709</v>
      </c>
      <c r="P179" s="17" t="s">
        <v>710</v>
      </c>
      <c r="Q179" s="17" t="s">
        <v>711</v>
      </c>
      <c r="R179" s="17" t="s">
        <v>686</v>
      </c>
      <c r="S179" s="17" t="s">
        <v>712</v>
      </c>
      <c r="T179" s="15"/>
    </row>
    <row r="180" spans="1:20" x14ac:dyDescent="0.25">
      <c r="A180" s="14">
        <v>173</v>
      </c>
      <c r="B180" s="14">
        <v>3515400</v>
      </c>
      <c r="C180" s="14" t="str">
        <f>IF(ISERR(FIND("-",tab_Geral[[#This Row],[Municípios]],1)),"","Têm Hifen")</f>
        <v/>
      </c>
      <c r="D180" s="14" t="str">
        <f>IF(tab_Geral[[#This Row],[Informação 3]]&lt;&gt;"","","Não Registrado")</f>
        <v/>
      </c>
      <c r="E180" s="14" t="str">
        <f>IF(tab_Geral[[#This Row],[Municípios]]=tab_Geral[[#This Row],[Informação 1]],"","Não!, Erro!")</f>
        <v/>
      </c>
      <c r="F180" s="14" t="str">
        <f>IF(tab_Geral[[#This Row],[Municípios]]=tab_Geral[[#This Row],[Município]],"","Não!, Erro!")</f>
        <v/>
      </c>
      <c r="G180" s="14" t="str">
        <f>VLOOKUP(tab_Geral[[#This Row],[GeoCodigo]],tab_CETESB[],2,FALSE)</f>
        <v>Fartura</v>
      </c>
      <c r="H180" s="14" t="str">
        <f>VLOOKUP(tab_Geral[[#This Row],[Informação 3]],tab_AgênciaAmbiental,10,FALSE)</f>
        <v>6</v>
      </c>
      <c r="I180" s="14" t="s">
        <v>178</v>
      </c>
      <c r="J180" s="18" t="s">
        <v>178</v>
      </c>
      <c r="K180" s="17"/>
      <c r="L180" s="17" t="s">
        <v>1887</v>
      </c>
      <c r="M180" s="17" t="s">
        <v>681</v>
      </c>
      <c r="N180" s="17" t="s">
        <v>682</v>
      </c>
      <c r="O180" s="17" t="s">
        <v>683</v>
      </c>
      <c r="P180" s="17" t="s">
        <v>684</v>
      </c>
      <c r="Q180" s="17" t="s">
        <v>685</v>
      </c>
      <c r="R180" s="17" t="s">
        <v>686</v>
      </c>
      <c r="S180" s="17" t="s">
        <v>687</v>
      </c>
      <c r="T180" s="15"/>
    </row>
    <row r="181" spans="1:20" x14ac:dyDescent="0.25">
      <c r="A181" s="14">
        <v>174</v>
      </c>
      <c r="B181" s="14">
        <v>3515608</v>
      </c>
      <c r="C181" s="14" t="str">
        <f>IF(ISERR(FIND("-",tab_Geral[[#This Row],[Municípios]],1)),"","Têm Hifen")</f>
        <v/>
      </c>
      <c r="D181" s="14" t="str">
        <f>IF(tab_Geral[[#This Row],[Informação 3]]&lt;&gt;"","","Não Registrado")</f>
        <v/>
      </c>
      <c r="E181" s="14" t="str">
        <f>IF(tab_Geral[[#This Row],[Municípios]]=tab_Geral[[#This Row],[Informação 1]],"","Não!, Erro!")</f>
        <v/>
      </c>
      <c r="F181" s="14" t="str">
        <f>IF(tab_Geral[[#This Row],[Municípios]]=tab_Geral[[#This Row],[Município]],"","Não!, Erro!")</f>
        <v/>
      </c>
      <c r="G181" s="14" t="str">
        <f>VLOOKUP(tab_Geral[[#This Row],[GeoCodigo]],tab_CETESB[],2,FALSE)</f>
        <v>Fernando Prestes</v>
      </c>
      <c r="H181" s="14" t="str">
        <f>VLOOKUP(tab_Geral[[#This Row],[Informação 3]],tab_AgênciaAmbiental,10,FALSE)</f>
        <v>19</v>
      </c>
      <c r="I181" s="14" t="s">
        <v>179</v>
      </c>
      <c r="J181" s="18" t="s">
        <v>179</v>
      </c>
      <c r="K181" s="17"/>
      <c r="L181" s="17" t="s">
        <v>1900</v>
      </c>
      <c r="M181" s="17" t="s">
        <v>850</v>
      </c>
      <c r="N181" s="17" t="s">
        <v>851</v>
      </c>
      <c r="O181" s="17" t="s">
        <v>852</v>
      </c>
      <c r="P181" s="17" t="s">
        <v>853</v>
      </c>
      <c r="Q181" s="17" t="s">
        <v>854</v>
      </c>
      <c r="R181" s="17" t="s">
        <v>855</v>
      </c>
      <c r="S181" s="17" t="s">
        <v>856</v>
      </c>
      <c r="T181" s="15"/>
    </row>
    <row r="182" spans="1:20" x14ac:dyDescent="0.25">
      <c r="A182" s="14">
        <v>175</v>
      </c>
      <c r="B182" s="14">
        <v>3515509</v>
      </c>
      <c r="C182" s="14" t="str">
        <f>IF(ISERR(FIND("-",tab_Geral[[#This Row],[Municípios]],1)),"","Têm Hifen")</f>
        <v/>
      </c>
      <c r="D182" s="14" t="str">
        <f>IF(tab_Geral[[#This Row],[Informação 3]]&lt;&gt;"","","Não Registrado")</f>
        <v/>
      </c>
      <c r="E182" s="14" t="str">
        <f>IF(tab_Geral[[#This Row],[Municípios]]=tab_Geral[[#This Row],[Informação 1]],"","Não!, Erro!")</f>
        <v/>
      </c>
      <c r="F182" s="14" t="str">
        <f>IF(tab_Geral[[#This Row],[Municípios]]=tab_Geral[[#This Row],[Município]],"","Não!, Erro!")</f>
        <v/>
      </c>
      <c r="G182" s="14" t="str">
        <f>VLOOKUP(tab_Geral[[#This Row],[GeoCodigo]],tab_CETESB[],2,FALSE)</f>
        <v>Fernandópolis</v>
      </c>
      <c r="H182" s="14" t="str">
        <f>VLOOKUP(tab_Geral[[#This Row],[Informação 3]],tab_AgênciaAmbiental,10,FALSE)</f>
        <v>20</v>
      </c>
      <c r="I182" s="14" t="s">
        <v>180</v>
      </c>
      <c r="J182" s="18" t="s">
        <v>180</v>
      </c>
      <c r="K182" s="17"/>
      <c r="L182" s="17" t="s">
        <v>1901</v>
      </c>
      <c r="M182" s="17" t="s">
        <v>788</v>
      </c>
      <c r="N182" s="17" t="s">
        <v>789</v>
      </c>
      <c r="O182" s="17" t="s">
        <v>790</v>
      </c>
      <c r="P182" s="17" t="s">
        <v>791</v>
      </c>
      <c r="Q182" s="17" t="s">
        <v>792</v>
      </c>
      <c r="R182" s="17" t="s">
        <v>793</v>
      </c>
      <c r="S182" s="17" t="s">
        <v>794</v>
      </c>
      <c r="T182" s="15"/>
    </row>
    <row r="183" spans="1:20" x14ac:dyDescent="0.25">
      <c r="A183" s="14">
        <v>176</v>
      </c>
      <c r="B183" s="14">
        <v>3515657</v>
      </c>
      <c r="C183" s="14" t="str">
        <f>IF(ISERR(FIND("-",tab_Geral[[#This Row],[Municípios]],1)),"","Têm Hifen")</f>
        <v/>
      </c>
      <c r="D183" s="14" t="str">
        <f>IF(tab_Geral[[#This Row],[Informação 3]]&lt;&gt;"","","Não Registrado")</f>
        <v/>
      </c>
      <c r="E183" s="14" t="str">
        <f>IF(tab_Geral[[#This Row],[Municípios]]=tab_Geral[[#This Row],[Informação 1]],"","Não!, Erro!")</f>
        <v/>
      </c>
      <c r="F183" s="14" t="str">
        <f>IF(tab_Geral[[#This Row],[Municípios]]=tab_Geral[[#This Row],[Município]],"","Não!, Erro!")</f>
        <v/>
      </c>
      <c r="G183" s="14" t="str">
        <f>VLOOKUP(tab_Geral[[#This Row],[GeoCodigo]],tab_CETESB[],2,FALSE)</f>
        <v>Fernão</v>
      </c>
      <c r="H183" s="14" t="str">
        <f>VLOOKUP(tab_Geral[[#This Row],[Informação 3]],tab_AgênciaAmbiental,10,FALSE)</f>
        <v>23</v>
      </c>
      <c r="I183" s="14" t="s">
        <v>181</v>
      </c>
      <c r="J183" s="18" t="s">
        <v>181</v>
      </c>
      <c r="K183" s="17"/>
      <c r="L183" s="17" t="s">
        <v>1904</v>
      </c>
      <c r="M183" s="17" t="s">
        <v>746</v>
      </c>
      <c r="N183" s="17" t="s">
        <v>747</v>
      </c>
      <c r="O183" s="17" t="s">
        <v>748</v>
      </c>
      <c r="P183" s="17" t="s">
        <v>749</v>
      </c>
      <c r="Q183" s="17" t="s">
        <v>750</v>
      </c>
      <c r="R183" s="17" t="s">
        <v>751</v>
      </c>
      <c r="S183" s="17" t="s">
        <v>752</v>
      </c>
      <c r="T183" s="15"/>
    </row>
    <row r="184" spans="1:20" x14ac:dyDescent="0.25">
      <c r="A184" s="14">
        <v>177</v>
      </c>
      <c r="B184" s="14">
        <v>3515707</v>
      </c>
      <c r="C184" s="14" t="str">
        <f>IF(ISERR(FIND("-",tab_Geral[[#This Row],[Municípios]],1)),"","Têm Hifen")</f>
        <v/>
      </c>
      <c r="D184" s="14" t="str">
        <f>IF(tab_Geral[[#This Row],[Informação 3]]&lt;&gt;"","","Não Registrado")</f>
        <v/>
      </c>
      <c r="E184" s="14" t="str">
        <f>IF(tab_Geral[[#This Row],[Municípios]]=tab_Geral[[#This Row],[Informação 1]],"","Não!, Erro!")</f>
        <v/>
      </c>
      <c r="F184" s="14" t="str">
        <f>IF(tab_Geral[[#This Row],[Municípios]]=tab_Geral[[#This Row],[Município]],"","Não!, Erro!")</f>
        <v/>
      </c>
      <c r="G184" s="14" t="str">
        <f>VLOOKUP(tab_Geral[[#This Row],[GeoCodigo]],tab_CETESB[],2,FALSE)</f>
        <v>Ferraz de Vasconcelos</v>
      </c>
      <c r="H184" s="14" t="str">
        <f>VLOOKUP(tab_Geral[[#This Row],[Informação 3]],tab_AgênciaAmbiental,10,FALSE)</f>
        <v>24</v>
      </c>
      <c r="I184" s="14" t="s">
        <v>182</v>
      </c>
      <c r="J184" s="18" t="s">
        <v>182</v>
      </c>
      <c r="K184" s="17"/>
      <c r="L184" s="17" t="s">
        <v>1905</v>
      </c>
      <c r="M184" s="17" t="s">
        <v>871</v>
      </c>
      <c r="N184" s="17" t="s">
        <v>872</v>
      </c>
      <c r="O184" s="17" t="s">
        <v>873</v>
      </c>
      <c r="P184" s="17" t="s">
        <v>874</v>
      </c>
      <c r="Q184" s="17" t="s">
        <v>875</v>
      </c>
      <c r="R184" s="17" t="s">
        <v>686</v>
      </c>
      <c r="S184" s="17" t="s">
        <v>876</v>
      </c>
      <c r="T184" s="15"/>
    </row>
    <row r="185" spans="1:20" x14ac:dyDescent="0.25">
      <c r="A185" s="14">
        <v>178</v>
      </c>
      <c r="B185" s="14">
        <v>3515806</v>
      </c>
      <c r="C185" s="14" t="str">
        <f>IF(ISERR(FIND("-",tab_Geral[[#This Row],[Municípios]],1)),"","Têm Hifen")</f>
        <v/>
      </c>
      <c r="D185" s="14" t="str">
        <f>IF(tab_Geral[[#This Row],[Informação 3]]&lt;&gt;"","","Não Registrado")</f>
        <v/>
      </c>
      <c r="E185" s="14" t="str">
        <f>IF(tab_Geral[[#This Row],[Municípios]]=tab_Geral[[#This Row],[Informação 1]],"","Não!, Erro!")</f>
        <v/>
      </c>
      <c r="F185" s="14" t="str">
        <f>IF(tab_Geral[[#This Row],[Municípios]]=tab_Geral[[#This Row],[Município]],"","Não!, Erro!")</f>
        <v/>
      </c>
      <c r="G185" s="14" t="str">
        <f>VLOOKUP(tab_Geral[[#This Row],[GeoCodigo]],tab_CETESB[],2,FALSE)</f>
        <v>Flora Rica</v>
      </c>
      <c r="H185" s="14" t="str">
        <f>VLOOKUP(tab_Geral[[#This Row],[Informação 3]],tab_AgênciaAmbiental,10,FALSE)</f>
        <v>13</v>
      </c>
      <c r="I185" s="14" t="s">
        <v>183</v>
      </c>
      <c r="J185" s="18" t="s">
        <v>183</v>
      </c>
      <c r="K185" s="17"/>
      <c r="L185" s="17" t="s">
        <v>1894</v>
      </c>
      <c r="M185" s="17" t="s">
        <v>656</v>
      </c>
      <c r="N185" s="17" t="s">
        <v>657</v>
      </c>
      <c r="O185" s="17" t="s">
        <v>658</v>
      </c>
      <c r="P185" s="17" t="s">
        <v>659</v>
      </c>
      <c r="Q185" s="17" t="s">
        <v>660</v>
      </c>
      <c r="R185" s="17" t="s">
        <v>661</v>
      </c>
      <c r="S185" s="17" t="s">
        <v>662</v>
      </c>
      <c r="T185" s="15"/>
    </row>
    <row r="186" spans="1:20" x14ac:dyDescent="0.25">
      <c r="A186" s="14">
        <v>179</v>
      </c>
      <c r="B186" s="14">
        <v>3515905</v>
      </c>
      <c r="C186" s="14" t="str">
        <f>IF(ISERR(FIND("-",tab_Geral[[#This Row],[Municípios]],1)),"","Têm Hifen")</f>
        <v/>
      </c>
      <c r="D186" s="14" t="str">
        <f>IF(tab_Geral[[#This Row],[Informação 3]]&lt;&gt;"","","Não Registrado")</f>
        <v/>
      </c>
      <c r="E186" s="14" t="str">
        <f>IF(tab_Geral[[#This Row],[Municípios]]=tab_Geral[[#This Row],[Informação 1]],"","Não!, Erro!")</f>
        <v/>
      </c>
      <c r="F186" s="14" t="str">
        <f>IF(tab_Geral[[#This Row],[Municípios]]=tab_Geral[[#This Row],[Município]],"","Não!, Erro!")</f>
        <v/>
      </c>
      <c r="G186" s="14" t="str">
        <f>VLOOKUP(tab_Geral[[#This Row],[GeoCodigo]],tab_CETESB[],2,FALSE)</f>
        <v>Floreal</v>
      </c>
      <c r="H186" s="14" t="str">
        <f>VLOOKUP(tab_Geral[[#This Row],[Informação 3]],tab_AgênciaAmbiental,10,FALSE)</f>
        <v>41</v>
      </c>
      <c r="I186" s="14" t="s">
        <v>184</v>
      </c>
      <c r="J186" s="18" t="s">
        <v>184</v>
      </c>
      <c r="K186" s="17"/>
      <c r="L186" s="17" t="s">
        <v>1922</v>
      </c>
      <c r="M186" s="17" t="s">
        <v>739</v>
      </c>
      <c r="N186" s="17" t="s">
        <v>740</v>
      </c>
      <c r="O186" s="17" t="s">
        <v>741</v>
      </c>
      <c r="P186" s="17" t="s">
        <v>742</v>
      </c>
      <c r="Q186" s="17" t="s">
        <v>743</v>
      </c>
      <c r="R186" s="17" t="s">
        <v>744</v>
      </c>
      <c r="S186" s="17" t="s">
        <v>745</v>
      </c>
      <c r="T186" s="15"/>
    </row>
    <row r="187" spans="1:20" x14ac:dyDescent="0.25">
      <c r="A187" s="14">
        <v>180</v>
      </c>
      <c r="B187" s="14">
        <v>3516002</v>
      </c>
      <c r="C187" s="14" t="str">
        <f>IF(ISERR(FIND("-",tab_Geral[[#This Row],[Municípios]],1)),"","Têm Hifen")</f>
        <v/>
      </c>
      <c r="D187" s="14" t="str">
        <f>IF(tab_Geral[[#This Row],[Informação 3]]&lt;&gt;"","","Não Registrado")</f>
        <v/>
      </c>
      <c r="E187" s="14" t="str">
        <f>IF(tab_Geral[[#This Row],[Municípios]]=tab_Geral[[#This Row],[Informação 1]],"","Não!, Erro!")</f>
        <v/>
      </c>
      <c r="F187" s="14" t="str">
        <f>IF(tab_Geral[[#This Row],[Municípios]]=tab_Geral[[#This Row],[Município]],"","Não!, Erro!")</f>
        <v/>
      </c>
      <c r="G187" s="14" t="str">
        <f>VLOOKUP(tab_Geral[[#This Row],[GeoCodigo]],tab_CETESB[],2,FALSE)</f>
        <v>Flórida Paulista</v>
      </c>
      <c r="H187" s="14" t="str">
        <f>VLOOKUP(tab_Geral[[#This Row],[Informação 3]],tab_AgênciaAmbiental,10,FALSE)</f>
        <v>13</v>
      </c>
      <c r="I187" s="14" t="s">
        <v>185</v>
      </c>
      <c r="J187" s="18" t="s">
        <v>185</v>
      </c>
      <c r="K187" s="17"/>
      <c r="L187" s="17" t="s">
        <v>1894</v>
      </c>
      <c r="M187" s="17" t="s">
        <v>656</v>
      </c>
      <c r="N187" s="17" t="s">
        <v>657</v>
      </c>
      <c r="O187" s="17" t="s">
        <v>658</v>
      </c>
      <c r="P187" s="17" t="s">
        <v>659</v>
      </c>
      <c r="Q187" s="17" t="s">
        <v>660</v>
      </c>
      <c r="R187" s="17" t="s">
        <v>661</v>
      </c>
      <c r="S187" s="17" t="s">
        <v>662</v>
      </c>
      <c r="T187" s="15"/>
    </row>
    <row r="188" spans="1:20" x14ac:dyDescent="0.25">
      <c r="A188" s="14">
        <v>632</v>
      </c>
      <c r="B188" s="14">
        <v>3516101</v>
      </c>
      <c r="C188" s="14" t="str">
        <f>IF(ISERR(FIND("-",tab_Geral[[#This Row],[Municípios]],1)),"","Têm Hifen")</f>
        <v/>
      </c>
      <c r="D188" s="14" t="str">
        <f>IF(tab_Geral[[#This Row],[Informação 3]]&lt;&gt;"","","Não Registrado")</f>
        <v/>
      </c>
      <c r="E188" s="14" t="str">
        <f>IF(tab_Geral[[#This Row],[Municípios]]=tab_Geral[[#This Row],[Informação 1]],"","Não!, Erro!")</f>
        <v/>
      </c>
      <c r="F188" s="14" t="str">
        <f>IF(tab_Geral[[#This Row],[Municípios]]=tab_Geral[[#This Row],[Município]],"","Não!, Erro!")</f>
        <v>Não!, Erro!</v>
      </c>
      <c r="G188" s="14" t="str">
        <f>VLOOKUP(tab_Geral[[#This Row],[GeoCodigo]],tab_CETESB[],2,FALSE)</f>
        <v>Florínia</v>
      </c>
      <c r="H188" s="14" t="str">
        <f>VLOOKUP(tab_Geral[[#This Row],[Informação 3]],tab_AgênciaAmbiental,10,FALSE)</f>
        <v>4</v>
      </c>
      <c r="I188" s="14" t="s">
        <v>186</v>
      </c>
      <c r="J188" s="18" t="s">
        <v>186</v>
      </c>
      <c r="K188" s="17"/>
      <c r="L188" s="17" t="s">
        <v>1885</v>
      </c>
      <c r="M188" s="17" t="s">
        <v>830</v>
      </c>
      <c r="N188" s="17" t="s">
        <v>831</v>
      </c>
      <c r="O188" s="17" t="s">
        <v>832</v>
      </c>
      <c r="P188" s="17" t="s">
        <v>833</v>
      </c>
      <c r="Q188" s="17" t="s">
        <v>834</v>
      </c>
      <c r="R188" s="17" t="s">
        <v>835</v>
      </c>
      <c r="S188" s="17" t="s">
        <v>836</v>
      </c>
      <c r="T188" s="15"/>
    </row>
    <row r="189" spans="1:20" x14ac:dyDescent="0.25">
      <c r="A189" s="14">
        <v>181</v>
      </c>
      <c r="B189" s="14">
        <v>3516200</v>
      </c>
      <c r="C189" s="14" t="str">
        <f>IF(ISERR(FIND("-",tab_Geral[[#This Row],[Municípios]],1)),"","Têm Hifen")</f>
        <v/>
      </c>
      <c r="D189" s="14" t="str">
        <f>IF(tab_Geral[[#This Row],[Informação 3]]&lt;&gt;"","","Não Registrado")</f>
        <v/>
      </c>
      <c r="E189" s="14" t="str">
        <f>IF(tab_Geral[[#This Row],[Municípios]]=tab_Geral[[#This Row],[Informação 1]],"","Não!, Erro!")</f>
        <v/>
      </c>
      <c r="F189" s="14" t="str">
        <f>IF(tab_Geral[[#This Row],[Municípios]]=tab_Geral[[#This Row],[Município]],"","Não!, Erro!")</f>
        <v/>
      </c>
      <c r="G189" s="14" t="str">
        <f>VLOOKUP(tab_Geral[[#This Row],[GeoCodigo]],tab_CETESB[],2,FALSE)</f>
        <v>Franca</v>
      </c>
      <c r="H189" s="14" t="str">
        <f>VLOOKUP(tab_Geral[[#This Row],[Informação 3]],tab_AgênciaAmbiental,10,FALSE)</f>
        <v>15</v>
      </c>
      <c r="I189" s="14" t="s">
        <v>187</v>
      </c>
      <c r="J189" s="18" t="s">
        <v>187</v>
      </c>
      <c r="K189" s="17"/>
      <c r="L189" s="17" t="s">
        <v>1896</v>
      </c>
      <c r="M189" s="17" t="s">
        <v>809</v>
      </c>
      <c r="N189" s="17" t="s">
        <v>810</v>
      </c>
      <c r="O189" s="17" t="s">
        <v>811</v>
      </c>
      <c r="P189" s="17" t="s">
        <v>812</v>
      </c>
      <c r="Q189" s="17" t="s">
        <v>813</v>
      </c>
      <c r="R189" s="17" t="s">
        <v>814</v>
      </c>
      <c r="S189" s="17" t="s">
        <v>815</v>
      </c>
      <c r="T189" s="15"/>
    </row>
    <row r="190" spans="1:20" x14ac:dyDescent="0.25">
      <c r="A190" s="14">
        <v>182</v>
      </c>
      <c r="B190" s="14">
        <v>3516309</v>
      </c>
      <c r="C190" s="14" t="str">
        <f>IF(ISERR(FIND("-",tab_Geral[[#This Row],[Municípios]],1)),"","Têm Hifen")</f>
        <v/>
      </c>
      <c r="D190" s="14" t="str">
        <f>IF(tab_Geral[[#This Row],[Informação 3]]&lt;&gt;"","","Não Registrado")</f>
        <v/>
      </c>
      <c r="E190" s="14" t="str">
        <f>IF(tab_Geral[[#This Row],[Municípios]]=tab_Geral[[#This Row],[Informação 1]],"","Não!, Erro!")</f>
        <v/>
      </c>
      <c r="F190" s="14" t="str">
        <f>IF(tab_Geral[[#This Row],[Municípios]]=tab_Geral[[#This Row],[Município]],"","Não!, Erro!")</f>
        <v/>
      </c>
      <c r="G190" s="14" t="str">
        <f>VLOOKUP(tab_Geral[[#This Row],[GeoCodigo]],tab_CETESB[],2,FALSE)</f>
        <v>Francisco Morato</v>
      </c>
      <c r="H190" s="14" t="str">
        <f>VLOOKUP(tab_Geral[[#This Row],[Informação 3]],tab_AgênciaAmbiental,10,FALSE)</f>
        <v>32</v>
      </c>
      <c r="I190" s="14" t="s">
        <v>188</v>
      </c>
      <c r="J190" s="18" t="s">
        <v>188</v>
      </c>
      <c r="K190" s="17"/>
      <c r="L190" s="17" t="s">
        <v>1913</v>
      </c>
      <c r="M190" s="17" t="s">
        <v>1861</v>
      </c>
      <c r="N190" s="17" t="s">
        <v>1862</v>
      </c>
      <c r="O190" s="17" t="s">
        <v>859</v>
      </c>
      <c r="P190" s="17" t="s">
        <v>1863</v>
      </c>
      <c r="Q190" s="17" t="s">
        <v>1864</v>
      </c>
      <c r="R190" s="17" t="s">
        <v>686</v>
      </c>
      <c r="S190" s="17" t="s">
        <v>1865</v>
      </c>
      <c r="T190" s="15"/>
    </row>
    <row r="191" spans="1:20" x14ac:dyDescent="0.25">
      <c r="A191" s="14">
        <v>183</v>
      </c>
      <c r="B191" s="14">
        <v>3516408</v>
      </c>
      <c r="C191" s="14" t="str">
        <f>IF(ISERR(FIND("-",tab_Geral[[#This Row],[Municípios]],1)),"","Têm Hifen")</f>
        <v/>
      </c>
      <c r="D191" s="14" t="str">
        <f>IF(tab_Geral[[#This Row],[Informação 3]]&lt;&gt;"","","Não Registrado")</f>
        <v/>
      </c>
      <c r="E191" s="14" t="str">
        <f>IF(tab_Geral[[#This Row],[Municípios]]=tab_Geral[[#This Row],[Informação 1]],"","Não!, Erro!")</f>
        <v/>
      </c>
      <c r="F191" s="14" t="str">
        <f>IF(tab_Geral[[#This Row],[Municípios]]=tab_Geral[[#This Row],[Município]],"","Não!, Erro!")</f>
        <v/>
      </c>
      <c r="G191" s="14" t="str">
        <f>VLOOKUP(tab_Geral[[#This Row],[GeoCodigo]],tab_CETESB[],2,FALSE)</f>
        <v>Franco da Rocha</v>
      </c>
      <c r="H191" s="14" t="str">
        <f>VLOOKUP(tab_Geral[[#This Row],[Informação 3]],tab_AgênciaAmbiental,10,FALSE)</f>
        <v>32</v>
      </c>
      <c r="I191" s="14" t="s">
        <v>189</v>
      </c>
      <c r="J191" s="18" t="s">
        <v>189</v>
      </c>
      <c r="K191" s="17"/>
      <c r="L191" s="17" t="s">
        <v>1913</v>
      </c>
      <c r="M191" s="17" t="s">
        <v>1861</v>
      </c>
      <c r="N191" s="17" t="s">
        <v>1862</v>
      </c>
      <c r="O191" s="17" t="s">
        <v>859</v>
      </c>
      <c r="P191" s="17" t="s">
        <v>1863</v>
      </c>
      <c r="Q191" s="17" t="s">
        <v>1864</v>
      </c>
      <c r="R191" s="17" t="s">
        <v>686</v>
      </c>
      <c r="S191" s="17" t="s">
        <v>1865</v>
      </c>
      <c r="T191" s="15"/>
    </row>
    <row r="192" spans="1:20" x14ac:dyDescent="0.25">
      <c r="A192" s="14">
        <v>184</v>
      </c>
      <c r="B192" s="14">
        <v>3516507</v>
      </c>
      <c r="C192" s="14" t="str">
        <f>IF(ISERR(FIND("-",tab_Geral[[#This Row],[Municípios]],1)),"","Têm Hifen")</f>
        <v/>
      </c>
      <c r="D192" s="14" t="str">
        <f>IF(tab_Geral[[#This Row],[Informação 3]]&lt;&gt;"","","Não Registrado")</f>
        <v/>
      </c>
      <c r="E192" s="14" t="str">
        <f>IF(tab_Geral[[#This Row],[Municípios]]=tab_Geral[[#This Row],[Informação 1]],"","Não!, Erro!")</f>
        <v/>
      </c>
      <c r="F192" s="14" t="str">
        <f>IF(tab_Geral[[#This Row],[Municípios]]=tab_Geral[[#This Row],[Município]],"","Não!, Erro!")</f>
        <v/>
      </c>
      <c r="G192" s="14" t="str">
        <f>VLOOKUP(tab_Geral[[#This Row],[GeoCodigo]],tab_CETESB[],2,FALSE)</f>
        <v>Gabriel Monteiro</v>
      </c>
      <c r="H192" s="14" t="str">
        <f>VLOOKUP(tab_Geral[[#This Row],[Informação 3]],tab_AgênciaAmbiental,10,FALSE)</f>
        <v>2</v>
      </c>
      <c r="I192" s="14" t="s">
        <v>190</v>
      </c>
      <c r="J192" s="18" t="s">
        <v>190</v>
      </c>
      <c r="K192" s="17"/>
      <c r="L192" s="17" t="s">
        <v>1883</v>
      </c>
      <c r="M192" s="17" t="s">
        <v>727</v>
      </c>
      <c r="N192" s="17" t="s">
        <v>728</v>
      </c>
      <c r="O192" s="17" t="s">
        <v>729</v>
      </c>
      <c r="P192" s="17" t="s">
        <v>730</v>
      </c>
      <c r="Q192" s="17" t="s">
        <v>731</v>
      </c>
      <c r="R192" s="17" t="s">
        <v>732</v>
      </c>
      <c r="S192" s="17" t="s">
        <v>936</v>
      </c>
    </row>
    <row r="193" spans="1:20" x14ac:dyDescent="0.25">
      <c r="A193" s="14">
        <v>185</v>
      </c>
      <c r="B193" s="14">
        <v>3516606</v>
      </c>
      <c r="C193" s="14" t="str">
        <f>IF(ISERR(FIND("-",tab_Geral[[#This Row],[Municípios]],1)),"","Têm Hifen")</f>
        <v/>
      </c>
      <c r="D193" s="14" t="str">
        <f>IF(tab_Geral[[#This Row],[Informação 3]]&lt;&gt;"","","Não Registrado")</f>
        <v/>
      </c>
      <c r="E193" s="14" t="str">
        <f>IF(tab_Geral[[#This Row],[Municípios]]=tab_Geral[[#This Row],[Informação 1]],"","Não!, Erro!")</f>
        <v/>
      </c>
      <c r="F193" s="14" t="str">
        <f>IF(tab_Geral[[#This Row],[Municípios]]=tab_Geral[[#This Row],[Município]],"","Não!, Erro!")</f>
        <v/>
      </c>
      <c r="G193" s="14" t="str">
        <f>VLOOKUP(tab_Geral[[#This Row],[GeoCodigo]],tab_CETESB[],2,FALSE)</f>
        <v>Gália</v>
      </c>
      <c r="H193" s="14" t="str">
        <f>VLOOKUP(tab_Geral[[#This Row],[Informação 3]],tab_AgênciaAmbiental,10,FALSE)</f>
        <v>23</v>
      </c>
      <c r="I193" s="14" t="s">
        <v>191</v>
      </c>
      <c r="J193" s="18" t="s">
        <v>191</v>
      </c>
      <c r="K193" s="17"/>
      <c r="L193" s="17" t="s">
        <v>1904</v>
      </c>
      <c r="M193" s="17" t="s">
        <v>746</v>
      </c>
      <c r="N193" s="17" t="s">
        <v>747</v>
      </c>
      <c r="O193" s="17" t="s">
        <v>748</v>
      </c>
      <c r="P193" s="17" t="s">
        <v>749</v>
      </c>
      <c r="Q193" s="17" t="s">
        <v>750</v>
      </c>
      <c r="R193" s="17" t="s">
        <v>751</v>
      </c>
      <c r="S193" s="17" t="s">
        <v>752</v>
      </c>
      <c r="T193" s="15"/>
    </row>
    <row r="194" spans="1:20" x14ac:dyDescent="0.25">
      <c r="A194" s="14">
        <v>186</v>
      </c>
      <c r="B194" s="14">
        <v>3516705</v>
      </c>
      <c r="C194" s="14" t="str">
        <f>IF(ISERR(FIND("-",tab_Geral[[#This Row],[Municípios]],1)),"","Têm Hifen")</f>
        <v/>
      </c>
      <c r="D194" s="14" t="str">
        <f>IF(tab_Geral[[#This Row],[Informação 3]]&lt;&gt;"","","Não Registrado")</f>
        <v/>
      </c>
      <c r="E194" s="14" t="str">
        <f>IF(tab_Geral[[#This Row],[Municípios]]=tab_Geral[[#This Row],[Informação 1]],"","Não!, Erro!")</f>
        <v/>
      </c>
      <c r="F194" s="14" t="str">
        <f>IF(tab_Geral[[#This Row],[Municípios]]=tab_Geral[[#This Row],[Município]],"","Não!, Erro!")</f>
        <v/>
      </c>
      <c r="G194" s="14" t="str">
        <f>VLOOKUP(tab_Geral[[#This Row],[GeoCodigo]],tab_CETESB[],2,FALSE)</f>
        <v>Garça</v>
      </c>
      <c r="H194" s="14" t="str">
        <f>VLOOKUP(tab_Geral[[#This Row],[Informação 3]],tab_AgênciaAmbiental,10,FALSE)</f>
        <v>23</v>
      </c>
      <c r="I194" s="14" t="s">
        <v>192</v>
      </c>
      <c r="J194" s="18" t="s">
        <v>192</v>
      </c>
      <c r="K194" s="17"/>
      <c r="L194" s="17" t="s">
        <v>1904</v>
      </c>
      <c r="M194" s="17" t="s">
        <v>746</v>
      </c>
      <c r="N194" s="17" t="s">
        <v>747</v>
      </c>
      <c r="O194" s="17" t="s">
        <v>748</v>
      </c>
      <c r="P194" s="17" t="s">
        <v>749</v>
      </c>
      <c r="Q194" s="17" t="s">
        <v>750</v>
      </c>
      <c r="R194" s="17" t="s">
        <v>751</v>
      </c>
      <c r="S194" s="17" t="s">
        <v>752</v>
      </c>
      <c r="T194" s="15"/>
    </row>
    <row r="195" spans="1:20" x14ac:dyDescent="0.25">
      <c r="A195" s="14">
        <v>187</v>
      </c>
      <c r="B195" s="14">
        <v>3516804</v>
      </c>
      <c r="C195" s="14" t="str">
        <f>IF(ISERR(FIND("-",tab_Geral[[#This Row],[Municípios]],1)),"","Têm Hifen")</f>
        <v/>
      </c>
      <c r="D195" s="14" t="str">
        <f>IF(tab_Geral[[#This Row],[Informação 3]]&lt;&gt;"","","Não Registrado")</f>
        <v/>
      </c>
      <c r="E195" s="14" t="str">
        <f>IF(tab_Geral[[#This Row],[Municípios]]=tab_Geral[[#This Row],[Informação 1]],"","Não!, Erro!")</f>
        <v/>
      </c>
      <c r="F195" s="14" t="str">
        <f>IF(tab_Geral[[#This Row],[Municípios]]=tab_Geral[[#This Row],[Município]],"","Não!, Erro!")</f>
        <v/>
      </c>
      <c r="G195" s="14" t="str">
        <f>VLOOKUP(tab_Geral[[#This Row],[GeoCodigo]],tab_CETESB[],2,FALSE)</f>
        <v>Gastão Vidigal</v>
      </c>
      <c r="H195" s="14" t="str">
        <f>VLOOKUP(tab_Geral[[#This Row],[Informação 3]],tab_AgênciaAmbiental,10,FALSE)</f>
        <v>41</v>
      </c>
      <c r="I195" s="14" t="s">
        <v>193</v>
      </c>
      <c r="J195" s="18" t="s">
        <v>193</v>
      </c>
      <c r="K195" s="17"/>
      <c r="L195" s="17" t="s">
        <v>1922</v>
      </c>
      <c r="M195" s="17" t="s">
        <v>739</v>
      </c>
      <c r="N195" s="17" t="s">
        <v>740</v>
      </c>
      <c r="O195" s="17" t="s">
        <v>741</v>
      </c>
      <c r="P195" s="17" t="s">
        <v>742</v>
      </c>
      <c r="Q195" s="17" t="s">
        <v>743</v>
      </c>
      <c r="R195" s="17" t="s">
        <v>744</v>
      </c>
      <c r="S195" s="17" t="s">
        <v>745</v>
      </c>
      <c r="T195" s="15"/>
    </row>
    <row r="196" spans="1:20" x14ac:dyDescent="0.25">
      <c r="A196" s="14">
        <v>188</v>
      </c>
      <c r="B196" s="14">
        <v>3516853</v>
      </c>
      <c r="C196" s="14" t="str">
        <f>IF(ISERR(FIND("-",tab_Geral[[#This Row],[Municípios]],1)),"","Têm Hifen")</f>
        <v/>
      </c>
      <c r="D196" s="14" t="str">
        <f>IF(tab_Geral[[#This Row],[Informação 3]]&lt;&gt;"","","Não Registrado")</f>
        <v/>
      </c>
      <c r="E196" s="14" t="str">
        <f>IF(tab_Geral[[#This Row],[Municípios]]=tab_Geral[[#This Row],[Informação 1]],"","Não!, Erro!")</f>
        <v/>
      </c>
      <c r="F196" s="14" t="str">
        <f>IF(tab_Geral[[#This Row],[Municípios]]=tab_Geral[[#This Row],[Município]],"","Não!, Erro!")</f>
        <v/>
      </c>
      <c r="G196" s="14" t="str">
        <f>VLOOKUP(tab_Geral[[#This Row],[GeoCodigo]],tab_CETESB[],2,FALSE)</f>
        <v>Gavião Peixoto</v>
      </c>
      <c r="H196" s="14" t="str">
        <f>VLOOKUP(tab_Geral[[#This Row],[Informação 3]],tab_AgênciaAmbiental,10,FALSE)</f>
        <v>3</v>
      </c>
      <c r="I196" s="14" t="s">
        <v>194</v>
      </c>
      <c r="J196" s="18" t="s">
        <v>194</v>
      </c>
      <c r="K196" s="17"/>
      <c r="L196" s="17" t="s">
        <v>1884</v>
      </c>
      <c r="M196" s="17" t="s">
        <v>760</v>
      </c>
      <c r="N196" s="17" t="s">
        <v>761</v>
      </c>
      <c r="O196" s="17" t="s">
        <v>762</v>
      </c>
      <c r="P196" s="17" t="s">
        <v>763</v>
      </c>
      <c r="Q196" s="17" t="s">
        <v>764</v>
      </c>
      <c r="R196" s="17" t="s">
        <v>765</v>
      </c>
      <c r="S196" s="17" t="s">
        <v>766</v>
      </c>
      <c r="T196" s="15"/>
    </row>
    <row r="197" spans="1:20" x14ac:dyDescent="0.25">
      <c r="A197" s="14">
        <v>189</v>
      </c>
      <c r="B197" s="14">
        <v>3516903</v>
      </c>
      <c r="C197" s="14" t="str">
        <f>IF(ISERR(FIND("-",tab_Geral[[#This Row],[Municípios]],1)),"","Têm Hifen")</f>
        <v/>
      </c>
      <c r="D197" s="14" t="str">
        <f>IF(tab_Geral[[#This Row],[Informação 3]]&lt;&gt;"","","Não Registrado")</f>
        <v/>
      </c>
      <c r="E197" s="14" t="str">
        <f>IF(tab_Geral[[#This Row],[Municípios]]=tab_Geral[[#This Row],[Informação 1]],"","Não!, Erro!")</f>
        <v/>
      </c>
      <c r="F197" s="14" t="str">
        <f>IF(tab_Geral[[#This Row],[Municípios]]=tab_Geral[[#This Row],[Município]],"","Não!, Erro!")</f>
        <v/>
      </c>
      <c r="G197" s="14" t="str">
        <f>VLOOKUP(tab_Geral[[#This Row],[GeoCodigo]],tab_CETESB[],2,FALSE)</f>
        <v>General Salgado</v>
      </c>
      <c r="H197" s="14" t="str">
        <f>VLOOKUP(tab_Geral[[#This Row],[Informação 3]],tab_AgênciaAmbiental,10,FALSE)</f>
        <v>41</v>
      </c>
      <c r="I197" s="14" t="s">
        <v>195</v>
      </c>
      <c r="J197" s="18" t="s">
        <v>195</v>
      </c>
      <c r="K197" s="17"/>
      <c r="L197" s="17" t="s">
        <v>1922</v>
      </c>
      <c r="M197" s="17" t="s">
        <v>739</v>
      </c>
      <c r="N197" s="17" t="s">
        <v>740</v>
      </c>
      <c r="O197" s="17" t="s">
        <v>741</v>
      </c>
      <c r="P197" s="17" t="s">
        <v>742</v>
      </c>
      <c r="Q197" s="17" t="s">
        <v>743</v>
      </c>
      <c r="R197" s="17" t="s">
        <v>744</v>
      </c>
      <c r="S197" s="17" t="s">
        <v>745</v>
      </c>
      <c r="T197" s="15"/>
    </row>
    <row r="198" spans="1:20" x14ac:dyDescent="0.25">
      <c r="A198" s="14">
        <v>190</v>
      </c>
      <c r="B198" s="14">
        <v>3517000</v>
      </c>
      <c r="C198" s="14" t="str">
        <f>IF(ISERR(FIND("-",tab_Geral[[#This Row],[Municípios]],1)),"","Têm Hifen")</f>
        <v/>
      </c>
      <c r="D198" s="14" t="str">
        <f>IF(tab_Geral[[#This Row],[Informação 3]]&lt;&gt;"","","Não Registrado")</f>
        <v/>
      </c>
      <c r="E198" s="14" t="str">
        <f>IF(tab_Geral[[#This Row],[Municípios]]=tab_Geral[[#This Row],[Informação 1]],"","Não!, Erro!")</f>
        <v/>
      </c>
      <c r="F198" s="14" t="str">
        <f>IF(tab_Geral[[#This Row],[Municípios]]=tab_Geral[[#This Row],[Município]],"","Não!, Erro!")</f>
        <v/>
      </c>
      <c r="G198" s="14" t="str">
        <f>VLOOKUP(tab_Geral[[#This Row],[GeoCodigo]],tab_CETESB[],2,FALSE)</f>
        <v>Getulina</v>
      </c>
      <c r="H198" s="14" t="str">
        <f>VLOOKUP(tab_Geral[[#This Row],[Informação 3]],tab_AgênciaAmbiental,10,FALSE)</f>
        <v>23</v>
      </c>
      <c r="I198" s="14" t="s">
        <v>196</v>
      </c>
      <c r="J198" s="18" t="s">
        <v>196</v>
      </c>
      <c r="K198" s="17"/>
      <c r="L198" s="17" t="s">
        <v>1904</v>
      </c>
      <c r="M198" s="17" t="s">
        <v>746</v>
      </c>
      <c r="N198" s="17" t="s">
        <v>747</v>
      </c>
      <c r="O198" s="17" t="s">
        <v>748</v>
      </c>
      <c r="P198" s="17" t="s">
        <v>749</v>
      </c>
      <c r="Q198" s="17" t="s">
        <v>750</v>
      </c>
      <c r="R198" s="17" t="s">
        <v>751</v>
      </c>
      <c r="S198" s="17" t="s">
        <v>752</v>
      </c>
      <c r="T198" s="15"/>
    </row>
    <row r="199" spans="1:20" x14ac:dyDescent="0.25">
      <c r="A199" s="14">
        <v>191</v>
      </c>
      <c r="B199" s="14">
        <v>3517109</v>
      </c>
      <c r="C199" s="14" t="str">
        <f>IF(ISERR(FIND("-",tab_Geral[[#This Row],[Municípios]],1)),"","Têm Hifen")</f>
        <v/>
      </c>
      <c r="D199" s="14" t="str">
        <f>IF(tab_Geral[[#This Row],[Informação 3]]&lt;&gt;"","","Não Registrado")</f>
        <v/>
      </c>
      <c r="E199" s="14" t="str">
        <f>IF(tab_Geral[[#This Row],[Municípios]]=tab_Geral[[#This Row],[Informação 1]],"","Não!, Erro!")</f>
        <v/>
      </c>
      <c r="F199" s="14" t="str">
        <f>IF(tab_Geral[[#This Row],[Municípios]]=tab_Geral[[#This Row],[Município]],"","Não!, Erro!")</f>
        <v/>
      </c>
      <c r="G199" s="14" t="str">
        <f>VLOOKUP(tab_Geral[[#This Row],[GeoCodigo]],tab_CETESB[],2,FALSE)</f>
        <v>Glicério</v>
      </c>
      <c r="H199" s="14" t="str">
        <f>VLOOKUP(tab_Geral[[#This Row],[Informação 3]],tab_AgênciaAmbiental,10,FALSE)</f>
        <v>2</v>
      </c>
      <c r="I199" s="14" t="s">
        <v>197</v>
      </c>
      <c r="J199" s="18" t="s">
        <v>197</v>
      </c>
      <c r="K199" s="17"/>
      <c r="L199" s="17" t="s">
        <v>1883</v>
      </c>
      <c r="M199" s="17" t="s">
        <v>727</v>
      </c>
      <c r="N199" s="17" t="s">
        <v>728</v>
      </c>
      <c r="O199" s="17" t="s">
        <v>729</v>
      </c>
      <c r="P199" s="17" t="s">
        <v>730</v>
      </c>
      <c r="Q199" s="17" t="s">
        <v>731</v>
      </c>
      <c r="R199" s="17" t="s">
        <v>732</v>
      </c>
      <c r="S199" s="17" t="s">
        <v>936</v>
      </c>
    </row>
    <row r="200" spans="1:20" x14ac:dyDescent="0.25">
      <c r="A200" s="14">
        <v>192</v>
      </c>
      <c r="B200" s="14">
        <v>3517208</v>
      </c>
      <c r="C200" s="14" t="str">
        <f>IF(ISERR(FIND("-",tab_Geral[[#This Row],[Municípios]],1)),"","Têm Hifen")</f>
        <v/>
      </c>
      <c r="D200" s="14" t="str">
        <f>IF(tab_Geral[[#This Row],[Informação 3]]&lt;&gt;"","","Não Registrado")</f>
        <v/>
      </c>
      <c r="E200" s="14" t="str">
        <f>IF(tab_Geral[[#This Row],[Municípios]]=tab_Geral[[#This Row],[Informação 1]],"","Não!, Erro!")</f>
        <v/>
      </c>
      <c r="F200" s="14" t="str">
        <f>IF(tab_Geral[[#This Row],[Municípios]]=tab_Geral[[#This Row],[Município]],"","Não!, Erro!")</f>
        <v/>
      </c>
      <c r="G200" s="14" t="str">
        <f>VLOOKUP(tab_Geral[[#This Row],[GeoCodigo]],tab_CETESB[],2,FALSE)</f>
        <v>Guaiçara</v>
      </c>
      <c r="H200" s="14" t="str">
        <f>VLOOKUP(tab_Geral[[#This Row],[Informação 3]],tab_AgênciaAmbiental,10,FALSE)</f>
        <v>23</v>
      </c>
      <c r="I200" s="14" t="s">
        <v>198</v>
      </c>
      <c r="J200" s="18" t="s">
        <v>198</v>
      </c>
      <c r="K200" s="17"/>
      <c r="L200" s="17" t="s">
        <v>1904</v>
      </c>
      <c r="M200" s="17" t="s">
        <v>746</v>
      </c>
      <c r="N200" s="17" t="s">
        <v>747</v>
      </c>
      <c r="O200" s="17" t="s">
        <v>748</v>
      </c>
      <c r="P200" s="17" t="s">
        <v>749</v>
      </c>
      <c r="Q200" s="17" t="s">
        <v>750</v>
      </c>
      <c r="R200" s="17" t="s">
        <v>751</v>
      </c>
      <c r="S200" s="17" t="s">
        <v>752</v>
      </c>
      <c r="T200" s="15"/>
    </row>
    <row r="201" spans="1:20" x14ac:dyDescent="0.25">
      <c r="A201" s="14">
        <v>193</v>
      </c>
      <c r="B201" s="14">
        <v>3517307</v>
      </c>
      <c r="C201" s="14" t="str">
        <f>IF(ISERR(FIND("-",tab_Geral[[#This Row],[Municípios]],1)),"","Têm Hifen")</f>
        <v/>
      </c>
      <c r="D201" s="14" t="str">
        <f>IF(tab_Geral[[#This Row],[Informação 3]]&lt;&gt;"","","Não Registrado")</f>
        <v/>
      </c>
      <c r="E201" s="14" t="str">
        <f>IF(tab_Geral[[#This Row],[Municípios]]=tab_Geral[[#This Row],[Informação 1]],"","Não!, Erro!")</f>
        <v/>
      </c>
      <c r="F201" s="14" t="str">
        <f>IF(tab_Geral[[#This Row],[Municípios]]=tab_Geral[[#This Row],[Município]],"","Não!, Erro!")</f>
        <v/>
      </c>
      <c r="G201" s="14" t="str">
        <f>VLOOKUP(tab_Geral[[#This Row],[GeoCodigo]],tab_CETESB[],2,FALSE)</f>
        <v>Guaimbê</v>
      </c>
      <c r="H201" s="14" t="str">
        <f>VLOOKUP(tab_Geral[[#This Row],[Informação 3]],tab_AgênciaAmbiental,10,FALSE)</f>
        <v>23</v>
      </c>
      <c r="I201" s="14" t="s">
        <v>199</v>
      </c>
      <c r="J201" s="18" t="s">
        <v>199</v>
      </c>
      <c r="K201" s="17"/>
      <c r="L201" s="17" t="s">
        <v>1904</v>
      </c>
      <c r="M201" s="17" t="s">
        <v>746</v>
      </c>
      <c r="N201" s="17" t="s">
        <v>747</v>
      </c>
      <c r="O201" s="17" t="s">
        <v>748</v>
      </c>
      <c r="P201" s="17" t="s">
        <v>749</v>
      </c>
      <c r="Q201" s="17" t="s">
        <v>750</v>
      </c>
      <c r="R201" s="17" t="s">
        <v>751</v>
      </c>
      <c r="S201" s="17" t="s">
        <v>752</v>
      </c>
      <c r="T201" s="15"/>
    </row>
    <row r="202" spans="1:20" x14ac:dyDescent="0.25">
      <c r="A202" s="14">
        <v>194</v>
      </c>
      <c r="B202" s="14">
        <v>3517406</v>
      </c>
      <c r="C202" s="14" t="str">
        <f>IF(ISERR(FIND("-",tab_Geral[[#This Row],[Municípios]],1)),"","Têm Hifen")</f>
        <v/>
      </c>
      <c r="D202" s="14" t="str">
        <f>IF(tab_Geral[[#This Row],[Informação 3]]&lt;&gt;"","","Não Registrado")</f>
        <v/>
      </c>
      <c r="E202" s="14" t="str">
        <f>IF(tab_Geral[[#This Row],[Municípios]]=tab_Geral[[#This Row],[Informação 1]],"","Não!, Erro!")</f>
        <v/>
      </c>
      <c r="F202" s="14" t="str">
        <f>IF(tab_Geral[[#This Row],[Municípios]]=tab_Geral[[#This Row],[Município]],"","Não!, Erro!")</f>
        <v/>
      </c>
      <c r="G202" s="14" t="str">
        <f>VLOOKUP(tab_Geral[[#This Row],[GeoCodigo]],tab_CETESB[],2,FALSE)</f>
        <v>Guaíra</v>
      </c>
      <c r="H202" s="14" t="str">
        <f>VLOOKUP(tab_Geral[[#This Row],[Informação 3]],tab_AgênciaAmbiental,10,FALSE)</f>
        <v>7</v>
      </c>
      <c r="I202" s="14" t="s">
        <v>200</v>
      </c>
      <c r="J202" s="18" t="s">
        <v>200</v>
      </c>
      <c r="K202" s="17"/>
      <c r="L202" s="17" t="s">
        <v>1888</v>
      </c>
      <c r="M202" s="17" t="s">
        <v>713</v>
      </c>
      <c r="N202" s="17" t="s">
        <v>714</v>
      </c>
      <c r="O202" s="17" t="s">
        <v>715</v>
      </c>
      <c r="P202" s="17" t="s">
        <v>716</v>
      </c>
      <c r="Q202" s="17" t="s">
        <v>717</v>
      </c>
      <c r="R202" s="17" t="s">
        <v>718</v>
      </c>
      <c r="S202" s="17" t="s">
        <v>719</v>
      </c>
      <c r="T202" s="15"/>
    </row>
    <row r="203" spans="1:20" x14ac:dyDescent="0.25">
      <c r="A203" s="14">
        <v>195</v>
      </c>
      <c r="B203" s="14">
        <v>3517505</v>
      </c>
      <c r="C203" s="14" t="str">
        <f>IF(ISERR(FIND("-",tab_Geral[[#This Row],[Municípios]],1)),"","Têm Hifen")</f>
        <v/>
      </c>
      <c r="D203" s="14" t="str">
        <f>IF(tab_Geral[[#This Row],[Informação 3]]&lt;&gt;"","","Não Registrado")</f>
        <v/>
      </c>
      <c r="E203" s="14" t="str">
        <f>IF(tab_Geral[[#This Row],[Municípios]]=tab_Geral[[#This Row],[Informação 1]],"","Não!, Erro!")</f>
        <v/>
      </c>
      <c r="F203" s="14" t="str">
        <f>IF(tab_Geral[[#This Row],[Municípios]]=tab_Geral[[#This Row],[Município]],"","Não!, Erro!")</f>
        <v/>
      </c>
      <c r="G203" s="14" t="str">
        <f>VLOOKUP(tab_Geral[[#This Row],[GeoCodigo]],tab_CETESB[],2,FALSE)</f>
        <v>Guapiaçu</v>
      </c>
      <c r="H203" s="14" t="str">
        <f>VLOOKUP(tab_Geral[[#This Row],[Informação 3]],tab_AgênciaAmbiental,10,FALSE)</f>
        <v>36</v>
      </c>
      <c r="I203" s="14" t="s">
        <v>201</v>
      </c>
      <c r="J203" s="18" t="s">
        <v>201</v>
      </c>
      <c r="K203" s="17"/>
      <c r="L203" s="17" t="s">
        <v>1917</v>
      </c>
      <c r="M203" s="17" t="s">
        <v>663</v>
      </c>
      <c r="N203" s="17" t="s">
        <v>664</v>
      </c>
      <c r="O203" s="17" t="s">
        <v>665</v>
      </c>
      <c r="P203" s="17" t="s">
        <v>666</v>
      </c>
      <c r="Q203" s="17" t="s">
        <v>667</v>
      </c>
      <c r="R203" s="17" t="s">
        <v>668</v>
      </c>
      <c r="S203" s="17" t="s">
        <v>938</v>
      </c>
    </row>
    <row r="204" spans="1:20" x14ac:dyDescent="0.25">
      <c r="A204" s="14">
        <v>196</v>
      </c>
      <c r="B204" s="14">
        <v>3517604</v>
      </c>
      <c r="C204" s="14" t="str">
        <f>IF(ISERR(FIND("-",tab_Geral[[#This Row],[Municípios]],1)),"","Têm Hifen")</f>
        <v/>
      </c>
      <c r="D204" s="14" t="str">
        <f>IF(tab_Geral[[#This Row],[Informação 3]]&lt;&gt;"","","Não Registrado")</f>
        <v/>
      </c>
      <c r="E204" s="14" t="str">
        <f>IF(tab_Geral[[#This Row],[Municípios]]=tab_Geral[[#This Row],[Informação 1]],"","Não!, Erro!")</f>
        <v/>
      </c>
      <c r="F204" s="14" t="str">
        <f>IF(tab_Geral[[#This Row],[Municípios]]=tab_Geral[[#This Row],[Município]],"","Não!, Erro!")</f>
        <v/>
      </c>
      <c r="G204" s="14" t="str">
        <f>VLOOKUP(tab_Geral[[#This Row],[GeoCodigo]],tab_CETESB[],2,FALSE)</f>
        <v>Guapiara</v>
      </c>
      <c r="H204" s="14" t="str">
        <f>VLOOKUP(tab_Geral[[#This Row],[Informação 3]],tab_AgênciaAmbiental,10,FALSE)</f>
        <v>11</v>
      </c>
      <c r="I204" s="14" t="s">
        <v>202</v>
      </c>
      <c r="J204" s="18" t="s">
        <v>202</v>
      </c>
      <c r="K204" s="17"/>
      <c r="L204" s="17" t="s">
        <v>1892</v>
      </c>
      <c r="M204" s="17" t="s">
        <v>795</v>
      </c>
      <c r="N204" s="17" t="s">
        <v>796</v>
      </c>
      <c r="O204" s="17" t="s">
        <v>797</v>
      </c>
      <c r="P204" s="17" t="s">
        <v>798</v>
      </c>
      <c r="Q204" s="17" t="s">
        <v>799</v>
      </c>
      <c r="R204" s="17" t="s">
        <v>800</v>
      </c>
      <c r="S204" s="17" t="s">
        <v>801</v>
      </c>
      <c r="T204" s="15"/>
    </row>
    <row r="205" spans="1:20" x14ac:dyDescent="0.25">
      <c r="A205" s="14">
        <v>197</v>
      </c>
      <c r="B205" s="14">
        <v>3517703</v>
      </c>
      <c r="C205" s="14" t="str">
        <f>IF(ISERR(FIND("-",tab_Geral[[#This Row],[Municípios]],1)),"","Têm Hifen")</f>
        <v/>
      </c>
      <c r="D205" s="14" t="str">
        <f>IF(tab_Geral[[#This Row],[Informação 3]]&lt;&gt;"","","Não Registrado")</f>
        <v/>
      </c>
      <c r="E205" s="14" t="str">
        <f>IF(tab_Geral[[#This Row],[Municípios]]=tab_Geral[[#This Row],[Informação 1]],"","Não!, Erro!")</f>
        <v/>
      </c>
      <c r="F205" s="14" t="str">
        <f>IF(tab_Geral[[#This Row],[Municípios]]=tab_Geral[[#This Row],[Município]],"","Não!, Erro!")</f>
        <v/>
      </c>
      <c r="G205" s="14" t="str">
        <f>VLOOKUP(tab_Geral[[#This Row],[GeoCodigo]],tab_CETESB[],2,FALSE)</f>
        <v>Guará</v>
      </c>
      <c r="H205" s="14" t="str">
        <f>VLOOKUP(tab_Geral[[#This Row],[Informação 3]],tab_AgênciaAmbiental,10,FALSE)</f>
        <v>15</v>
      </c>
      <c r="I205" s="14" t="s">
        <v>203</v>
      </c>
      <c r="J205" s="18" t="s">
        <v>203</v>
      </c>
      <c r="K205" s="17"/>
      <c r="L205" s="17" t="s">
        <v>1896</v>
      </c>
      <c r="M205" s="17" t="s">
        <v>809</v>
      </c>
      <c r="N205" s="17" t="s">
        <v>810</v>
      </c>
      <c r="O205" s="17" t="s">
        <v>811</v>
      </c>
      <c r="P205" s="17" t="s">
        <v>812</v>
      </c>
      <c r="Q205" s="17" t="s">
        <v>813</v>
      </c>
      <c r="R205" s="17" t="s">
        <v>814</v>
      </c>
      <c r="S205" s="17" t="s">
        <v>815</v>
      </c>
      <c r="T205" s="15"/>
    </row>
    <row r="206" spans="1:20" x14ac:dyDescent="0.25">
      <c r="A206" s="14">
        <v>198</v>
      </c>
      <c r="B206" s="14">
        <v>3517802</v>
      </c>
      <c r="C206" s="14" t="str">
        <f>IF(ISERR(FIND("-",tab_Geral[[#This Row],[Municípios]],1)),"","Têm Hifen")</f>
        <v/>
      </c>
      <c r="D206" s="14" t="str">
        <f>IF(tab_Geral[[#This Row],[Informação 3]]&lt;&gt;"","","Não Registrado")</f>
        <v/>
      </c>
      <c r="E206" s="14" t="str">
        <f>IF(tab_Geral[[#This Row],[Municípios]]=tab_Geral[[#This Row],[Informação 1]],"","Não!, Erro!")</f>
        <v/>
      </c>
      <c r="F206" s="14" t="str">
        <f>IF(tab_Geral[[#This Row],[Municípios]]=tab_Geral[[#This Row],[Município]],"","Não!, Erro!")</f>
        <v/>
      </c>
      <c r="G206" s="14" t="str">
        <f>VLOOKUP(tab_Geral[[#This Row],[GeoCodigo]],tab_CETESB[],2,FALSE)</f>
        <v>Guaraçaí</v>
      </c>
      <c r="H206" s="14" t="str">
        <f>VLOOKUP(tab_Geral[[#This Row],[Informação 3]],tab_AgênciaAmbiental,10,FALSE)</f>
        <v>13</v>
      </c>
      <c r="I206" s="14" t="s">
        <v>204</v>
      </c>
      <c r="J206" s="18" t="s">
        <v>204</v>
      </c>
      <c r="K206" s="17"/>
      <c r="L206" s="17" t="s">
        <v>1894</v>
      </c>
      <c r="M206" s="17" t="s">
        <v>656</v>
      </c>
      <c r="N206" s="17" t="s">
        <v>657</v>
      </c>
      <c r="O206" s="17" t="s">
        <v>658</v>
      </c>
      <c r="P206" s="17" t="s">
        <v>659</v>
      </c>
      <c r="Q206" s="17" t="s">
        <v>660</v>
      </c>
      <c r="R206" s="17" t="s">
        <v>661</v>
      </c>
      <c r="S206" s="17" t="s">
        <v>662</v>
      </c>
      <c r="T206" s="15"/>
    </row>
    <row r="207" spans="1:20" x14ac:dyDescent="0.25">
      <c r="A207" s="14">
        <v>199</v>
      </c>
      <c r="B207" s="14">
        <v>3517901</v>
      </c>
      <c r="C207" s="14" t="str">
        <f>IF(ISERR(FIND("-",tab_Geral[[#This Row],[Municípios]],1)),"","Têm Hifen")</f>
        <v/>
      </c>
      <c r="D207" s="14" t="str">
        <f>IF(tab_Geral[[#This Row],[Informação 3]]&lt;&gt;"","","Não Registrado")</f>
        <v/>
      </c>
      <c r="E207" s="14" t="str">
        <f>IF(tab_Geral[[#This Row],[Municípios]]=tab_Geral[[#This Row],[Informação 1]],"","Não!, Erro!")</f>
        <v/>
      </c>
      <c r="F207" s="14" t="str">
        <f>IF(tab_Geral[[#This Row],[Municípios]]=tab_Geral[[#This Row],[Município]],"","Não!, Erro!")</f>
        <v/>
      </c>
      <c r="G207" s="14" t="str">
        <f>VLOOKUP(tab_Geral[[#This Row],[GeoCodigo]],tab_CETESB[],2,FALSE)</f>
        <v>Guaraci</v>
      </c>
      <c r="H207" s="14" t="str">
        <f>VLOOKUP(tab_Geral[[#This Row],[Informação 3]],tab_AgênciaAmbiental,10,FALSE)</f>
        <v>7</v>
      </c>
      <c r="I207" s="14" t="s">
        <v>205</v>
      </c>
      <c r="J207" s="18" t="s">
        <v>205</v>
      </c>
      <c r="K207" s="17"/>
      <c r="L207" s="17" t="s">
        <v>1888</v>
      </c>
      <c r="M207" s="17" t="s">
        <v>713</v>
      </c>
      <c r="N207" s="17" t="s">
        <v>714</v>
      </c>
      <c r="O207" s="17" t="s">
        <v>715</v>
      </c>
      <c r="P207" s="17" t="s">
        <v>716</v>
      </c>
      <c r="Q207" s="17" t="s">
        <v>717</v>
      </c>
      <c r="R207" s="17" t="s">
        <v>718</v>
      </c>
      <c r="S207" s="17" t="s">
        <v>719</v>
      </c>
      <c r="T207" s="15"/>
    </row>
    <row r="208" spans="1:20" x14ac:dyDescent="0.25">
      <c r="A208" s="14">
        <v>633</v>
      </c>
      <c r="B208" s="14">
        <v>3518008</v>
      </c>
      <c r="C208" s="14" t="str">
        <f>IF(ISERR(FIND("-",tab_Geral[[#This Row],[Municípios]],1)),"","Têm Hifen")</f>
        <v/>
      </c>
      <c r="D208" s="14" t="str">
        <f>IF(tab_Geral[[#This Row],[Informação 3]]&lt;&gt;"","","Não Registrado")</f>
        <v/>
      </c>
      <c r="E208" s="14" t="str">
        <f>IF(tab_Geral[[#This Row],[Municípios]]=tab_Geral[[#This Row],[Informação 1]],"","Não!, Erro!")</f>
        <v/>
      </c>
      <c r="F208" s="14" t="str">
        <f>IF(tab_Geral[[#This Row],[Municípios]]=tab_Geral[[#This Row],[Município]],"","Não!, Erro!")</f>
        <v>Não!, Erro!</v>
      </c>
      <c r="G208" s="14" t="str">
        <f>VLOOKUP(tab_Geral[[#This Row],[GeoCodigo]],tab_CETESB[],2,FALSE)</f>
        <v>Guarani d'Oeste</v>
      </c>
      <c r="H208" s="14" t="str">
        <f>VLOOKUP(tab_Geral[[#This Row],[Informação 3]],tab_AgênciaAmbiental,10,FALSE)</f>
        <v>20</v>
      </c>
      <c r="I208" s="14" t="s">
        <v>206</v>
      </c>
      <c r="J208" s="18" t="s">
        <v>206</v>
      </c>
      <c r="K208" s="17"/>
      <c r="L208" s="17" t="s">
        <v>1901</v>
      </c>
      <c r="M208" s="17" t="s">
        <v>788</v>
      </c>
      <c r="N208" s="17" t="s">
        <v>789</v>
      </c>
      <c r="O208" s="17" t="s">
        <v>790</v>
      </c>
      <c r="P208" s="17" t="s">
        <v>791</v>
      </c>
      <c r="Q208" s="17" t="s">
        <v>792</v>
      </c>
      <c r="R208" s="17" t="s">
        <v>793</v>
      </c>
      <c r="S208" s="17" t="s">
        <v>794</v>
      </c>
      <c r="T208" s="15"/>
    </row>
    <row r="209" spans="1:20" x14ac:dyDescent="0.25">
      <c r="A209" s="14">
        <v>200</v>
      </c>
      <c r="B209" s="14">
        <v>3518107</v>
      </c>
      <c r="C209" s="14" t="str">
        <f>IF(ISERR(FIND("-",tab_Geral[[#This Row],[Municípios]],1)),"","Têm Hifen")</f>
        <v/>
      </c>
      <c r="D209" s="14" t="str">
        <f>IF(tab_Geral[[#This Row],[Informação 3]]&lt;&gt;"","","Não Registrado")</f>
        <v/>
      </c>
      <c r="E209" s="14" t="str">
        <f>IF(tab_Geral[[#This Row],[Municípios]]=tab_Geral[[#This Row],[Informação 1]],"","Não!, Erro!")</f>
        <v/>
      </c>
      <c r="F209" s="14" t="str">
        <f>IF(tab_Geral[[#This Row],[Municípios]]=tab_Geral[[#This Row],[Município]],"","Não!, Erro!")</f>
        <v/>
      </c>
      <c r="G209" s="14" t="str">
        <f>VLOOKUP(tab_Geral[[#This Row],[GeoCodigo]],tab_CETESB[],2,FALSE)</f>
        <v>Guarantã</v>
      </c>
      <c r="H209" s="14" t="str">
        <f>VLOOKUP(tab_Geral[[#This Row],[Informação 3]],tab_AgênciaAmbiental,10,FALSE)</f>
        <v>23</v>
      </c>
      <c r="I209" s="14" t="s">
        <v>207</v>
      </c>
      <c r="J209" s="18" t="s">
        <v>207</v>
      </c>
      <c r="K209" s="17"/>
      <c r="L209" s="17" t="s">
        <v>1904</v>
      </c>
      <c r="M209" s="17" t="s">
        <v>746</v>
      </c>
      <c r="N209" s="17" t="s">
        <v>747</v>
      </c>
      <c r="O209" s="17" t="s">
        <v>748</v>
      </c>
      <c r="P209" s="17" t="s">
        <v>749</v>
      </c>
      <c r="Q209" s="17" t="s">
        <v>750</v>
      </c>
      <c r="R209" s="17" t="s">
        <v>751</v>
      </c>
      <c r="S209" s="17" t="s">
        <v>752</v>
      </c>
      <c r="T209" s="15"/>
    </row>
    <row r="210" spans="1:20" x14ac:dyDescent="0.25">
      <c r="A210" s="14">
        <v>201</v>
      </c>
      <c r="B210" s="14">
        <v>3518206</v>
      </c>
      <c r="C210" s="14" t="str">
        <f>IF(ISERR(FIND("-",tab_Geral[[#This Row],[Municípios]],1)),"","Têm Hifen")</f>
        <v/>
      </c>
      <c r="D210" s="14" t="str">
        <f>IF(tab_Geral[[#This Row],[Informação 3]]&lt;&gt;"","","Não Registrado")</f>
        <v/>
      </c>
      <c r="E210" s="14" t="str">
        <f>IF(tab_Geral[[#This Row],[Municípios]]=tab_Geral[[#This Row],[Informação 1]],"","Não!, Erro!")</f>
        <v/>
      </c>
      <c r="F210" s="14" t="str">
        <f>IF(tab_Geral[[#This Row],[Municípios]]=tab_Geral[[#This Row],[Município]],"","Não!, Erro!")</f>
        <v/>
      </c>
      <c r="G210" s="14" t="str">
        <f>VLOOKUP(tab_Geral[[#This Row],[GeoCodigo]],tab_CETESB[],2,FALSE)</f>
        <v>Guararapes</v>
      </c>
      <c r="H210" s="14" t="str">
        <f>VLOOKUP(tab_Geral[[#This Row],[Informação 3]],tab_AgênciaAmbiental,10,FALSE)</f>
        <v>2</v>
      </c>
      <c r="I210" s="14" t="s">
        <v>208</v>
      </c>
      <c r="J210" s="18" t="s">
        <v>208</v>
      </c>
      <c r="K210" s="17"/>
      <c r="L210" s="17" t="s">
        <v>1883</v>
      </c>
      <c r="M210" s="17" t="s">
        <v>727</v>
      </c>
      <c r="N210" s="17" t="s">
        <v>728</v>
      </c>
      <c r="O210" s="17" t="s">
        <v>729</v>
      </c>
      <c r="P210" s="17" t="s">
        <v>730</v>
      </c>
      <c r="Q210" s="17" t="s">
        <v>731</v>
      </c>
      <c r="R210" s="17" t="s">
        <v>732</v>
      </c>
      <c r="S210" s="17" t="s">
        <v>936</v>
      </c>
    </row>
    <row r="211" spans="1:20" x14ac:dyDescent="0.25">
      <c r="A211" s="14">
        <v>202</v>
      </c>
      <c r="B211" s="14">
        <v>3518305</v>
      </c>
      <c r="C211" s="14" t="str">
        <f>IF(ISERR(FIND("-",tab_Geral[[#This Row],[Municípios]],1)),"","Têm Hifen")</f>
        <v/>
      </c>
      <c r="D211" s="14" t="str">
        <f>IF(tab_Geral[[#This Row],[Informação 3]]&lt;&gt;"","","Não Registrado")</f>
        <v/>
      </c>
      <c r="E211" s="14" t="str">
        <f>IF(tab_Geral[[#This Row],[Municípios]]=tab_Geral[[#This Row],[Informação 1]],"","Não!, Erro!")</f>
        <v/>
      </c>
      <c r="F211" s="14" t="str">
        <f>IF(tab_Geral[[#This Row],[Municípios]]=tab_Geral[[#This Row],[Município]],"","Não!, Erro!")</f>
        <v/>
      </c>
      <c r="G211" s="14" t="str">
        <f>VLOOKUP(tab_Geral[[#This Row],[GeoCodigo]],tab_CETESB[],2,FALSE)</f>
        <v>Guararema</v>
      </c>
      <c r="H211" s="14" t="str">
        <f>VLOOKUP(tab_Geral[[#This Row],[Informação 3]],tab_AgênciaAmbiental,10,FALSE)</f>
        <v>24</v>
      </c>
      <c r="I211" s="14" t="s">
        <v>209</v>
      </c>
      <c r="J211" s="18" t="s">
        <v>209</v>
      </c>
      <c r="K211" s="17"/>
      <c r="L211" s="17" t="s">
        <v>1905</v>
      </c>
      <c r="M211" s="17" t="s">
        <v>871</v>
      </c>
      <c r="N211" s="17" t="s">
        <v>872</v>
      </c>
      <c r="O211" s="17" t="s">
        <v>873</v>
      </c>
      <c r="P211" s="17" t="s">
        <v>874</v>
      </c>
      <c r="Q211" s="17" t="s">
        <v>875</v>
      </c>
      <c r="R211" s="17" t="s">
        <v>686</v>
      </c>
      <c r="S211" s="17" t="s">
        <v>876</v>
      </c>
      <c r="T211" s="15"/>
    </row>
    <row r="212" spans="1:20" x14ac:dyDescent="0.25">
      <c r="A212" s="14">
        <v>203</v>
      </c>
      <c r="B212" s="14">
        <v>3518404</v>
      </c>
      <c r="C212" s="14" t="str">
        <f>IF(ISERR(FIND("-",tab_Geral[[#This Row],[Municípios]],1)),"","Têm Hifen")</f>
        <v/>
      </c>
      <c r="D212" s="14" t="str">
        <f>IF(tab_Geral[[#This Row],[Informação 3]]&lt;&gt;"","","Não Registrado")</f>
        <v/>
      </c>
      <c r="E212" s="14" t="str">
        <f>IF(tab_Geral[[#This Row],[Municípios]]=tab_Geral[[#This Row],[Informação 1]],"","Não!, Erro!")</f>
        <v/>
      </c>
      <c r="F212" s="14" t="str">
        <f>IF(tab_Geral[[#This Row],[Municípios]]=tab_Geral[[#This Row],[Município]],"","Não!, Erro!")</f>
        <v/>
      </c>
      <c r="G212" s="14" t="str">
        <f>VLOOKUP(tab_Geral[[#This Row],[GeoCodigo]],tab_CETESB[],2,FALSE)</f>
        <v>Guaratinguetá</v>
      </c>
      <c r="H212" s="14" t="str">
        <f>VLOOKUP(tab_Geral[[#This Row],[Informação 3]],tab_AgênciaAmbiental,10,FALSE)</f>
        <v>40</v>
      </c>
      <c r="I212" s="14" t="s">
        <v>210</v>
      </c>
      <c r="J212" s="18" t="s">
        <v>210</v>
      </c>
      <c r="K212" s="17"/>
      <c r="L212" s="17" t="s">
        <v>1921</v>
      </c>
      <c r="M212" s="17" t="s">
        <v>781</v>
      </c>
      <c r="N212" s="17" t="s">
        <v>782</v>
      </c>
      <c r="O212" s="17" t="s">
        <v>783</v>
      </c>
      <c r="P212" s="17" t="s">
        <v>784</v>
      </c>
      <c r="Q212" s="17" t="s">
        <v>785</v>
      </c>
      <c r="R212" s="17" t="s">
        <v>786</v>
      </c>
      <c r="S212" s="17" t="s">
        <v>787</v>
      </c>
      <c r="T212" s="15"/>
    </row>
    <row r="213" spans="1:20" x14ac:dyDescent="0.25">
      <c r="A213" s="14">
        <v>204</v>
      </c>
      <c r="B213" s="14">
        <v>3518503</v>
      </c>
      <c r="C213" s="14" t="str">
        <f>IF(ISERR(FIND("-",tab_Geral[[#This Row],[Municípios]],1)),"","Têm Hifen")</f>
        <v/>
      </c>
      <c r="D213" s="14" t="str">
        <f>IF(tab_Geral[[#This Row],[Informação 3]]&lt;&gt;"","","Não Registrado")</f>
        <v/>
      </c>
      <c r="E213" s="14" t="str">
        <f>IF(tab_Geral[[#This Row],[Municípios]]=tab_Geral[[#This Row],[Informação 1]],"","Não!, Erro!")</f>
        <v/>
      </c>
      <c r="F213" s="14" t="str">
        <f>IF(tab_Geral[[#This Row],[Municípios]]=tab_Geral[[#This Row],[Município]],"","Não!, Erro!")</f>
        <v/>
      </c>
      <c r="G213" s="14" t="str">
        <f>VLOOKUP(tab_Geral[[#This Row],[GeoCodigo]],tab_CETESB[],2,FALSE)</f>
        <v>Guareí</v>
      </c>
      <c r="H213" s="14" t="str">
        <f>VLOOKUP(tab_Geral[[#This Row],[Informação 3]],tab_AgênciaAmbiental,10,FALSE)</f>
        <v>17</v>
      </c>
      <c r="I213" s="14" t="s">
        <v>211</v>
      </c>
      <c r="J213" s="18" t="s">
        <v>211</v>
      </c>
      <c r="K213" s="17"/>
      <c r="L213" s="17" t="s">
        <v>1898</v>
      </c>
      <c r="M213" s="17" t="s">
        <v>701</v>
      </c>
      <c r="N213" s="17" t="s">
        <v>657</v>
      </c>
      <c r="O213" s="17" t="s">
        <v>702</v>
      </c>
      <c r="P213" s="17" t="s">
        <v>703</v>
      </c>
      <c r="Q213" s="17" t="s">
        <v>704</v>
      </c>
      <c r="R213" s="17" t="s">
        <v>705</v>
      </c>
      <c r="S213" s="17" t="s">
        <v>706</v>
      </c>
      <c r="T213" s="15"/>
    </row>
    <row r="214" spans="1:20" x14ac:dyDescent="0.25">
      <c r="A214" s="14">
        <v>205</v>
      </c>
      <c r="B214" s="14">
        <v>3518602</v>
      </c>
      <c r="C214" s="14" t="str">
        <f>IF(ISERR(FIND("-",tab_Geral[[#This Row],[Municípios]],1)),"","Têm Hifen")</f>
        <v/>
      </c>
      <c r="D214" s="14" t="str">
        <f>IF(tab_Geral[[#This Row],[Informação 3]]&lt;&gt;"","","Não Registrado")</f>
        <v/>
      </c>
      <c r="E214" s="14" t="str">
        <f>IF(tab_Geral[[#This Row],[Municípios]]=tab_Geral[[#This Row],[Informação 1]],"","Não!, Erro!")</f>
        <v/>
      </c>
      <c r="F214" s="14" t="str">
        <f>IF(tab_Geral[[#This Row],[Municípios]]=tab_Geral[[#This Row],[Município]],"","Não!, Erro!")</f>
        <v/>
      </c>
      <c r="G214" s="14" t="str">
        <f>VLOOKUP(tab_Geral[[#This Row],[GeoCodigo]],tab_CETESB[],2,FALSE)</f>
        <v>Guariba</v>
      </c>
      <c r="H214" s="14" t="str">
        <f>VLOOKUP(tab_Geral[[#This Row],[Informação 3]],tab_AgênciaAmbiental,10,FALSE)</f>
        <v>19</v>
      </c>
      <c r="I214" s="14" t="s">
        <v>212</v>
      </c>
      <c r="J214" s="18" t="s">
        <v>212</v>
      </c>
      <c r="K214" s="17"/>
      <c r="L214" s="17" t="s">
        <v>1900</v>
      </c>
      <c r="M214" s="17" t="s">
        <v>850</v>
      </c>
      <c r="N214" s="17" t="s">
        <v>851</v>
      </c>
      <c r="O214" s="17" t="s">
        <v>852</v>
      </c>
      <c r="P214" s="17" t="s">
        <v>853</v>
      </c>
      <c r="Q214" s="17" t="s">
        <v>854</v>
      </c>
      <c r="R214" s="17" t="s">
        <v>855</v>
      </c>
      <c r="S214" s="17" t="s">
        <v>856</v>
      </c>
      <c r="T214" s="15"/>
    </row>
    <row r="215" spans="1:20" x14ac:dyDescent="0.25">
      <c r="A215" s="14">
        <v>206</v>
      </c>
      <c r="B215" s="14">
        <v>3518701</v>
      </c>
      <c r="C215" s="14" t="str">
        <f>IF(ISERR(FIND("-",tab_Geral[[#This Row],[Municípios]],1)),"","Têm Hifen")</f>
        <v/>
      </c>
      <c r="D215" s="14" t="str">
        <f>IF(tab_Geral[[#This Row],[Informação 3]]&lt;&gt;"","","Não Registrado")</f>
        <v/>
      </c>
      <c r="E215" s="14" t="str">
        <f>IF(tab_Geral[[#This Row],[Municípios]]=tab_Geral[[#This Row],[Informação 1]],"","Não!, Erro!")</f>
        <v/>
      </c>
      <c r="F215" s="14" t="str">
        <f>IF(tab_Geral[[#This Row],[Municípios]]=tab_Geral[[#This Row],[Município]],"","Não!, Erro!")</f>
        <v/>
      </c>
      <c r="G215" s="14" t="str">
        <f>VLOOKUP(tab_Geral[[#This Row],[GeoCodigo]],tab_CETESB[],2,FALSE)</f>
        <v>Guarujá</v>
      </c>
      <c r="H215" s="14" t="str">
        <f>VLOOKUP(tab_Geral[[#This Row],[Informação 3]],tab_AgênciaAmbiental,10,FALSE)</f>
        <v>33</v>
      </c>
      <c r="I215" s="14" t="s">
        <v>213</v>
      </c>
      <c r="J215" s="18" t="s">
        <v>213</v>
      </c>
      <c r="K215" s="17"/>
      <c r="L215" s="17" t="s">
        <v>1914</v>
      </c>
      <c r="M215" s="17" t="s">
        <v>926</v>
      </c>
      <c r="N215" s="17" t="s">
        <v>927</v>
      </c>
      <c r="O215" s="17" t="s">
        <v>928</v>
      </c>
      <c r="P215" s="17" t="s">
        <v>929</v>
      </c>
      <c r="Q215" s="17" t="s">
        <v>930</v>
      </c>
      <c r="R215" s="17" t="s">
        <v>931</v>
      </c>
      <c r="S215" s="17" t="s">
        <v>932</v>
      </c>
      <c r="T215" s="15"/>
    </row>
    <row r="216" spans="1:20" x14ac:dyDescent="0.25">
      <c r="A216" s="14">
        <v>207</v>
      </c>
      <c r="B216" s="14">
        <v>3518800</v>
      </c>
      <c r="C216" s="14" t="str">
        <f>IF(ISERR(FIND("-",tab_Geral[[#This Row],[Municípios]],1)),"","Têm Hifen")</f>
        <v/>
      </c>
      <c r="D216" s="14" t="str">
        <f>IF(tab_Geral[[#This Row],[Informação 3]]&lt;&gt;"","","Não Registrado")</f>
        <v/>
      </c>
      <c r="E216" s="14" t="str">
        <f>IF(tab_Geral[[#This Row],[Municípios]]=tab_Geral[[#This Row],[Informação 1]],"","Não!, Erro!")</f>
        <v/>
      </c>
      <c r="F216" s="14" t="str">
        <f>IF(tab_Geral[[#This Row],[Municípios]]=tab_Geral[[#This Row],[Município]],"","Não!, Erro!")</f>
        <v/>
      </c>
      <c r="G216" s="14" t="str">
        <f>VLOOKUP(tab_Geral[[#This Row],[GeoCodigo]],tab_CETESB[],2,FALSE)</f>
        <v>Guarulhos</v>
      </c>
      <c r="H216" s="14" t="str">
        <f>VLOOKUP(tab_Geral[[#This Row],[Informação 3]],tab_AgênciaAmbiental,10,FALSE)</f>
        <v>16</v>
      </c>
      <c r="I216" s="14" t="s">
        <v>214</v>
      </c>
      <c r="J216" s="18" t="s">
        <v>214</v>
      </c>
      <c r="K216" s="17"/>
      <c r="L216" s="17" t="s">
        <v>1897</v>
      </c>
      <c r="M216" s="17" t="s">
        <v>823</v>
      </c>
      <c r="N216" s="17" t="s">
        <v>824</v>
      </c>
      <c r="O216" s="17" t="s">
        <v>825</v>
      </c>
      <c r="P216" s="17" t="s">
        <v>826</v>
      </c>
      <c r="Q216" s="17" t="s">
        <v>827</v>
      </c>
      <c r="R216" s="17" t="s">
        <v>828</v>
      </c>
      <c r="S216" s="17" t="s">
        <v>829</v>
      </c>
      <c r="T216" s="15"/>
    </row>
    <row r="217" spans="1:20" x14ac:dyDescent="0.25">
      <c r="A217" s="14">
        <v>208</v>
      </c>
      <c r="B217" s="14">
        <v>3518859</v>
      </c>
      <c r="C217" s="14" t="str">
        <f>IF(ISERR(FIND("-",tab_Geral[[#This Row],[Municípios]],1)),"","Têm Hifen")</f>
        <v/>
      </c>
      <c r="D217" s="14" t="str">
        <f>IF(tab_Geral[[#This Row],[Informação 3]]&lt;&gt;"","","Não Registrado")</f>
        <v/>
      </c>
      <c r="E217" s="14" t="str">
        <f>IF(tab_Geral[[#This Row],[Municípios]]=tab_Geral[[#This Row],[Informação 1]],"","Não!, Erro!")</f>
        <v/>
      </c>
      <c r="F217" s="14" t="str">
        <f>IF(tab_Geral[[#This Row],[Municípios]]=tab_Geral[[#This Row],[Município]],"","Não!, Erro!")</f>
        <v/>
      </c>
      <c r="G217" s="14" t="str">
        <f>VLOOKUP(tab_Geral[[#This Row],[GeoCodigo]],tab_CETESB[],2,FALSE)</f>
        <v>Guatapará</v>
      </c>
      <c r="H217" s="14" t="str">
        <f>VLOOKUP(tab_Geral[[#This Row],[Informação 3]],tab_AgênciaAmbiental,10,FALSE)</f>
        <v>19</v>
      </c>
      <c r="I217" s="14" t="s">
        <v>215</v>
      </c>
      <c r="J217" s="18" t="s">
        <v>215</v>
      </c>
      <c r="K217" s="17"/>
      <c r="L217" s="17" t="s">
        <v>1900</v>
      </c>
      <c r="M217" s="17" t="s">
        <v>850</v>
      </c>
      <c r="N217" s="17" t="s">
        <v>851</v>
      </c>
      <c r="O217" s="17" t="s">
        <v>852</v>
      </c>
      <c r="P217" s="17" t="s">
        <v>853</v>
      </c>
      <c r="Q217" s="17" t="s">
        <v>854</v>
      </c>
      <c r="R217" s="17" t="s">
        <v>855</v>
      </c>
      <c r="S217" s="17" t="s">
        <v>856</v>
      </c>
      <c r="T217" s="15"/>
    </row>
    <row r="218" spans="1:20" x14ac:dyDescent="0.25">
      <c r="A218" s="14">
        <v>209</v>
      </c>
      <c r="B218" s="14">
        <v>3518909</v>
      </c>
      <c r="C218" s="14" t="str">
        <f>IF(ISERR(FIND("-",tab_Geral[[#This Row],[Municípios]],1)),"","Têm Hifen")</f>
        <v/>
      </c>
      <c r="D218" s="14" t="str">
        <f>IF(tab_Geral[[#This Row],[Informação 3]]&lt;&gt;"","","Não Registrado")</f>
        <v/>
      </c>
      <c r="E218" s="14" t="str">
        <f>IF(tab_Geral[[#This Row],[Municípios]]=tab_Geral[[#This Row],[Informação 1]],"","Não!, Erro!")</f>
        <v/>
      </c>
      <c r="F218" s="14" t="str">
        <f>IF(tab_Geral[[#This Row],[Municípios]]=tab_Geral[[#This Row],[Município]],"","Não!, Erro!")</f>
        <v/>
      </c>
      <c r="G218" s="14" t="str">
        <f>VLOOKUP(tab_Geral[[#This Row],[GeoCodigo]],tab_CETESB[],2,FALSE)</f>
        <v>Guzolândia</v>
      </c>
      <c r="H218" s="14" t="str">
        <f>VLOOKUP(tab_Geral[[#This Row],[Informação 3]],tab_AgênciaAmbiental,10,FALSE)</f>
        <v>20</v>
      </c>
      <c r="I218" s="14" t="s">
        <v>216</v>
      </c>
      <c r="J218" s="18" t="s">
        <v>216</v>
      </c>
      <c r="K218" s="17"/>
      <c r="L218" s="17" t="s">
        <v>1901</v>
      </c>
      <c r="M218" s="17" t="s">
        <v>788</v>
      </c>
      <c r="N218" s="17" t="s">
        <v>789</v>
      </c>
      <c r="O218" s="17" t="s">
        <v>790</v>
      </c>
      <c r="P218" s="17" t="s">
        <v>791</v>
      </c>
      <c r="Q218" s="17" t="s">
        <v>792</v>
      </c>
      <c r="R218" s="17" t="s">
        <v>793</v>
      </c>
      <c r="S218" s="17" t="s">
        <v>794</v>
      </c>
      <c r="T218" s="15"/>
    </row>
    <row r="219" spans="1:20" x14ac:dyDescent="0.25">
      <c r="A219" s="14">
        <v>210</v>
      </c>
      <c r="B219" s="14">
        <v>3519006</v>
      </c>
      <c r="C219" s="14" t="str">
        <f>IF(ISERR(FIND("-",tab_Geral[[#This Row],[Municípios]],1)),"","Têm Hifen")</f>
        <v/>
      </c>
      <c r="D219" s="14" t="str">
        <f>IF(tab_Geral[[#This Row],[Informação 3]]&lt;&gt;"","","Não Registrado")</f>
        <v/>
      </c>
      <c r="E219" s="14" t="str">
        <f>IF(tab_Geral[[#This Row],[Municípios]]=tab_Geral[[#This Row],[Informação 1]],"","Não!, Erro!")</f>
        <v/>
      </c>
      <c r="F219" s="14" t="str">
        <f>IF(tab_Geral[[#This Row],[Municípios]]=tab_Geral[[#This Row],[Município]],"","Não!, Erro!")</f>
        <v/>
      </c>
      <c r="G219" s="14" t="str">
        <f>VLOOKUP(tab_Geral[[#This Row],[GeoCodigo]],tab_CETESB[],2,FALSE)</f>
        <v>Herculândia</v>
      </c>
      <c r="H219" s="14" t="str">
        <f>VLOOKUP(tab_Geral[[#This Row],[Informação 3]],tab_AgênciaAmbiental,10,FALSE)</f>
        <v>23</v>
      </c>
      <c r="I219" s="14" t="s">
        <v>217</v>
      </c>
      <c r="J219" s="18" t="s">
        <v>217</v>
      </c>
      <c r="K219" s="17"/>
      <c r="L219" s="17" t="s">
        <v>1904</v>
      </c>
      <c r="M219" s="17" t="s">
        <v>746</v>
      </c>
      <c r="N219" s="17" t="s">
        <v>747</v>
      </c>
      <c r="O219" s="17" t="s">
        <v>748</v>
      </c>
      <c r="P219" s="17" t="s">
        <v>749</v>
      </c>
      <c r="Q219" s="17" t="s">
        <v>750</v>
      </c>
      <c r="R219" s="17" t="s">
        <v>751</v>
      </c>
      <c r="S219" s="17" t="s">
        <v>752</v>
      </c>
      <c r="T219" s="15"/>
    </row>
    <row r="220" spans="1:20" x14ac:dyDescent="0.25">
      <c r="A220" s="14">
        <v>211</v>
      </c>
      <c r="B220" s="14">
        <v>3519055</v>
      </c>
      <c r="C220" s="14" t="str">
        <f>IF(ISERR(FIND("-",tab_Geral[[#This Row],[Municípios]],1)),"","Têm Hifen")</f>
        <v/>
      </c>
      <c r="D220" s="14" t="str">
        <f>IF(tab_Geral[[#This Row],[Informação 3]]&lt;&gt;"","","Não Registrado")</f>
        <v/>
      </c>
      <c r="E220" s="14" t="str">
        <f>IF(tab_Geral[[#This Row],[Municípios]]=tab_Geral[[#This Row],[Informação 1]],"","Não!, Erro!")</f>
        <v/>
      </c>
      <c r="F220" s="14" t="str">
        <f>IF(tab_Geral[[#This Row],[Municípios]]=tab_Geral[[#This Row],[Município]],"","Não!, Erro!")</f>
        <v/>
      </c>
      <c r="G220" s="14" t="str">
        <f>VLOOKUP(tab_Geral[[#This Row],[GeoCodigo]],tab_CETESB[],2,FALSE)</f>
        <v>Holambra</v>
      </c>
      <c r="H220" s="14" t="str">
        <f>VLOOKUP(tab_Geral[[#This Row],[Informação 3]],tab_AgênciaAmbiental,10,FALSE)</f>
        <v>27</v>
      </c>
      <c r="I220" s="14" t="s">
        <v>218</v>
      </c>
      <c r="J220" s="18" t="s">
        <v>218</v>
      </c>
      <c r="K220" s="17"/>
      <c r="L220" s="17" t="s">
        <v>1908</v>
      </c>
      <c r="M220" s="17" t="s">
        <v>767</v>
      </c>
      <c r="N220" s="17" t="s">
        <v>768</v>
      </c>
      <c r="O220" s="17" t="s">
        <v>769</v>
      </c>
      <c r="P220" s="17" t="s">
        <v>770</v>
      </c>
      <c r="Q220" s="17" t="s">
        <v>771</v>
      </c>
      <c r="R220" s="17" t="s">
        <v>772</v>
      </c>
      <c r="S220" s="17" t="s">
        <v>773</v>
      </c>
      <c r="T220" s="15"/>
    </row>
    <row r="221" spans="1:20" x14ac:dyDescent="0.25">
      <c r="A221" s="14">
        <v>212</v>
      </c>
      <c r="B221" s="14">
        <v>3519071</v>
      </c>
      <c r="C221" s="14" t="str">
        <f>IF(ISERR(FIND("-",tab_Geral[[#This Row],[Municípios]],1)),"","Têm Hifen")</f>
        <v/>
      </c>
      <c r="D221" s="14" t="str">
        <f>IF(tab_Geral[[#This Row],[Informação 3]]&lt;&gt;"","","Não Registrado")</f>
        <v/>
      </c>
      <c r="E221" s="14" t="str">
        <f>IF(tab_Geral[[#This Row],[Municípios]]=tab_Geral[[#This Row],[Informação 1]],"","Não!, Erro!")</f>
        <v/>
      </c>
      <c r="F221" s="14" t="str">
        <f>IF(tab_Geral[[#This Row],[Municípios]]=tab_Geral[[#This Row],[Município]],"","Não!, Erro!")</f>
        <v/>
      </c>
      <c r="G221" s="14" t="str">
        <f>VLOOKUP(tab_Geral[[#This Row],[GeoCodigo]],tab_CETESB[],2,FALSE)</f>
        <v>Hortolândia</v>
      </c>
      <c r="H221" s="14" t="str">
        <f>VLOOKUP(tab_Geral[[#This Row],[Informação 3]],tab_AgênciaAmbiental,10,FALSE)</f>
        <v>1</v>
      </c>
      <c r="I221" s="14" t="s">
        <v>219</v>
      </c>
      <c r="J221" s="18" t="s">
        <v>219</v>
      </c>
      <c r="K221" s="17"/>
      <c r="L221" s="17" t="s">
        <v>1882</v>
      </c>
      <c r="M221" s="17" t="s">
        <v>753</v>
      </c>
      <c r="N221" s="17" t="s">
        <v>754</v>
      </c>
      <c r="O221" s="17" t="s">
        <v>755</v>
      </c>
      <c r="P221" s="17" t="s">
        <v>756</v>
      </c>
      <c r="Q221" s="17" t="s">
        <v>757</v>
      </c>
      <c r="R221" s="17" t="s">
        <v>758</v>
      </c>
      <c r="S221" s="17" t="s">
        <v>759</v>
      </c>
      <c r="T221" s="15"/>
    </row>
    <row r="222" spans="1:20" x14ac:dyDescent="0.25">
      <c r="A222" s="14">
        <v>213</v>
      </c>
      <c r="B222" s="14">
        <v>3519105</v>
      </c>
      <c r="C222" s="14" t="str">
        <f>IF(ISERR(FIND("-",tab_Geral[[#This Row],[Municípios]],1)),"","Têm Hifen")</f>
        <v/>
      </c>
      <c r="D222" s="14" t="str">
        <f>IF(tab_Geral[[#This Row],[Informação 3]]&lt;&gt;"","","Não Registrado")</f>
        <v/>
      </c>
      <c r="E222" s="14" t="str">
        <f>IF(tab_Geral[[#This Row],[Municípios]]=tab_Geral[[#This Row],[Informação 1]],"","Não!, Erro!")</f>
        <v/>
      </c>
      <c r="F222" s="14" t="str">
        <f>IF(tab_Geral[[#This Row],[Municípios]]=tab_Geral[[#This Row],[Município]],"","Não!, Erro!")</f>
        <v/>
      </c>
      <c r="G222" s="14" t="str">
        <f>VLOOKUP(tab_Geral[[#This Row],[GeoCodigo]],tab_CETESB[],2,FALSE)</f>
        <v>Iacanga</v>
      </c>
      <c r="H222" s="14" t="str">
        <f>VLOOKUP(tab_Geral[[#This Row],[Informação 3]],tab_AgênciaAmbiental,10,FALSE)</f>
        <v>8</v>
      </c>
      <c r="I222" s="14" t="s">
        <v>220</v>
      </c>
      <c r="J222" s="18" t="s">
        <v>220</v>
      </c>
      <c r="K222" s="17"/>
      <c r="L222" s="17" t="s">
        <v>1889</v>
      </c>
      <c r="M222" s="17" t="s">
        <v>694</v>
      </c>
      <c r="N222" s="17" t="s">
        <v>695</v>
      </c>
      <c r="O222" s="17" t="s">
        <v>696</v>
      </c>
      <c r="P222" s="17" t="s">
        <v>697</v>
      </c>
      <c r="Q222" s="17" t="s">
        <v>698</v>
      </c>
      <c r="R222" s="17" t="s">
        <v>699</v>
      </c>
      <c r="S222" s="17" t="s">
        <v>700</v>
      </c>
      <c r="T222" s="15"/>
    </row>
    <row r="223" spans="1:20" x14ac:dyDescent="0.25">
      <c r="A223" s="14">
        <v>214</v>
      </c>
      <c r="B223" s="14">
        <v>3519204</v>
      </c>
      <c r="C223" s="14" t="str">
        <f>IF(ISERR(FIND("-",tab_Geral[[#This Row],[Municípios]],1)),"","Têm Hifen")</f>
        <v/>
      </c>
      <c r="D223" s="14" t="str">
        <f>IF(tab_Geral[[#This Row],[Informação 3]]&lt;&gt;"","","Não Registrado")</f>
        <v/>
      </c>
      <c r="E223" s="14" t="str">
        <f>IF(tab_Geral[[#This Row],[Municípios]]=tab_Geral[[#This Row],[Informação 1]],"","Não!, Erro!")</f>
        <v/>
      </c>
      <c r="F223" s="14" t="str">
        <f>IF(tab_Geral[[#This Row],[Municípios]]=tab_Geral[[#This Row],[Município]],"","Não!, Erro!")</f>
        <v/>
      </c>
      <c r="G223" s="14" t="str">
        <f>VLOOKUP(tab_Geral[[#This Row],[GeoCodigo]],tab_CETESB[],2,FALSE)</f>
        <v>Iacri</v>
      </c>
      <c r="H223" s="14" t="str">
        <f>VLOOKUP(tab_Geral[[#This Row],[Informação 3]],tab_AgênciaAmbiental,10,FALSE)</f>
        <v>23</v>
      </c>
      <c r="I223" s="14" t="s">
        <v>221</v>
      </c>
      <c r="J223" s="18" t="s">
        <v>221</v>
      </c>
      <c r="K223" s="17"/>
      <c r="L223" s="17" t="s">
        <v>1904</v>
      </c>
      <c r="M223" s="17" t="s">
        <v>746</v>
      </c>
      <c r="N223" s="17" t="s">
        <v>747</v>
      </c>
      <c r="O223" s="17" t="s">
        <v>748</v>
      </c>
      <c r="P223" s="17" t="s">
        <v>749</v>
      </c>
      <c r="Q223" s="17" t="s">
        <v>750</v>
      </c>
      <c r="R223" s="17" t="s">
        <v>751</v>
      </c>
      <c r="S223" s="17" t="s">
        <v>752</v>
      </c>
      <c r="T223" s="15"/>
    </row>
    <row r="224" spans="1:20" x14ac:dyDescent="0.25">
      <c r="A224" s="14">
        <v>215</v>
      </c>
      <c r="B224" s="14">
        <v>3519253</v>
      </c>
      <c r="C224" s="14" t="str">
        <f>IF(ISERR(FIND("-",tab_Geral[[#This Row],[Municípios]],1)),"","Têm Hifen")</f>
        <v/>
      </c>
      <c r="D224" s="14" t="str">
        <f>IF(tab_Geral[[#This Row],[Informação 3]]&lt;&gt;"","","Não Registrado")</f>
        <v/>
      </c>
      <c r="E224" s="14" t="str">
        <f>IF(tab_Geral[[#This Row],[Municípios]]=tab_Geral[[#This Row],[Informação 1]],"","Não!, Erro!")</f>
        <v/>
      </c>
      <c r="F224" s="14" t="str">
        <f>IF(tab_Geral[[#This Row],[Municípios]]=tab_Geral[[#This Row],[Município]],"","Não!, Erro!")</f>
        <v/>
      </c>
      <c r="G224" s="14" t="str">
        <f>VLOOKUP(tab_Geral[[#This Row],[GeoCodigo]],tab_CETESB[],2,FALSE)</f>
        <v>Iaras</v>
      </c>
      <c r="H224" s="14" t="str">
        <f>VLOOKUP(tab_Geral[[#This Row],[Informação 3]],tab_AgênciaAmbiental,10,FALSE)</f>
        <v>6</v>
      </c>
      <c r="I224" s="14" t="s">
        <v>222</v>
      </c>
      <c r="J224" s="18" t="s">
        <v>222</v>
      </c>
      <c r="K224" s="17"/>
      <c r="L224" s="17" t="s">
        <v>1887</v>
      </c>
      <c r="M224" s="17" t="s">
        <v>681</v>
      </c>
      <c r="N224" s="17" t="s">
        <v>682</v>
      </c>
      <c r="O224" s="17" t="s">
        <v>683</v>
      </c>
      <c r="P224" s="17" t="s">
        <v>684</v>
      </c>
      <c r="Q224" s="17" t="s">
        <v>685</v>
      </c>
      <c r="R224" s="17" t="s">
        <v>686</v>
      </c>
      <c r="S224" s="17" t="s">
        <v>687</v>
      </c>
      <c r="T224" s="15"/>
    </row>
    <row r="225" spans="1:20" x14ac:dyDescent="0.25">
      <c r="A225" s="14">
        <v>216</v>
      </c>
      <c r="B225" s="14">
        <v>3519303</v>
      </c>
      <c r="C225" s="14" t="str">
        <f>IF(ISERR(FIND("-",tab_Geral[[#This Row],[Municípios]],1)),"","Têm Hifen")</f>
        <v/>
      </c>
      <c r="D225" s="14" t="str">
        <f>IF(tab_Geral[[#This Row],[Informação 3]]&lt;&gt;"","","Não Registrado")</f>
        <v/>
      </c>
      <c r="E225" s="14" t="str">
        <f>IF(tab_Geral[[#This Row],[Municípios]]=tab_Geral[[#This Row],[Informação 1]],"","Não!, Erro!")</f>
        <v/>
      </c>
      <c r="F225" s="14" t="str">
        <f>IF(tab_Geral[[#This Row],[Municípios]]=tab_Geral[[#This Row],[Município]],"","Não!, Erro!")</f>
        <v/>
      </c>
      <c r="G225" s="14" t="str">
        <f>VLOOKUP(tab_Geral[[#This Row],[GeoCodigo]],tab_CETESB[],2,FALSE)</f>
        <v>Ibaté</v>
      </c>
      <c r="H225" s="14" t="str">
        <f>VLOOKUP(tab_Geral[[#This Row],[Informação 3]],tab_AgênciaAmbiental,10,FALSE)</f>
        <v>34</v>
      </c>
      <c r="I225" s="14" t="s">
        <v>223</v>
      </c>
      <c r="J225" s="18" t="s">
        <v>223</v>
      </c>
      <c r="K225" s="17"/>
      <c r="L225" s="17" t="s">
        <v>1915</v>
      </c>
      <c r="M225" s="17" t="s">
        <v>877</v>
      </c>
      <c r="N225" s="17" t="s">
        <v>878</v>
      </c>
      <c r="O225" s="17" t="s">
        <v>879</v>
      </c>
      <c r="P225" s="17" t="s">
        <v>880</v>
      </c>
      <c r="Q225" s="17" t="s">
        <v>881</v>
      </c>
      <c r="R225" s="17" t="s">
        <v>882</v>
      </c>
      <c r="S225" s="17" t="s">
        <v>883</v>
      </c>
      <c r="T225" s="15"/>
    </row>
    <row r="226" spans="1:20" x14ac:dyDescent="0.25">
      <c r="A226" s="14">
        <v>217</v>
      </c>
      <c r="B226" s="14">
        <v>3519402</v>
      </c>
      <c r="C226" s="14" t="str">
        <f>IF(ISERR(FIND("-",tab_Geral[[#This Row],[Municípios]],1)),"","Têm Hifen")</f>
        <v/>
      </c>
      <c r="D226" s="14" t="str">
        <f>IF(tab_Geral[[#This Row],[Informação 3]]&lt;&gt;"","","Não Registrado")</f>
        <v/>
      </c>
      <c r="E226" s="14" t="str">
        <f>IF(tab_Geral[[#This Row],[Municípios]]=tab_Geral[[#This Row],[Informação 1]],"","Não!, Erro!")</f>
        <v/>
      </c>
      <c r="F226" s="14" t="str">
        <f>IF(tab_Geral[[#This Row],[Municípios]]=tab_Geral[[#This Row],[Município]],"","Não!, Erro!")</f>
        <v/>
      </c>
      <c r="G226" s="14" t="str">
        <f>VLOOKUP(tab_Geral[[#This Row],[GeoCodigo]],tab_CETESB[],2,FALSE)</f>
        <v>Ibirá</v>
      </c>
      <c r="H226" s="14" t="str">
        <f>VLOOKUP(tab_Geral[[#This Row],[Informação 3]],tab_AgênciaAmbiental,10,FALSE)</f>
        <v>36</v>
      </c>
      <c r="I226" s="14" t="s">
        <v>224</v>
      </c>
      <c r="J226" s="18" t="s">
        <v>224</v>
      </c>
      <c r="K226" s="17"/>
      <c r="L226" s="17" t="s">
        <v>1917</v>
      </c>
      <c r="M226" s="17" t="s">
        <v>663</v>
      </c>
      <c r="N226" s="17" t="s">
        <v>664</v>
      </c>
      <c r="O226" s="17" t="s">
        <v>665</v>
      </c>
      <c r="P226" s="17" t="s">
        <v>666</v>
      </c>
      <c r="Q226" s="17" t="s">
        <v>667</v>
      </c>
      <c r="R226" s="17" t="s">
        <v>668</v>
      </c>
      <c r="S226" s="17" t="s">
        <v>938</v>
      </c>
    </row>
    <row r="227" spans="1:20" x14ac:dyDescent="0.25">
      <c r="A227" s="14">
        <v>218</v>
      </c>
      <c r="B227" s="14">
        <v>3519501</v>
      </c>
      <c r="C227" s="14" t="str">
        <f>IF(ISERR(FIND("-",tab_Geral[[#This Row],[Municípios]],1)),"","Têm Hifen")</f>
        <v/>
      </c>
      <c r="D227" s="14" t="str">
        <f>IF(tab_Geral[[#This Row],[Informação 3]]&lt;&gt;"","","Não Registrado")</f>
        <v/>
      </c>
      <c r="E227" s="14" t="str">
        <f>IF(tab_Geral[[#This Row],[Municípios]]=tab_Geral[[#This Row],[Informação 1]],"","Não!, Erro!")</f>
        <v/>
      </c>
      <c r="F227" s="14" t="str">
        <f>IF(tab_Geral[[#This Row],[Municípios]]=tab_Geral[[#This Row],[Município]],"","Não!, Erro!")</f>
        <v/>
      </c>
      <c r="G227" s="14" t="str">
        <f>VLOOKUP(tab_Geral[[#This Row],[GeoCodigo]],tab_CETESB[],2,FALSE)</f>
        <v>Ibirarema</v>
      </c>
      <c r="H227" s="14" t="str">
        <f>VLOOKUP(tab_Geral[[#This Row],[Informação 3]],tab_AgênciaAmbiental,10,FALSE)</f>
        <v>4</v>
      </c>
      <c r="I227" s="14" t="s">
        <v>225</v>
      </c>
      <c r="J227" s="18" t="s">
        <v>225</v>
      </c>
      <c r="K227" s="17"/>
      <c r="L227" s="17" t="s">
        <v>1885</v>
      </c>
      <c r="M227" s="17" t="s">
        <v>830</v>
      </c>
      <c r="N227" s="17" t="s">
        <v>831</v>
      </c>
      <c r="O227" s="17" t="s">
        <v>832</v>
      </c>
      <c r="P227" s="17" t="s">
        <v>833</v>
      </c>
      <c r="Q227" s="17" t="s">
        <v>834</v>
      </c>
      <c r="R227" s="17" t="s">
        <v>835</v>
      </c>
      <c r="S227" s="17" t="s">
        <v>836</v>
      </c>
      <c r="T227" s="15"/>
    </row>
    <row r="228" spans="1:20" x14ac:dyDescent="0.25">
      <c r="A228" s="14">
        <v>219</v>
      </c>
      <c r="B228" s="14">
        <v>3519600</v>
      </c>
      <c r="C228" s="14" t="str">
        <f>IF(ISERR(FIND("-",tab_Geral[[#This Row],[Municípios]],1)),"","Têm Hifen")</f>
        <v/>
      </c>
      <c r="D228" s="14" t="str">
        <f>IF(tab_Geral[[#This Row],[Informação 3]]&lt;&gt;"","","Não Registrado")</f>
        <v/>
      </c>
      <c r="E228" s="14" t="str">
        <f>IF(tab_Geral[[#This Row],[Municípios]]=tab_Geral[[#This Row],[Informação 1]],"","Não!, Erro!")</f>
        <v/>
      </c>
      <c r="F228" s="14" t="str">
        <f>IF(tab_Geral[[#This Row],[Municípios]]=tab_Geral[[#This Row],[Município]],"","Não!, Erro!")</f>
        <v/>
      </c>
      <c r="G228" s="14" t="str">
        <f>VLOOKUP(tab_Geral[[#This Row],[GeoCodigo]],tab_CETESB[],2,FALSE)</f>
        <v>Ibitinga</v>
      </c>
      <c r="H228" s="14" t="str">
        <f>VLOOKUP(tab_Geral[[#This Row],[Informação 3]],tab_AgênciaAmbiental,10,FALSE)</f>
        <v>3</v>
      </c>
      <c r="I228" s="14" t="s">
        <v>226</v>
      </c>
      <c r="J228" s="18" t="s">
        <v>226</v>
      </c>
      <c r="K228" s="17"/>
      <c r="L228" s="17" t="s">
        <v>1884</v>
      </c>
      <c r="M228" s="17" t="s">
        <v>760</v>
      </c>
      <c r="N228" s="17" t="s">
        <v>761</v>
      </c>
      <c r="O228" s="17" t="s">
        <v>762</v>
      </c>
      <c r="P228" s="17" t="s">
        <v>763</v>
      </c>
      <c r="Q228" s="17" t="s">
        <v>764</v>
      </c>
      <c r="R228" s="17" t="s">
        <v>765</v>
      </c>
      <c r="S228" s="17" t="s">
        <v>766</v>
      </c>
      <c r="T228" s="15"/>
    </row>
    <row r="229" spans="1:20" x14ac:dyDescent="0.25">
      <c r="A229" s="14">
        <v>220</v>
      </c>
      <c r="B229" s="14">
        <v>3519709</v>
      </c>
      <c r="C229" s="14" t="str">
        <f>IF(ISERR(FIND("-",tab_Geral[[#This Row],[Municípios]],1)),"","Têm Hifen")</f>
        <v/>
      </c>
      <c r="D229" s="14" t="str">
        <f>IF(tab_Geral[[#This Row],[Informação 3]]&lt;&gt;"","","Não Registrado")</f>
        <v/>
      </c>
      <c r="E229" s="14" t="str">
        <f>IF(tab_Geral[[#This Row],[Municípios]]=tab_Geral[[#This Row],[Informação 1]],"","Não!, Erro!")</f>
        <v/>
      </c>
      <c r="F229" s="14" t="str">
        <f>IF(tab_Geral[[#This Row],[Municípios]]=tab_Geral[[#This Row],[Município]],"","Não!, Erro!")</f>
        <v/>
      </c>
      <c r="G229" s="14" t="str">
        <f>VLOOKUP(tab_Geral[[#This Row],[GeoCodigo]],tab_CETESB[],2,FALSE)</f>
        <v>Ibiúna</v>
      </c>
      <c r="H229" s="14" t="str">
        <f>VLOOKUP(tab_Geral[[#This Row],[Informação 3]],tab_AgênciaAmbiental,10,FALSE)</f>
        <v>39</v>
      </c>
      <c r="I229" s="14" t="s">
        <v>227</v>
      </c>
      <c r="J229" s="18" t="s">
        <v>227</v>
      </c>
      <c r="K229" s="17"/>
      <c r="L229" s="17" t="s">
        <v>1920</v>
      </c>
      <c r="M229" s="17" t="s">
        <v>802</v>
      </c>
      <c r="N229" s="17" t="s">
        <v>803</v>
      </c>
      <c r="O229" s="17" t="s">
        <v>804</v>
      </c>
      <c r="P229" s="17" t="s">
        <v>805</v>
      </c>
      <c r="Q229" s="17" t="s">
        <v>806</v>
      </c>
      <c r="R229" s="17" t="s">
        <v>807</v>
      </c>
      <c r="S229" s="17" t="s">
        <v>808</v>
      </c>
      <c r="T229" s="15"/>
    </row>
    <row r="230" spans="1:20" x14ac:dyDescent="0.25">
      <c r="A230" s="14">
        <v>221</v>
      </c>
      <c r="B230" s="14">
        <v>3519808</v>
      </c>
      <c r="C230" s="14" t="str">
        <f>IF(ISERR(FIND("-",tab_Geral[[#This Row],[Municípios]],1)),"","Têm Hifen")</f>
        <v/>
      </c>
      <c r="D230" s="14" t="str">
        <f>IF(tab_Geral[[#This Row],[Informação 3]]&lt;&gt;"","","Não Registrado")</f>
        <v/>
      </c>
      <c r="E230" s="14" t="str">
        <f>IF(tab_Geral[[#This Row],[Municípios]]=tab_Geral[[#This Row],[Informação 1]],"","Não!, Erro!")</f>
        <v/>
      </c>
      <c r="F230" s="14" t="str">
        <f>IF(tab_Geral[[#This Row],[Municípios]]=tab_Geral[[#This Row],[Município]],"","Não!, Erro!")</f>
        <v/>
      </c>
      <c r="G230" s="14" t="str">
        <f>VLOOKUP(tab_Geral[[#This Row],[GeoCodigo]],tab_CETESB[],2,FALSE)</f>
        <v>Icém</v>
      </c>
      <c r="H230" s="14" t="str">
        <f>VLOOKUP(tab_Geral[[#This Row],[Informação 3]],tab_AgênciaAmbiental,10,FALSE)</f>
        <v>36</v>
      </c>
      <c r="I230" s="14" t="s">
        <v>228</v>
      </c>
      <c r="J230" s="18" t="s">
        <v>228</v>
      </c>
      <c r="K230" s="17"/>
      <c r="L230" s="17" t="s">
        <v>1917</v>
      </c>
      <c r="M230" s="17" t="s">
        <v>663</v>
      </c>
      <c r="N230" s="17" t="s">
        <v>664</v>
      </c>
      <c r="O230" s="17" t="s">
        <v>665</v>
      </c>
      <c r="P230" s="17" t="s">
        <v>666</v>
      </c>
      <c r="Q230" s="17" t="s">
        <v>667</v>
      </c>
      <c r="R230" s="17" t="s">
        <v>668</v>
      </c>
      <c r="S230" s="17" t="s">
        <v>938</v>
      </c>
    </row>
    <row r="231" spans="1:20" x14ac:dyDescent="0.25">
      <c r="A231" s="14">
        <v>222</v>
      </c>
      <c r="B231" s="14">
        <v>3519907</v>
      </c>
      <c r="C231" s="14" t="str">
        <f>IF(ISERR(FIND("-",tab_Geral[[#This Row],[Municípios]],1)),"","Têm Hifen")</f>
        <v/>
      </c>
      <c r="D231" s="14" t="str">
        <f>IF(tab_Geral[[#This Row],[Informação 3]]&lt;&gt;"","","Não Registrado")</f>
        <v/>
      </c>
      <c r="E231" s="14" t="str">
        <f>IF(tab_Geral[[#This Row],[Municípios]]=tab_Geral[[#This Row],[Informação 1]],"","Não!, Erro!")</f>
        <v/>
      </c>
      <c r="F231" s="14" t="str">
        <f>IF(tab_Geral[[#This Row],[Municípios]]=tab_Geral[[#This Row],[Município]],"","Não!, Erro!")</f>
        <v/>
      </c>
      <c r="G231" s="14" t="str">
        <f>VLOOKUP(tab_Geral[[#This Row],[GeoCodigo]],tab_CETESB[],2,FALSE)</f>
        <v>Iepê</v>
      </c>
      <c r="H231" s="14" t="str">
        <f>VLOOKUP(tab_Geral[[#This Row],[Informação 3]],tab_AgênciaAmbiental,10,FALSE)</f>
        <v>29</v>
      </c>
      <c r="I231" s="14" t="s">
        <v>229</v>
      </c>
      <c r="J231" s="18" t="s">
        <v>229</v>
      </c>
      <c r="K231" s="17"/>
      <c r="L231" s="17" t="s">
        <v>1910</v>
      </c>
      <c r="M231" s="17" t="s">
        <v>707</v>
      </c>
      <c r="N231" s="17" t="s">
        <v>708</v>
      </c>
      <c r="O231" s="17" t="s">
        <v>709</v>
      </c>
      <c r="P231" s="17" t="s">
        <v>710</v>
      </c>
      <c r="Q231" s="17" t="s">
        <v>711</v>
      </c>
      <c r="R231" s="17" t="s">
        <v>686</v>
      </c>
      <c r="S231" s="17" t="s">
        <v>712</v>
      </c>
      <c r="T231" s="15"/>
    </row>
    <row r="232" spans="1:20" x14ac:dyDescent="0.25">
      <c r="A232" s="14">
        <v>223</v>
      </c>
      <c r="B232" s="14">
        <v>3520004</v>
      </c>
      <c r="C232" s="14" t="str">
        <f>IF(ISERR(FIND("-",tab_Geral[[#This Row],[Municípios]],1)),"","Têm Hifen")</f>
        <v/>
      </c>
      <c r="D232" s="14" t="str">
        <f>IF(tab_Geral[[#This Row],[Informação 3]]&lt;&gt;"","","Não Registrado")</f>
        <v/>
      </c>
      <c r="E232" s="14" t="str">
        <f>IF(tab_Geral[[#This Row],[Municípios]]=tab_Geral[[#This Row],[Informação 1]],"","Não!, Erro!")</f>
        <v/>
      </c>
      <c r="F232" s="14" t="str">
        <f>IF(tab_Geral[[#This Row],[Municípios]]=tab_Geral[[#This Row],[Município]],"","Não!, Erro!")</f>
        <v/>
      </c>
      <c r="G232" s="14" t="str">
        <f>VLOOKUP(tab_Geral[[#This Row],[GeoCodigo]],tab_CETESB[],2,FALSE)</f>
        <v>Igaraçu do Tietê</v>
      </c>
      <c r="H232" s="14" t="str">
        <f>VLOOKUP(tab_Geral[[#This Row],[Informação 3]],tab_AgênciaAmbiental,10,FALSE)</f>
        <v>8</v>
      </c>
      <c r="I232" s="14" t="s">
        <v>230</v>
      </c>
      <c r="J232" s="18" t="s">
        <v>230</v>
      </c>
      <c r="K232" s="17"/>
      <c r="L232" s="17" t="s">
        <v>1889</v>
      </c>
      <c r="M232" s="17" t="s">
        <v>694</v>
      </c>
      <c r="N232" s="17" t="s">
        <v>695</v>
      </c>
      <c r="O232" s="17" t="s">
        <v>696</v>
      </c>
      <c r="P232" s="17" t="s">
        <v>697</v>
      </c>
      <c r="Q232" s="17" t="s">
        <v>698</v>
      </c>
      <c r="R232" s="17" t="s">
        <v>699</v>
      </c>
      <c r="S232" s="17" t="s">
        <v>700</v>
      </c>
      <c r="T232" s="15"/>
    </row>
    <row r="233" spans="1:20" x14ac:dyDescent="0.25">
      <c r="A233" s="14">
        <v>224</v>
      </c>
      <c r="B233" s="14">
        <v>3520103</v>
      </c>
      <c r="C233" s="14" t="str">
        <f>IF(ISERR(FIND("-",tab_Geral[[#This Row],[Municípios]],1)),"","Têm Hifen")</f>
        <v/>
      </c>
      <c r="D233" s="14" t="str">
        <f>IF(tab_Geral[[#This Row],[Informação 3]]&lt;&gt;"","","Não Registrado")</f>
        <v/>
      </c>
      <c r="E233" s="14" t="str">
        <f>IF(tab_Geral[[#This Row],[Municípios]]=tab_Geral[[#This Row],[Informação 1]],"","Não!, Erro!")</f>
        <v/>
      </c>
      <c r="F233" s="14" t="str">
        <f>IF(tab_Geral[[#This Row],[Municípios]]=tab_Geral[[#This Row],[Município]],"","Não!, Erro!")</f>
        <v/>
      </c>
      <c r="G233" s="14" t="str">
        <f>VLOOKUP(tab_Geral[[#This Row],[GeoCodigo]],tab_CETESB[],2,FALSE)</f>
        <v>Igarapava</v>
      </c>
      <c r="H233" s="14" t="str">
        <f>VLOOKUP(tab_Geral[[#This Row],[Informação 3]],tab_AgênciaAmbiental,10,FALSE)</f>
        <v>15</v>
      </c>
      <c r="I233" s="14" t="s">
        <v>231</v>
      </c>
      <c r="J233" s="18" t="s">
        <v>231</v>
      </c>
      <c r="K233" s="17"/>
      <c r="L233" s="17" t="s">
        <v>1896</v>
      </c>
      <c r="M233" s="17" t="s">
        <v>809</v>
      </c>
      <c r="N233" s="17" t="s">
        <v>810</v>
      </c>
      <c r="O233" s="17" t="s">
        <v>811</v>
      </c>
      <c r="P233" s="17" t="s">
        <v>812</v>
      </c>
      <c r="Q233" s="17" t="s">
        <v>813</v>
      </c>
      <c r="R233" s="17" t="s">
        <v>814</v>
      </c>
      <c r="S233" s="17" t="s">
        <v>815</v>
      </c>
      <c r="T233" s="15"/>
    </row>
    <row r="234" spans="1:20" x14ac:dyDescent="0.25">
      <c r="A234" s="14">
        <v>225</v>
      </c>
      <c r="B234" s="14">
        <v>3520202</v>
      </c>
      <c r="C234" s="14" t="str">
        <f>IF(ISERR(FIND("-",tab_Geral[[#This Row],[Municípios]],1)),"","Têm Hifen")</f>
        <v/>
      </c>
      <c r="D234" s="14" t="str">
        <f>IF(tab_Geral[[#This Row],[Informação 3]]&lt;&gt;"","","Não Registrado")</f>
        <v/>
      </c>
      <c r="E234" s="14" t="str">
        <f>IF(tab_Geral[[#This Row],[Municípios]]=tab_Geral[[#This Row],[Informação 1]],"","Não!, Erro!")</f>
        <v/>
      </c>
      <c r="F234" s="14" t="str">
        <f>IF(tab_Geral[[#This Row],[Municípios]]=tab_Geral[[#This Row],[Município]],"","Não!, Erro!")</f>
        <v/>
      </c>
      <c r="G234" s="14" t="str">
        <f>VLOOKUP(tab_Geral[[#This Row],[GeoCodigo]],tab_CETESB[],2,FALSE)</f>
        <v>Igaratá</v>
      </c>
      <c r="H234" s="14" t="str">
        <f>VLOOKUP(tab_Geral[[#This Row],[Informação 3]],tab_AgênciaAmbiental,10,FALSE)</f>
        <v>37</v>
      </c>
      <c r="I234" s="14" t="s">
        <v>232</v>
      </c>
      <c r="J234" s="18" t="s">
        <v>232</v>
      </c>
      <c r="K234" s="17"/>
      <c r="L234" s="17" t="s">
        <v>1918</v>
      </c>
      <c r="M234" s="17" t="s">
        <v>891</v>
      </c>
      <c r="N234" s="17" t="s">
        <v>892</v>
      </c>
      <c r="O234" s="17" t="s">
        <v>893</v>
      </c>
      <c r="P234" s="17" t="s">
        <v>894</v>
      </c>
      <c r="Q234" s="17" t="s">
        <v>895</v>
      </c>
      <c r="R234" s="17" t="s">
        <v>896</v>
      </c>
      <c r="S234" s="17" t="s">
        <v>897</v>
      </c>
      <c r="T234" s="15"/>
    </row>
    <row r="235" spans="1:20" x14ac:dyDescent="0.25">
      <c r="A235" s="14">
        <v>226</v>
      </c>
      <c r="B235" s="14">
        <v>3520301</v>
      </c>
      <c r="C235" s="14" t="str">
        <f>IF(ISERR(FIND("-",tab_Geral[[#This Row],[Municípios]],1)),"","Têm Hifen")</f>
        <v/>
      </c>
      <c r="D235" s="14" t="str">
        <f>IF(tab_Geral[[#This Row],[Informação 3]]&lt;&gt;"","","Não Registrado")</f>
        <v/>
      </c>
      <c r="E235" s="14" t="str">
        <f>IF(tab_Geral[[#This Row],[Municípios]]=tab_Geral[[#This Row],[Informação 1]],"","Não!, Erro!")</f>
        <v/>
      </c>
      <c r="F235" s="14" t="str">
        <f>IF(tab_Geral[[#This Row],[Municípios]]=tab_Geral[[#This Row],[Município]],"","Não!, Erro!")</f>
        <v/>
      </c>
      <c r="G235" s="14" t="str">
        <f>VLOOKUP(tab_Geral[[#This Row],[GeoCodigo]],tab_CETESB[],2,FALSE)</f>
        <v>Iguape</v>
      </c>
      <c r="H235" s="14" t="str">
        <f>VLOOKUP(tab_Geral[[#This Row],[Informação 3]],tab_AgênciaAmbiental,10,FALSE)</f>
        <v>30</v>
      </c>
      <c r="I235" s="14" t="s">
        <v>233</v>
      </c>
      <c r="J235" s="18" t="s">
        <v>233</v>
      </c>
      <c r="K235" s="17"/>
      <c r="L235" s="17" t="s">
        <v>1911</v>
      </c>
      <c r="M235" s="17" t="s">
        <v>843</v>
      </c>
      <c r="N235" s="17" t="s">
        <v>844</v>
      </c>
      <c r="O235" s="17" t="s">
        <v>845</v>
      </c>
      <c r="P235" s="17" t="s">
        <v>846</v>
      </c>
      <c r="Q235" s="17" t="s">
        <v>847</v>
      </c>
      <c r="R235" s="17" t="s">
        <v>848</v>
      </c>
      <c r="S235" s="17" t="s">
        <v>849</v>
      </c>
      <c r="T235" s="15"/>
    </row>
    <row r="236" spans="1:20" x14ac:dyDescent="0.25">
      <c r="A236" s="14">
        <v>227</v>
      </c>
      <c r="B236" s="14">
        <v>3520426</v>
      </c>
      <c r="C236" s="14" t="str">
        <f>IF(ISERR(FIND("-",tab_Geral[[#This Row],[Municípios]],1)),"","Têm Hifen")</f>
        <v/>
      </c>
      <c r="D236" s="14" t="str">
        <f>IF(tab_Geral[[#This Row],[Informação 3]]&lt;&gt;"","","Não Registrado")</f>
        <v/>
      </c>
      <c r="E236" s="14" t="str">
        <f>IF(tab_Geral[[#This Row],[Municípios]]=tab_Geral[[#This Row],[Informação 1]],"","Não!, Erro!")</f>
        <v/>
      </c>
      <c r="F236" s="14" t="str">
        <f>IF(tab_Geral[[#This Row],[Municípios]]=tab_Geral[[#This Row],[Município]],"","Não!, Erro!")</f>
        <v/>
      </c>
      <c r="G236" s="14" t="str">
        <f>VLOOKUP(tab_Geral[[#This Row],[GeoCodigo]],tab_CETESB[],2,FALSE)</f>
        <v>Ilha Comprida</v>
      </c>
      <c r="H236" s="14" t="str">
        <f>VLOOKUP(tab_Geral[[#This Row],[Informação 3]],tab_AgênciaAmbiental,10,FALSE)</f>
        <v>30</v>
      </c>
      <c r="I236" s="14" t="s">
        <v>234</v>
      </c>
      <c r="J236" s="18" t="s">
        <v>234</v>
      </c>
      <c r="K236" s="17"/>
      <c r="L236" s="17" t="s">
        <v>1911</v>
      </c>
      <c r="M236" s="17" t="s">
        <v>843</v>
      </c>
      <c r="N236" s="17" t="s">
        <v>844</v>
      </c>
      <c r="O236" s="17" t="s">
        <v>845</v>
      </c>
      <c r="P236" s="17" t="s">
        <v>846</v>
      </c>
      <c r="Q236" s="17" t="s">
        <v>847</v>
      </c>
      <c r="R236" s="17" t="s">
        <v>848</v>
      </c>
      <c r="S236" s="17" t="s">
        <v>849</v>
      </c>
      <c r="T236" s="15"/>
    </row>
    <row r="237" spans="1:20" x14ac:dyDescent="0.25">
      <c r="A237" s="14">
        <v>228</v>
      </c>
      <c r="B237" s="14">
        <v>3520442</v>
      </c>
      <c r="C237" s="14" t="str">
        <f>IF(ISERR(FIND("-",tab_Geral[[#This Row],[Municípios]],1)),"","Têm Hifen")</f>
        <v/>
      </c>
      <c r="D237" s="14" t="str">
        <f>IF(tab_Geral[[#This Row],[Informação 3]]&lt;&gt;"","","Não Registrado")</f>
        <v/>
      </c>
      <c r="E237" s="14" t="str">
        <f>IF(tab_Geral[[#This Row],[Municípios]]=tab_Geral[[#This Row],[Informação 1]],"","Não!, Erro!")</f>
        <v/>
      </c>
      <c r="F237" s="14" t="str">
        <f>IF(tab_Geral[[#This Row],[Municípios]]=tab_Geral[[#This Row],[Município]],"","Não!, Erro!")</f>
        <v/>
      </c>
      <c r="G237" s="14" t="str">
        <f>VLOOKUP(tab_Geral[[#This Row],[GeoCodigo]],tab_CETESB[],2,FALSE)</f>
        <v>Ilha Solteira</v>
      </c>
      <c r="H237" s="14" t="str">
        <f>VLOOKUP(tab_Geral[[#This Row],[Informação 3]],tab_AgênciaAmbiental,10,FALSE)</f>
        <v>20</v>
      </c>
      <c r="I237" s="14" t="s">
        <v>235</v>
      </c>
      <c r="J237" s="18" t="s">
        <v>235</v>
      </c>
      <c r="K237" s="17"/>
      <c r="L237" s="17" t="s">
        <v>1901</v>
      </c>
      <c r="M237" s="17" t="s">
        <v>788</v>
      </c>
      <c r="N237" s="17" t="s">
        <v>789</v>
      </c>
      <c r="O237" s="17" t="s">
        <v>790</v>
      </c>
      <c r="P237" s="17" t="s">
        <v>791</v>
      </c>
      <c r="Q237" s="17" t="s">
        <v>792</v>
      </c>
      <c r="R237" s="17" t="s">
        <v>793</v>
      </c>
      <c r="S237" s="17" t="s">
        <v>794</v>
      </c>
      <c r="T237" s="15"/>
    </row>
    <row r="238" spans="1:20" x14ac:dyDescent="0.25">
      <c r="A238" s="14">
        <v>229</v>
      </c>
      <c r="B238" s="14">
        <v>3520400</v>
      </c>
      <c r="C238" s="14" t="str">
        <f>IF(ISERR(FIND("-",tab_Geral[[#This Row],[Municípios]],1)),"","Têm Hifen")</f>
        <v/>
      </c>
      <c r="D238" s="14" t="str">
        <f>IF(tab_Geral[[#This Row],[Informação 3]]&lt;&gt;"","","Não Registrado")</f>
        <v/>
      </c>
      <c r="E238" s="14" t="str">
        <f>IF(tab_Geral[[#This Row],[Municípios]]=tab_Geral[[#This Row],[Informação 1]],"","Não!, Erro!")</f>
        <v/>
      </c>
      <c r="F238" s="14" t="str">
        <f>IF(tab_Geral[[#This Row],[Municípios]]=tab_Geral[[#This Row],[Município]],"","Não!, Erro!")</f>
        <v/>
      </c>
      <c r="G238" s="14" t="str">
        <f>VLOOKUP(tab_Geral[[#This Row],[GeoCodigo]],tab_CETESB[],2,FALSE)</f>
        <v>Ilhabela</v>
      </c>
      <c r="H238" s="14" t="str">
        <f>VLOOKUP(tab_Geral[[#This Row],[Informação 3]],tab_AgênciaAmbiental,10,FALSE)</f>
        <v>38</v>
      </c>
      <c r="I238" s="14" t="s">
        <v>236</v>
      </c>
      <c r="J238" s="18" t="s">
        <v>236</v>
      </c>
      <c r="K238" s="17"/>
      <c r="L238" s="17" t="s">
        <v>1919</v>
      </c>
      <c r="M238" s="17" t="s">
        <v>905</v>
      </c>
      <c r="N238" s="17" t="s">
        <v>906</v>
      </c>
      <c r="O238" s="17" t="s">
        <v>907</v>
      </c>
      <c r="P238" s="17" t="s">
        <v>908</v>
      </c>
      <c r="Q238" s="17" t="s">
        <v>909</v>
      </c>
      <c r="R238" s="17" t="s">
        <v>910</v>
      </c>
      <c r="S238" s="17" t="s">
        <v>911</v>
      </c>
      <c r="T238" s="15"/>
    </row>
    <row r="239" spans="1:20" x14ac:dyDescent="0.25">
      <c r="A239" s="14">
        <v>230</v>
      </c>
      <c r="B239" s="14">
        <v>3520509</v>
      </c>
      <c r="C239" s="14" t="str">
        <f>IF(ISERR(FIND("-",tab_Geral[[#This Row],[Municípios]],1)),"","Têm Hifen")</f>
        <v/>
      </c>
      <c r="D239" s="14" t="str">
        <f>IF(tab_Geral[[#This Row],[Informação 3]]&lt;&gt;"","","Não Registrado")</f>
        <v/>
      </c>
      <c r="E239" s="14" t="str">
        <f>IF(tab_Geral[[#This Row],[Municípios]]=tab_Geral[[#This Row],[Informação 1]],"","Não!, Erro!")</f>
        <v/>
      </c>
      <c r="F239" s="14" t="str">
        <f>IF(tab_Geral[[#This Row],[Municípios]]=tab_Geral[[#This Row],[Município]],"","Não!, Erro!")</f>
        <v/>
      </c>
      <c r="G239" s="14" t="str">
        <f>VLOOKUP(tab_Geral[[#This Row],[GeoCodigo]],tab_CETESB[],2,FALSE)</f>
        <v>Indaiatuba</v>
      </c>
      <c r="H239" s="14" t="str">
        <f>VLOOKUP(tab_Geral[[#This Row],[Informação 3]],tab_AgênciaAmbiental,10,FALSE)</f>
        <v>21</v>
      </c>
      <c r="I239" s="14" t="s">
        <v>237</v>
      </c>
      <c r="J239" s="18" t="s">
        <v>237</v>
      </c>
      <c r="K239" s="17"/>
      <c r="L239" s="17" t="s">
        <v>1902</v>
      </c>
      <c r="M239" s="17" t="s">
        <v>884</v>
      </c>
      <c r="N239" s="17" t="s">
        <v>885</v>
      </c>
      <c r="O239" s="17" t="s">
        <v>886</v>
      </c>
      <c r="P239" s="17" t="s">
        <v>887</v>
      </c>
      <c r="Q239" s="17" t="s">
        <v>888</v>
      </c>
      <c r="R239" s="17" t="s">
        <v>889</v>
      </c>
      <c r="S239" s="17" t="s">
        <v>890</v>
      </c>
      <c r="T239" s="15"/>
    </row>
    <row r="240" spans="1:20" x14ac:dyDescent="0.25">
      <c r="A240" s="14">
        <v>231</v>
      </c>
      <c r="B240" s="14">
        <v>3520608</v>
      </c>
      <c r="C240" s="14" t="str">
        <f>IF(ISERR(FIND("-",tab_Geral[[#This Row],[Municípios]],1)),"","Têm Hifen")</f>
        <v/>
      </c>
      <c r="D240" s="14" t="str">
        <f>IF(tab_Geral[[#This Row],[Informação 3]]&lt;&gt;"","","Não Registrado")</f>
        <v/>
      </c>
      <c r="E240" s="14" t="str">
        <f>IF(tab_Geral[[#This Row],[Municípios]]=tab_Geral[[#This Row],[Informação 1]],"","Não!, Erro!")</f>
        <v/>
      </c>
      <c r="F240" s="14" t="str">
        <f>IF(tab_Geral[[#This Row],[Municípios]]=tab_Geral[[#This Row],[Município]],"","Não!, Erro!")</f>
        <v/>
      </c>
      <c r="G240" s="14" t="str">
        <f>VLOOKUP(tab_Geral[[#This Row],[GeoCodigo]],tab_CETESB[],2,FALSE)</f>
        <v>Indiana</v>
      </c>
      <c r="H240" s="14" t="str">
        <f>VLOOKUP(tab_Geral[[#This Row],[Informação 3]],tab_AgênciaAmbiental,10,FALSE)</f>
        <v>29</v>
      </c>
      <c r="I240" s="14" t="s">
        <v>238</v>
      </c>
      <c r="J240" s="18" t="s">
        <v>238</v>
      </c>
      <c r="K240" s="17"/>
      <c r="L240" s="17" t="s">
        <v>1910</v>
      </c>
      <c r="M240" s="17" t="s">
        <v>707</v>
      </c>
      <c r="N240" s="17" t="s">
        <v>708</v>
      </c>
      <c r="O240" s="17" t="s">
        <v>709</v>
      </c>
      <c r="P240" s="17" t="s">
        <v>710</v>
      </c>
      <c r="Q240" s="17" t="s">
        <v>711</v>
      </c>
      <c r="R240" s="17" t="s">
        <v>686</v>
      </c>
      <c r="S240" s="17" t="s">
        <v>712</v>
      </c>
      <c r="T240" s="15"/>
    </row>
    <row r="241" spans="1:20" x14ac:dyDescent="0.25">
      <c r="A241" s="14">
        <v>232</v>
      </c>
      <c r="B241" s="14">
        <v>3520707</v>
      </c>
      <c r="C241" s="14" t="str">
        <f>IF(ISERR(FIND("-",tab_Geral[[#This Row],[Municípios]],1)),"","Têm Hifen")</f>
        <v/>
      </c>
      <c r="D241" s="14" t="str">
        <f>IF(tab_Geral[[#This Row],[Informação 3]]&lt;&gt;"","","Não Registrado")</f>
        <v/>
      </c>
      <c r="E241" s="14" t="str">
        <f>IF(tab_Geral[[#This Row],[Municípios]]=tab_Geral[[#This Row],[Informação 1]],"","Não!, Erro!")</f>
        <v/>
      </c>
      <c r="F241" s="14" t="str">
        <f>IF(tab_Geral[[#This Row],[Municípios]]=tab_Geral[[#This Row],[Município]],"","Não!, Erro!")</f>
        <v/>
      </c>
      <c r="G241" s="14" t="str">
        <f>VLOOKUP(tab_Geral[[#This Row],[GeoCodigo]],tab_CETESB[],2,FALSE)</f>
        <v>Indiaporã</v>
      </c>
      <c r="H241" s="14" t="str">
        <f>VLOOKUP(tab_Geral[[#This Row],[Informação 3]],tab_AgênciaAmbiental,10,FALSE)</f>
        <v>20</v>
      </c>
      <c r="I241" s="14" t="s">
        <v>239</v>
      </c>
      <c r="J241" s="18" t="s">
        <v>239</v>
      </c>
      <c r="K241" s="17"/>
      <c r="L241" s="17" t="s">
        <v>1901</v>
      </c>
      <c r="M241" s="17" t="s">
        <v>788</v>
      </c>
      <c r="N241" s="17" t="s">
        <v>789</v>
      </c>
      <c r="O241" s="17" t="s">
        <v>790</v>
      </c>
      <c r="P241" s="17" t="s">
        <v>791</v>
      </c>
      <c r="Q241" s="17" t="s">
        <v>792</v>
      </c>
      <c r="R241" s="17" t="s">
        <v>793</v>
      </c>
      <c r="S241" s="17" t="s">
        <v>794</v>
      </c>
      <c r="T241" s="15"/>
    </row>
    <row r="242" spans="1:20" x14ac:dyDescent="0.25">
      <c r="A242" s="14">
        <v>233</v>
      </c>
      <c r="B242" s="14">
        <v>3520806</v>
      </c>
      <c r="C242" s="14" t="str">
        <f>IF(ISERR(FIND("-",tab_Geral[[#This Row],[Municípios]],1)),"","Têm Hifen")</f>
        <v/>
      </c>
      <c r="D242" s="14" t="str">
        <f>IF(tab_Geral[[#This Row],[Informação 3]]&lt;&gt;"","","Não Registrado")</f>
        <v/>
      </c>
      <c r="E242" s="14" t="str">
        <f>IF(tab_Geral[[#This Row],[Municípios]]=tab_Geral[[#This Row],[Informação 1]],"","Não!, Erro!")</f>
        <v/>
      </c>
      <c r="F242" s="14" t="str">
        <f>IF(tab_Geral[[#This Row],[Municípios]]=tab_Geral[[#This Row],[Município]],"","Não!, Erro!")</f>
        <v/>
      </c>
      <c r="G242" s="14" t="str">
        <f>VLOOKUP(tab_Geral[[#This Row],[GeoCodigo]],tab_CETESB[],2,FALSE)</f>
        <v>Inúbia Paulista</v>
      </c>
      <c r="H242" s="14" t="str">
        <f>VLOOKUP(tab_Geral[[#This Row],[Informação 3]],tab_AgênciaAmbiental,10,FALSE)</f>
        <v>13</v>
      </c>
      <c r="I242" s="14" t="s">
        <v>240</v>
      </c>
      <c r="J242" s="18" t="s">
        <v>240</v>
      </c>
      <c r="K242" s="17"/>
      <c r="L242" s="17" t="s">
        <v>1894</v>
      </c>
      <c r="M242" s="17" t="s">
        <v>656</v>
      </c>
      <c r="N242" s="17" t="s">
        <v>657</v>
      </c>
      <c r="O242" s="17" t="s">
        <v>658</v>
      </c>
      <c r="P242" s="17" t="s">
        <v>659</v>
      </c>
      <c r="Q242" s="17" t="s">
        <v>660</v>
      </c>
      <c r="R242" s="17" t="s">
        <v>661</v>
      </c>
      <c r="S242" s="17" t="s">
        <v>662</v>
      </c>
      <c r="T242" s="15"/>
    </row>
    <row r="243" spans="1:20" x14ac:dyDescent="0.25">
      <c r="A243" s="14">
        <v>234</v>
      </c>
      <c r="B243" s="14">
        <v>3520905</v>
      </c>
      <c r="C243" s="14" t="str">
        <f>IF(ISERR(FIND("-",tab_Geral[[#This Row],[Municípios]],1)),"","Têm Hifen")</f>
        <v/>
      </c>
      <c r="D243" s="14" t="str">
        <f>IF(tab_Geral[[#This Row],[Informação 3]]&lt;&gt;"","","Não Registrado")</f>
        <v/>
      </c>
      <c r="E243" s="14" t="str">
        <f>IF(tab_Geral[[#This Row],[Municípios]]=tab_Geral[[#This Row],[Informação 1]],"","Não!, Erro!")</f>
        <v/>
      </c>
      <c r="F243" s="14" t="str">
        <f>IF(tab_Geral[[#This Row],[Municípios]]=tab_Geral[[#This Row],[Município]],"","Não!, Erro!")</f>
        <v/>
      </c>
      <c r="G243" s="14" t="str">
        <f>VLOOKUP(tab_Geral[[#This Row],[GeoCodigo]],tab_CETESB[],2,FALSE)</f>
        <v>Ipaussu</v>
      </c>
      <c r="H243" s="14" t="str">
        <f>VLOOKUP(tab_Geral[[#This Row],[Informação 3]],tab_AgênciaAmbiental,10,FALSE)</f>
        <v>4</v>
      </c>
      <c r="I243" s="14" t="s">
        <v>241</v>
      </c>
      <c r="J243" s="18" t="s">
        <v>241</v>
      </c>
      <c r="K243" s="17"/>
      <c r="L243" s="17" t="s">
        <v>1885</v>
      </c>
      <c r="M243" s="17" t="s">
        <v>830</v>
      </c>
      <c r="N243" s="17" t="s">
        <v>831</v>
      </c>
      <c r="O243" s="17" t="s">
        <v>832</v>
      </c>
      <c r="P243" s="17" t="s">
        <v>833</v>
      </c>
      <c r="Q243" s="17" t="s">
        <v>834</v>
      </c>
      <c r="R243" s="17" t="s">
        <v>835</v>
      </c>
      <c r="S243" s="17" t="s">
        <v>836</v>
      </c>
      <c r="T243" s="15"/>
    </row>
    <row r="244" spans="1:20" x14ac:dyDescent="0.25">
      <c r="A244" s="14">
        <v>235</v>
      </c>
      <c r="B244" s="14">
        <v>3521002</v>
      </c>
      <c r="C244" s="14" t="str">
        <f>IF(ISERR(FIND("-",tab_Geral[[#This Row],[Municípios]],1)),"","Têm Hifen")</f>
        <v/>
      </c>
      <c r="D244" s="14" t="str">
        <f>IF(tab_Geral[[#This Row],[Informação 3]]&lt;&gt;"","","Não Registrado")</f>
        <v/>
      </c>
      <c r="E244" s="14" t="str">
        <f>IF(tab_Geral[[#This Row],[Municípios]]=tab_Geral[[#This Row],[Informação 1]],"","Não!, Erro!")</f>
        <v/>
      </c>
      <c r="F244" s="14" t="str">
        <f>IF(tab_Geral[[#This Row],[Municípios]]=tab_Geral[[#This Row],[Município]],"","Não!, Erro!")</f>
        <v/>
      </c>
      <c r="G244" s="14" t="str">
        <f>VLOOKUP(tab_Geral[[#This Row],[GeoCodigo]],tab_CETESB[],2,FALSE)</f>
        <v>Iperó</v>
      </c>
      <c r="H244" s="14" t="str">
        <f>VLOOKUP(tab_Geral[[#This Row],[Informação 3]],tab_AgênciaAmbiental,10,FALSE)</f>
        <v>39</v>
      </c>
      <c r="I244" s="14" t="s">
        <v>242</v>
      </c>
      <c r="J244" s="18" t="s">
        <v>242</v>
      </c>
      <c r="K244" s="17"/>
      <c r="L244" s="17" t="s">
        <v>1920</v>
      </c>
      <c r="M244" s="17" t="s">
        <v>802</v>
      </c>
      <c r="N244" s="17" t="s">
        <v>803</v>
      </c>
      <c r="O244" s="17" t="s">
        <v>804</v>
      </c>
      <c r="P244" s="17" t="s">
        <v>805</v>
      </c>
      <c r="Q244" s="17" t="s">
        <v>806</v>
      </c>
      <c r="R244" s="17" t="s">
        <v>807</v>
      </c>
      <c r="S244" s="17" t="s">
        <v>808</v>
      </c>
      <c r="T244" s="15"/>
    </row>
    <row r="245" spans="1:20" x14ac:dyDescent="0.25">
      <c r="A245" s="14">
        <v>236</v>
      </c>
      <c r="B245" s="14">
        <v>3521101</v>
      </c>
      <c r="C245" s="14" t="str">
        <f>IF(ISERR(FIND("-",tab_Geral[[#This Row],[Municípios]],1)),"","Têm Hifen")</f>
        <v/>
      </c>
      <c r="D245" s="14" t="str">
        <f>IF(tab_Geral[[#This Row],[Informação 3]]&lt;&gt;"","","Não Registrado")</f>
        <v/>
      </c>
      <c r="E245" s="14" t="str">
        <f>IF(tab_Geral[[#This Row],[Municípios]]=tab_Geral[[#This Row],[Informação 1]],"","Não!, Erro!")</f>
        <v/>
      </c>
      <c r="F245" s="14" t="str">
        <f>IF(tab_Geral[[#This Row],[Municípios]]=tab_Geral[[#This Row],[Município]],"","Não!, Erro!")</f>
        <v/>
      </c>
      <c r="G245" s="14" t="str">
        <f>VLOOKUP(tab_Geral[[#This Row],[GeoCodigo]],tab_CETESB[],2,FALSE)</f>
        <v>Ipeúna</v>
      </c>
      <c r="H245" s="14" t="str">
        <f>VLOOKUP(tab_Geral[[#This Row],[Informação 3]],tab_AgênciaAmbiental,10,FALSE)</f>
        <v>28</v>
      </c>
      <c r="I245" s="14" t="s">
        <v>243</v>
      </c>
      <c r="J245" s="18" t="s">
        <v>243</v>
      </c>
      <c r="K245" s="17"/>
      <c r="L245" s="17" t="s">
        <v>1909</v>
      </c>
      <c r="M245" s="17" t="s">
        <v>688</v>
      </c>
      <c r="N245" s="17" t="s">
        <v>657</v>
      </c>
      <c r="O245" s="17" t="s">
        <v>689</v>
      </c>
      <c r="P245" s="17" t="s">
        <v>690</v>
      </c>
      <c r="Q245" s="17" t="s">
        <v>691</v>
      </c>
      <c r="R245" s="17" t="s">
        <v>692</v>
      </c>
      <c r="S245" s="17" t="s">
        <v>693</v>
      </c>
      <c r="T245" s="15"/>
    </row>
    <row r="246" spans="1:20" x14ac:dyDescent="0.25">
      <c r="A246" s="14">
        <v>237</v>
      </c>
      <c r="B246" s="14">
        <v>3521150</v>
      </c>
      <c r="C246" s="14" t="str">
        <f>IF(ISERR(FIND("-",tab_Geral[[#This Row],[Municípios]],1)),"","Têm Hifen")</f>
        <v/>
      </c>
      <c r="D246" s="14" t="str">
        <f>IF(tab_Geral[[#This Row],[Informação 3]]&lt;&gt;"","","Não Registrado")</f>
        <v/>
      </c>
      <c r="E246" s="14" t="str">
        <f>IF(tab_Geral[[#This Row],[Municípios]]=tab_Geral[[#This Row],[Informação 1]],"","Não!, Erro!")</f>
        <v/>
      </c>
      <c r="F246" s="14" t="str">
        <f>IF(tab_Geral[[#This Row],[Municípios]]=tab_Geral[[#This Row],[Município]],"","Não!, Erro!")</f>
        <v/>
      </c>
      <c r="G246" s="14" t="str">
        <f>VLOOKUP(tab_Geral[[#This Row],[GeoCodigo]],tab_CETESB[],2,FALSE)</f>
        <v>Ipiguá</v>
      </c>
      <c r="H246" s="14" t="str">
        <f>VLOOKUP(tab_Geral[[#This Row],[Informação 3]],tab_AgênciaAmbiental,10,FALSE)</f>
        <v>36</v>
      </c>
      <c r="I246" s="14" t="s">
        <v>244</v>
      </c>
      <c r="J246" s="18" t="s">
        <v>244</v>
      </c>
      <c r="K246" s="17"/>
      <c r="L246" s="17" t="s">
        <v>1917</v>
      </c>
      <c r="M246" s="17" t="s">
        <v>663</v>
      </c>
      <c r="N246" s="17" t="s">
        <v>664</v>
      </c>
      <c r="O246" s="17" t="s">
        <v>665</v>
      </c>
      <c r="P246" s="17" t="s">
        <v>666</v>
      </c>
      <c r="Q246" s="17" t="s">
        <v>667</v>
      </c>
      <c r="R246" s="17" t="s">
        <v>668</v>
      </c>
      <c r="S246" s="17" t="s">
        <v>938</v>
      </c>
    </row>
    <row r="247" spans="1:20" x14ac:dyDescent="0.25">
      <c r="A247" s="14">
        <v>238</v>
      </c>
      <c r="B247" s="14">
        <v>3521200</v>
      </c>
      <c r="C247" s="14" t="str">
        <f>IF(ISERR(FIND("-",tab_Geral[[#This Row],[Municípios]],1)),"","Têm Hifen")</f>
        <v/>
      </c>
      <c r="D247" s="14" t="str">
        <f>IF(tab_Geral[[#This Row],[Informação 3]]&lt;&gt;"","","Não Registrado")</f>
        <v/>
      </c>
      <c r="E247" s="14" t="str">
        <f>IF(tab_Geral[[#This Row],[Municípios]]=tab_Geral[[#This Row],[Informação 1]],"","Não!, Erro!")</f>
        <v/>
      </c>
      <c r="F247" s="14" t="str">
        <f>IF(tab_Geral[[#This Row],[Municípios]]=tab_Geral[[#This Row],[Município]],"","Não!, Erro!")</f>
        <v/>
      </c>
      <c r="G247" s="14" t="str">
        <f>VLOOKUP(tab_Geral[[#This Row],[GeoCodigo]],tab_CETESB[],2,FALSE)</f>
        <v>Iporanga</v>
      </c>
      <c r="H247" s="14" t="str">
        <f>VLOOKUP(tab_Geral[[#This Row],[Informação 3]],tab_AgênciaAmbiental,10,FALSE)</f>
        <v>30</v>
      </c>
      <c r="I247" s="14" t="s">
        <v>245</v>
      </c>
      <c r="J247" s="18" t="s">
        <v>245</v>
      </c>
      <c r="K247" s="17"/>
      <c r="L247" s="17" t="s">
        <v>1911</v>
      </c>
      <c r="M247" s="17" t="s">
        <v>843</v>
      </c>
      <c r="N247" s="17" t="s">
        <v>844</v>
      </c>
      <c r="O247" s="17" t="s">
        <v>845</v>
      </c>
      <c r="P247" s="17" t="s">
        <v>846</v>
      </c>
      <c r="Q247" s="17" t="s">
        <v>847</v>
      </c>
      <c r="R247" s="17" t="s">
        <v>848</v>
      </c>
      <c r="S247" s="17" t="s">
        <v>849</v>
      </c>
      <c r="T247" s="15"/>
    </row>
    <row r="248" spans="1:20" x14ac:dyDescent="0.25">
      <c r="A248" s="14">
        <v>239</v>
      </c>
      <c r="B248" s="14">
        <v>3521309</v>
      </c>
      <c r="C248" s="14" t="str">
        <f>IF(ISERR(FIND("-",tab_Geral[[#This Row],[Municípios]],1)),"","Têm Hifen")</f>
        <v/>
      </c>
      <c r="D248" s="14" t="str">
        <f>IF(tab_Geral[[#This Row],[Informação 3]]&lt;&gt;"","","Não Registrado")</f>
        <v/>
      </c>
      <c r="E248" s="14" t="str">
        <f>IF(tab_Geral[[#This Row],[Municípios]]=tab_Geral[[#This Row],[Informação 1]],"","Não!, Erro!")</f>
        <v/>
      </c>
      <c r="F248" s="14" t="str">
        <f>IF(tab_Geral[[#This Row],[Municípios]]=tab_Geral[[#This Row],[Município]],"","Não!, Erro!")</f>
        <v/>
      </c>
      <c r="G248" s="14" t="str">
        <f>VLOOKUP(tab_Geral[[#This Row],[GeoCodigo]],tab_CETESB[],2,FALSE)</f>
        <v>Ipuã</v>
      </c>
      <c r="H248" s="14" t="str">
        <f>VLOOKUP(tab_Geral[[#This Row],[Informação 3]],tab_AgênciaAmbiental,10,FALSE)</f>
        <v>31</v>
      </c>
      <c r="I248" s="14" t="s">
        <v>246</v>
      </c>
      <c r="J248" s="18" t="s">
        <v>246</v>
      </c>
      <c r="K248" s="17"/>
      <c r="L248" s="17" t="s">
        <v>1912</v>
      </c>
      <c r="M248" s="17" t="s">
        <v>720</v>
      </c>
      <c r="N248" s="17" t="s">
        <v>721</v>
      </c>
      <c r="O248" s="17" t="s">
        <v>722</v>
      </c>
      <c r="P248" s="17" t="s">
        <v>723</v>
      </c>
      <c r="Q248" s="17" t="s">
        <v>724</v>
      </c>
      <c r="R248" s="17" t="s">
        <v>725</v>
      </c>
      <c r="S248" s="17" t="s">
        <v>726</v>
      </c>
      <c r="T248" s="15"/>
    </row>
    <row r="249" spans="1:20" x14ac:dyDescent="0.25">
      <c r="A249" s="14">
        <v>240</v>
      </c>
      <c r="B249" s="14">
        <v>3521408</v>
      </c>
      <c r="C249" s="14" t="str">
        <f>IF(ISERR(FIND("-",tab_Geral[[#This Row],[Municípios]],1)),"","Têm Hifen")</f>
        <v/>
      </c>
      <c r="D249" s="14" t="str">
        <f>IF(tab_Geral[[#This Row],[Informação 3]]&lt;&gt;"","","Não Registrado")</f>
        <v/>
      </c>
      <c r="E249" s="14" t="str">
        <f>IF(tab_Geral[[#This Row],[Municípios]]=tab_Geral[[#This Row],[Informação 1]],"","Não!, Erro!")</f>
        <v/>
      </c>
      <c r="F249" s="14" t="str">
        <f>IF(tab_Geral[[#This Row],[Municípios]]=tab_Geral[[#This Row],[Município]],"","Não!, Erro!")</f>
        <v/>
      </c>
      <c r="G249" s="14" t="str">
        <f>VLOOKUP(tab_Geral[[#This Row],[GeoCodigo]],tab_CETESB[],2,FALSE)</f>
        <v>Iracemápolis</v>
      </c>
      <c r="H249" s="14" t="str">
        <f>VLOOKUP(tab_Geral[[#This Row],[Informação 3]],tab_AgênciaAmbiental,10,FALSE)</f>
        <v>22</v>
      </c>
      <c r="I249" s="14" t="s">
        <v>247</v>
      </c>
      <c r="J249" s="18" t="s">
        <v>247</v>
      </c>
      <c r="K249" s="17"/>
      <c r="L249" s="17" t="s">
        <v>1903</v>
      </c>
      <c r="M249" s="17" t="s">
        <v>816</v>
      </c>
      <c r="N249" s="17" t="s">
        <v>817</v>
      </c>
      <c r="O249" s="17" t="s">
        <v>818</v>
      </c>
      <c r="P249" s="17" t="s">
        <v>819</v>
      </c>
      <c r="Q249" s="17" t="s">
        <v>820</v>
      </c>
      <c r="R249" s="17" t="s">
        <v>821</v>
      </c>
      <c r="S249" s="17" t="s">
        <v>822</v>
      </c>
      <c r="T249" s="15"/>
    </row>
    <row r="250" spans="1:20" x14ac:dyDescent="0.25">
      <c r="A250" s="14">
        <v>241</v>
      </c>
      <c r="B250" s="14">
        <v>3521507</v>
      </c>
      <c r="C250" s="14" t="str">
        <f>IF(ISERR(FIND("-",tab_Geral[[#This Row],[Municípios]],1)),"","Têm Hifen")</f>
        <v/>
      </c>
      <c r="D250" s="14" t="str">
        <f>IF(tab_Geral[[#This Row],[Informação 3]]&lt;&gt;"","","Não Registrado")</f>
        <v/>
      </c>
      <c r="E250" s="14" t="str">
        <f>IF(tab_Geral[[#This Row],[Municípios]]=tab_Geral[[#This Row],[Informação 1]],"","Não!, Erro!")</f>
        <v/>
      </c>
      <c r="F250" s="14" t="str">
        <f>IF(tab_Geral[[#This Row],[Municípios]]=tab_Geral[[#This Row],[Município]],"","Não!, Erro!")</f>
        <v/>
      </c>
      <c r="G250" s="14" t="str">
        <f>VLOOKUP(tab_Geral[[#This Row],[GeoCodigo]],tab_CETESB[],2,FALSE)</f>
        <v>Irapuã</v>
      </c>
      <c r="H250" s="14" t="str">
        <f>VLOOKUP(tab_Geral[[#This Row],[Informação 3]],tab_AgênciaAmbiental,10,FALSE)</f>
        <v>36</v>
      </c>
      <c r="I250" s="14" t="s">
        <v>248</v>
      </c>
      <c r="J250" s="18" t="s">
        <v>248</v>
      </c>
      <c r="K250" s="17"/>
      <c r="L250" s="17" t="s">
        <v>1917</v>
      </c>
      <c r="M250" s="17" t="s">
        <v>663</v>
      </c>
      <c r="N250" s="17" t="s">
        <v>664</v>
      </c>
      <c r="O250" s="17" t="s">
        <v>665</v>
      </c>
      <c r="P250" s="17" t="s">
        <v>666</v>
      </c>
      <c r="Q250" s="17" t="s">
        <v>667</v>
      </c>
      <c r="R250" s="17" t="s">
        <v>668</v>
      </c>
      <c r="S250" s="17" t="s">
        <v>938</v>
      </c>
    </row>
    <row r="251" spans="1:20" x14ac:dyDescent="0.25">
      <c r="A251" s="14">
        <v>242</v>
      </c>
      <c r="B251" s="14">
        <v>3521606</v>
      </c>
      <c r="C251" s="14" t="str">
        <f>IF(ISERR(FIND("-",tab_Geral[[#This Row],[Municípios]],1)),"","Têm Hifen")</f>
        <v/>
      </c>
      <c r="D251" s="14" t="str">
        <f>IF(tab_Geral[[#This Row],[Informação 3]]&lt;&gt;"","","Não Registrado")</f>
        <v/>
      </c>
      <c r="E251" s="14" t="str">
        <f>IF(tab_Geral[[#This Row],[Municípios]]=tab_Geral[[#This Row],[Informação 1]],"","Não!, Erro!")</f>
        <v/>
      </c>
      <c r="F251" s="14" t="str">
        <f>IF(tab_Geral[[#This Row],[Municípios]]=tab_Geral[[#This Row],[Município]],"","Não!, Erro!")</f>
        <v/>
      </c>
      <c r="G251" s="14" t="str">
        <f>VLOOKUP(tab_Geral[[#This Row],[GeoCodigo]],tab_CETESB[],2,FALSE)</f>
        <v>Irapuru</v>
      </c>
      <c r="H251" s="14" t="str">
        <f>VLOOKUP(tab_Geral[[#This Row],[Informação 3]],tab_AgênciaAmbiental,10,FALSE)</f>
        <v>13</v>
      </c>
      <c r="I251" s="14" t="s">
        <v>249</v>
      </c>
      <c r="J251" s="18" t="s">
        <v>249</v>
      </c>
      <c r="K251" s="17"/>
      <c r="L251" s="17" t="s">
        <v>1894</v>
      </c>
      <c r="M251" s="17" t="s">
        <v>656</v>
      </c>
      <c r="N251" s="17" t="s">
        <v>657</v>
      </c>
      <c r="O251" s="17" t="s">
        <v>658</v>
      </c>
      <c r="P251" s="17" t="s">
        <v>659</v>
      </c>
      <c r="Q251" s="17" t="s">
        <v>660</v>
      </c>
      <c r="R251" s="17" t="s">
        <v>661</v>
      </c>
      <c r="S251" s="17" t="s">
        <v>662</v>
      </c>
      <c r="T251" s="15"/>
    </row>
    <row r="252" spans="1:20" x14ac:dyDescent="0.25">
      <c r="A252" s="14">
        <v>243</v>
      </c>
      <c r="B252" s="14">
        <v>3521705</v>
      </c>
      <c r="C252" s="14" t="str">
        <f>IF(ISERR(FIND("-",tab_Geral[[#This Row],[Municípios]],1)),"","Têm Hifen")</f>
        <v/>
      </c>
      <c r="D252" s="14" t="str">
        <f>IF(tab_Geral[[#This Row],[Informação 3]]&lt;&gt;"","","Não Registrado")</f>
        <v/>
      </c>
      <c r="E252" s="14" t="str">
        <f>IF(tab_Geral[[#This Row],[Municípios]]=tab_Geral[[#This Row],[Informação 1]],"","Não!, Erro!")</f>
        <v/>
      </c>
      <c r="F252" s="14" t="str">
        <f>IF(tab_Geral[[#This Row],[Municípios]]=tab_Geral[[#This Row],[Município]],"","Não!, Erro!")</f>
        <v/>
      </c>
      <c r="G252" s="14" t="str">
        <f>VLOOKUP(tab_Geral[[#This Row],[GeoCodigo]],tab_CETESB[],2,FALSE)</f>
        <v>Itaberá</v>
      </c>
      <c r="H252" s="14" t="str">
        <f>VLOOKUP(tab_Geral[[#This Row],[Informação 3]],tab_AgênciaAmbiental,10,FALSE)</f>
        <v>11</v>
      </c>
      <c r="I252" s="14" t="s">
        <v>250</v>
      </c>
      <c r="J252" s="18" t="s">
        <v>250</v>
      </c>
      <c r="K252" s="17"/>
      <c r="L252" s="17" t="s">
        <v>1892</v>
      </c>
      <c r="M252" s="17" t="s">
        <v>795</v>
      </c>
      <c r="N252" s="17" t="s">
        <v>796</v>
      </c>
      <c r="O252" s="17" t="s">
        <v>797</v>
      </c>
      <c r="P252" s="17" t="s">
        <v>798</v>
      </c>
      <c r="Q252" s="17" t="s">
        <v>799</v>
      </c>
      <c r="R252" s="17" t="s">
        <v>800</v>
      </c>
      <c r="S252" s="17" t="s">
        <v>801</v>
      </c>
      <c r="T252" s="15"/>
    </row>
    <row r="253" spans="1:20" x14ac:dyDescent="0.25">
      <c r="A253" s="14">
        <v>244</v>
      </c>
      <c r="B253" s="14">
        <v>3521804</v>
      </c>
      <c r="C253" s="14" t="str">
        <f>IF(ISERR(FIND("-",tab_Geral[[#This Row],[Municípios]],1)),"","Têm Hifen")</f>
        <v/>
      </c>
      <c r="D253" s="14" t="str">
        <f>IF(tab_Geral[[#This Row],[Informação 3]]&lt;&gt;"","","Não Registrado")</f>
        <v/>
      </c>
      <c r="E253" s="14" t="str">
        <f>IF(tab_Geral[[#This Row],[Municípios]]=tab_Geral[[#This Row],[Informação 1]],"","Não!, Erro!")</f>
        <v/>
      </c>
      <c r="F253" s="14" t="str">
        <f>IF(tab_Geral[[#This Row],[Municípios]]=tab_Geral[[#This Row],[Município]],"","Não!, Erro!")</f>
        <v/>
      </c>
      <c r="G253" s="14" t="str">
        <f>VLOOKUP(tab_Geral[[#This Row],[GeoCodigo]],tab_CETESB[],2,FALSE)</f>
        <v>Itaí</v>
      </c>
      <c r="H253" s="14" t="str">
        <f>VLOOKUP(tab_Geral[[#This Row],[Informação 3]],tab_AgênciaAmbiental,10,FALSE)</f>
        <v>6</v>
      </c>
      <c r="I253" s="14" t="s">
        <v>251</v>
      </c>
      <c r="J253" s="18" t="s">
        <v>251</v>
      </c>
      <c r="K253" s="17"/>
      <c r="L253" s="17" t="s">
        <v>1887</v>
      </c>
      <c r="M253" s="17" t="s">
        <v>681</v>
      </c>
      <c r="N253" s="17" t="s">
        <v>682</v>
      </c>
      <c r="O253" s="17" t="s">
        <v>683</v>
      </c>
      <c r="P253" s="17" t="s">
        <v>684</v>
      </c>
      <c r="Q253" s="17" t="s">
        <v>685</v>
      </c>
      <c r="R253" s="17" t="s">
        <v>686</v>
      </c>
      <c r="S253" s="17" t="s">
        <v>687</v>
      </c>
      <c r="T253" s="15"/>
    </row>
    <row r="254" spans="1:20" x14ac:dyDescent="0.25">
      <c r="A254" s="14">
        <v>245</v>
      </c>
      <c r="B254" s="14">
        <v>3521903</v>
      </c>
      <c r="C254" s="14" t="str">
        <f>IF(ISERR(FIND("-",tab_Geral[[#This Row],[Municípios]],1)),"","Têm Hifen")</f>
        <v/>
      </c>
      <c r="D254" s="14" t="str">
        <f>IF(tab_Geral[[#This Row],[Informação 3]]&lt;&gt;"","","Não Registrado")</f>
        <v/>
      </c>
      <c r="E254" s="14" t="str">
        <f>IF(tab_Geral[[#This Row],[Municípios]]=tab_Geral[[#This Row],[Informação 1]],"","Não!, Erro!")</f>
        <v/>
      </c>
      <c r="F254" s="14" t="str">
        <f>IF(tab_Geral[[#This Row],[Municípios]]=tab_Geral[[#This Row],[Município]],"","Não!, Erro!")</f>
        <v/>
      </c>
      <c r="G254" s="14" t="str">
        <f>VLOOKUP(tab_Geral[[#This Row],[GeoCodigo]],tab_CETESB[],2,FALSE)</f>
        <v>Itajobi</v>
      </c>
      <c r="H254" s="14" t="str">
        <f>VLOOKUP(tab_Geral[[#This Row],[Informação 3]],tab_AgênciaAmbiental,10,FALSE)</f>
        <v>36</v>
      </c>
      <c r="I254" s="14" t="s">
        <v>252</v>
      </c>
      <c r="J254" s="18" t="s">
        <v>252</v>
      </c>
      <c r="K254" s="17"/>
      <c r="L254" s="17" t="s">
        <v>1917</v>
      </c>
      <c r="M254" s="17" t="s">
        <v>663</v>
      </c>
      <c r="N254" s="17" t="s">
        <v>664</v>
      </c>
      <c r="O254" s="17" t="s">
        <v>665</v>
      </c>
      <c r="P254" s="17" t="s">
        <v>666</v>
      </c>
      <c r="Q254" s="17" t="s">
        <v>667</v>
      </c>
      <c r="R254" s="17" t="s">
        <v>668</v>
      </c>
      <c r="S254" s="17" t="s">
        <v>938</v>
      </c>
    </row>
    <row r="255" spans="1:20" x14ac:dyDescent="0.25">
      <c r="A255" s="14">
        <v>246</v>
      </c>
      <c r="B255" s="14">
        <v>3522000</v>
      </c>
      <c r="C255" s="14" t="str">
        <f>IF(ISERR(FIND("-",tab_Geral[[#This Row],[Municípios]],1)),"","Têm Hifen")</f>
        <v/>
      </c>
      <c r="D255" s="14" t="str">
        <f>IF(tab_Geral[[#This Row],[Informação 3]]&lt;&gt;"","","Não Registrado")</f>
        <v/>
      </c>
      <c r="E255" s="14" t="str">
        <f>IF(tab_Geral[[#This Row],[Municípios]]=tab_Geral[[#This Row],[Informação 1]],"","Não!, Erro!")</f>
        <v/>
      </c>
      <c r="F255" s="14" t="str">
        <f>IF(tab_Geral[[#This Row],[Municípios]]=tab_Geral[[#This Row],[Município]],"","Não!, Erro!")</f>
        <v/>
      </c>
      <c r="G255" s="14" t="str">
        <f>VLOOKUP(tab_Geral[[#This Row],[GeoCodigo]],tab_CETESB[],2,FALSE)</f>
        <v>Itaju</v>
      </c>
      <c r="H255" s="14" t="str">
        <f>VLOOKUP(tab_Geral[[#This Row],[Informação 3]],tab_AgênciaAmbiental,10,FALSE)</f>
        <v>8</v>
      </c>
      <c r="I255" s="14" t="s">
        <v>253</v>
      </c>
      <c r="J255" s="18" t="s">
        <v>253</v>
      </c>
      <c r="K255" s="17"/>
      <c r="L255" s="17" t="s">
        <v>1889</v>
      </c>
      <c r="M255" s="17" t="s">
        <v>694</v>
      </c>
      <c r="N255" s="17" t="s">
        <v>695</v>
      </c>
      <c r="O255" s="17" t="s">
        <v>696</v>
      </c>
      <c r="P255" s="17" t="s">
        <v>697</v>
      </c>
      <c r="Q255" s="17" t="s">
        <v>698</v>
      </c>
      <c r="R255" s="17" t="s">
        <v>699</v>
      </c>
      <c r="S255" s="17" t="s">
        <v>700</v>
      </c>
      <c r="T255" s="15"/>
    </row>
    <row r="256" spans="1:20" x14ac:dyDescent="0.25">
      <c r="A256" s="14">
        <v>247</v>
      </c>
      <c r="B256" s="14">
        <v>3522109</v>
      </c>
      <c r="C256" s="14" t="str">
        <f>IF(ISERR(FIND("-",tab_Geral[[#This Row],[Municípios]],1)),"","Têm Hifen")</f>
        <v/>
      </c>
      <c r="D256" s="14" t="str">
        <f>IF(tab_Geral[[#This Row],[Informação 3]]&lt;&gt;"","","Não Registrado")</f>
        <v/>
      </c>
      <c r="E256" s="14" t="str">
        <f>IF(tab_Geral[[#This Row],[Municípios]]=tab_Geral[[#This Row],[Informação 1]],"","Não!, Erro!")</f>
        <v/>
      </c>
      <c r="F256" s="14" t="str">
        <f>IF(tab_Geral[[#This Row],[Municípios]]=tab_Geral[[#This Row],[Município]],"","Não!, Erro!")</f>
        <v/>
      </c>
      <c r="G256" s="14" t="str">
        <f>VLOOKUP(tab_Geral[[#This Row],[GeoCodigo]],tab_CETESB[],2,FALSE)</f>
        <v>Itanhaém</v>
      </c>
      <c r="H256" s="14" t="str">
        <f>VLOOKUP(tab_Geral[[#This Row],[Informação 3]],tab_AgênciaAmbiental,10,FALSE)</f>
        <v>33</v>
      </c>
      <c r="I256" s="14" t="s">
        <v>254</v>
      </c>
      <c r="J256" s="18" t="s">
        <v>254</v>
      </c>
      <c r="K256" s="17"/>
      <c r="L256" s="17" t="s">
        <v>1914</v>
      </c>
      <c r="M256" s="17" t="s">
        <v>926</v>
      </c>
      <c r="N256" s="17" t="s">
        <v>927</v>
      </c>
      <c r="O256" s="17" t="s">
        <v>928</v>
      </c>
      <c r="P256" s="17" t="s">
        <v>929</v>
      </c>
      <c r="Q256" s="17" t="s">
        <v>930</v>
      </c>
      <c r="R256" s="17" t="s">
        <v>931</v>
      </c>
      <c r="S256" s="17" t="s">
        <v>932</v>
      </c>
      <c r="T256" s="15"/>
    </row>
    <row r="257" spans="1:20" x14ac:dyDescent="0.25">
      <c r="A257" s="14">
        <v>248</v>
      </c>
      <c r="B257" s="14">
        <v>3522158</v>
      </c>
      <c r="C257" s="14" t="str">
        <f>IF(ISERR(FIND("-",tab_Geral[[#This Row],[Municípios]],1)),"","Têm Hifen")</f>
        <v/>
      </c>
      <c r="D257" s="14" t="str">
        <f>IF(tab_Geral[[#This Row],[Informação 3]]&lt;&gt;"","","Não Registrado")</f>
        <v/>
      </c>
      <c r="E257" s="14" t="str">
        <f>IF(tab_Geral[[#This Row],[Municípios]]=tab_Geral[[#This Row],[Informação 1]],"","Não!, Erro!")</f>
        <v/>
      </c>
      <c r="F257" s="14" t="str">
        <f>IF(tab_Geral[[#This Row],[Municípios]]=tab_Geral[[#This Row],[Município]],"","Não!, Erro!")</f>
        <v/>
      </c>
      <c r="G257" s="14" t="str">
        <f>VLOOKUP(tab_Geral[[#This Row],[GeoCodigo]],tab_CETESB[],2,FALSE)</f>
        <v>Itaóca</v>
      </c>
      <c r="H257" s="14" t="str">
        <f>VLOOKUP(tab_Geral[[#This Row],[Informação 3]],tab_AgênciaAmbiental,10,FALSE)</f>
        <v>11</v>
      </c>
      <c r="I257" s="14" t="s">
        <v>255</v>
      </c>
      <c r="J257" s="18" t="s">
        <v>255</v>
      </c>
      <c r="K257" s="17"/>
      <c r="L257" s="17" t="s">
        <v>1892</v>
      </c>
      <c r="M257" s="17" t="s">
        <v>795</v>
      </c>
      <c r="N257" s="17" t="s">
        <v>796</v>
      </c>
      <c r="O257" s="17" t="s">
        <v>797</v>
      </c>
      <c r="P257" s="17" t="s">
        <v>798</v>
      </c>
      <c r="Q257" s="17" t="s">
        <v>799</v>
      </c>
      <c r="R257" s="17" t="s">
        <v>800</v>
      </c>
      <c r="S257" s="17" t="s">
        <v>801</v>
      </c>
      <c r="T257" s="15"/>
    </row>
    <row r="258" spans="1:20" x14ac:dyDescent="0.25">
      <c r="A258" s="14">
        <v>249</v>
      </c>
      <c r="B258" s="14">
        <v>3522208</v>
      </c>
      <c r="C258" s="14" t="str">
        <f>IF(ISERR(FIND("-",tab_Geral[[#This Row],[Municípios]],1)),"","Têm Hifen")</f>
        <v/>
      </c>
      <c r="D258" s="14" t="str">
        <f>IF(tab_Geral[[#This Row],[Informação 3]]&lt;&gt;"","","Não Registrado")</f>
        <v/>
      </c>
      <c r="E258" s="14" t="str">
        <f>IF(tab_Geral[[#This Row],[Municípios]]=tab_Geral[[#This Row],[Informação 1]],"","Não!, Erro!")</f>
        <v/>
      </c>
      <c r="F258" s="14" t="str">
        <f>IF(tab_Geral[[#This Row],[Municípios]]=tab_Geral[[#This Row],[Município]],"","Não!, Erro!")</f>
        <v/>
      </c>
      <c r="G258" s="14" t="str">
        <f>VLOOKUP(tab_Geral[[#This Row],[GeoCodigo]],tab_CETESB[],2,FALSE)</f>
        <v>Itapecerica da Serra</v>
      </c>
      <c r="H258" s="14" t="str">
        <f>VLOOKUP(tab_Geral[[#This Row],[Informação 3]],tab_AgênciaAmbiental,10,FALSE)</f>
        <v>14</v>
      </c>
      <c r="I258" s="14" t="s">
        <v>256</v>
      </c>
      <c r="J258" s="18" t="s">
        <v>256</v>
      </c>
      <c r="K258" s="17"/>
      <c r="L258" s="17" t="s">
        <v>1895</v>
      </c>
      <c r="M258" s="17" t="s">
        <v>912</v>
      </c>
      <c r="N258" s="17" t="s">
        <v>913</v>
      </c>
      <c r="O258" s="17" t="s">
        <v>914</v>
      </c>
      <c r="P258" s="17" t="s">
        <v>915</v>
      </c>
      <c r="Q258" s="17" t="s">
        <v>916</v>
      </c>
      <c r="R258" s="17" t="s">
        <v>917</v>
      </c>
      <c r="S258" s="17" t="s">
        <v>918</v>
      </c>
      <c r="T258" s="15"/>
    </row>
    <row r="259" spans="1:20" x14ac:dyDescent="0.25">
      <c r="A259" s="14">
        <v>250</v>
      </c>
      <c r="B259" s="14">
        <v>3522307</v>
      </c>
      <c r="C259" s="14" t="str">
        <f>IF(ISERR(FIND("-",tab_Geral[[#This Row],[Municípios]],1)),"","Têm Hifen")</f>
        <v/>
      </c>
      <c r="D259" s="14" t="str">
        <f>IF(tab_Geral[[#This Row],[Informação 3]]&lt;&gt;"","","Não Registrado")</f>
        <v/>
      </c>
      <c r="E259" s="14" t="str">
        <f>IF(tab_Geral[[#This Row],[Municípios]]=tab_Geral[[#This Row],[Informação 1]],"","Não!, Erro!")</f>
        <v/>
      </c>
      <c r="F259" s="14" t="str">
        <f>IF(tab_Geral[[#This Row],[Municípios]]=tab_Geral[[#This Row],[Município]],"","Não!, Erro!")</f>
        <v/>
      </c>
      <c r="G259" s="14" t="str">
        <f>VLOOKUP(tab_Geral[[#This Row],[GeoCodigo]],tab_CETESB[],2,FALSE)</f>
        <v>Itapetininga</v>
      </c>
      <c r="H259" s="14" t="str">
        <f>VLOOKUP(tab_Geral[[#This Row],[Informação 3]],tab_AgênciaAmbiental,10,FALSE)</f>
        <v>17</v>
      </c>
      <c r="I259" s="14" t="s">
        <v>257</v>
      </c>
      <c r="J259" s="18" t="s">
        <v>257</v>
      </c>
      <c r="K259" s="17"/>
      <c r="L259" s="17" t="s">
        <v>1898</v>
      </c>
      <c r="M259" s="17" t="s">
        <v>701</v>
      </c>
      <c r="N259" s="17" t="s">
        <v>657</v>
      </c>
      <c r="O259" s="17" t="s">
        <v>702</v>
      </c>
      <c r="P259" s="17" t="s">
        <v>703</v>
      </c>
      <c r="Q259" s="17" t="s">
        <v>704</v>
      </c>
      <c r="R259" s="17" t="s">
        <v>705</v>
      </c>
      <c r="S259" s="17" t="s">
        <v>706</v>
      </c>
      <c r="T259" s="15"/>
    </row>
    <row r="260" spans="1:20" x14ac:dyDescent="0.25">
      <c r="A260" s="14">
        <v>251</v>
      </c>
      <c r="B260" s="14">
        <v>3522406</v>
      </c>
      <c r="C260" s="14" t="str">
        <f>IF(ISERR(FIND("-",tab_Geral[[#This Row],[Municípios]],1)),"","Têm Hifen")</f>
        <v/>
      </c>
      <c r="D260" s="14" t="str">
        <f>IF(tab_Geral[[#This Row],[Informação 3]]&lt;&gt;"","","Não Registrado")</f>
        <v/>
      </c>
      <c r="E260" s="14" t="str">
        <f>IF(tab_Geral[[#This Row],[Municípios]]=tab_Geral[[#This Row],[Informação 1]],"","Não!, Erro!")</f>
        <v/>
      </c>
      <c r="F260" s="14" t="str">
        <f>IF(tab_Geral[[#This Row],[Municípios]]=tab_Geral[[#This Row],[Município]],"","Não!, Erro!")</f>
        <v/>
      </c>
      <c r="G260" s="14" t="str">
        <f>VLOOKUP(tab_Geral[[#This Row],[GeoCodigo]],tab_CETESB[],2,FALSE)</f>
        <v>Itapeva</v>
      </c>
      <c r="H260" s="14" t="str">
        <f>VLOOKUP(tab_Geral[[#This Row],[Informação 3]],tab_AgênciaAmbiental,10,FALSE)</f>
        <v>11</v>
      </c>
      <c r="I260" s="14" t="s">
        <v>258</v>
      </c>
      <c r="J260" s="18" t="s">
        <v>258</v>
      </c>
      <c r="K260" s="17"/>
      <c r="L260" s="17" t="s">
        <v>1892</v>
      </c>
      <c r="M260" s="17" t="s">
        <v>795</v>
      </c>
      <c r="N260" s="17" t="s">
        <v>796</v>
      </c>
      <c r="O260" s="17" t="s">
        <v>797</v>
      </c>
      <c r="P260" s="17" t="s">
        <v>798</v>
      </c>
      <c r="Q260" s="17" t="s">
        <v>799</v>
      </c>
      <c r="R260" s="17" t="s">
        <v>800</v>
      </c>
      <c r="S260" s="17" t="s">
        <v>801</v>
      </c>
      <c r="T260" s="15"/>
    </row>
    <row r="261" spans="1:20" x14ac:dyDescent="0.25">
      <c r="A261" s="14">
        <v>252</v>
      </c>
      <c r="B261" s="14">
        <v>3522505</v>
      </c>
      <c r="C261" s="14" t="str">
        <f>IF(ISERR(FIND("-",tab_Geral[[#This Row],[Municípios]],1)),"","Têm Hifen")</f>
        <v/>
      </c>
      <c r="D261" s="14" t="str">
        <f>IF(tab_Geral[[#This Row],[Informação 3]]&lt;&gt;"","","Não Registrado")</f>
        <v/>
      </c>
      <c r="E261" s="14" t="str">
        <f>IF(tab_Geral[[#This Row],[Municípios]]=tab_Geral[[#This Row],[Informação 1]],"","Não!, Erro!")</f>
        <v/>
      </c>
      <c r="F261" s="14" t="str">
        <f>IF(tab_Geral[[#This Row],[Municípios]]=tab_Geral[[#This Row],[Município]],"","Não!, Erro!")</f>
        <v/>
      </c>
      <c r="G261" s="14" t="str">
        <f>VLOOKUP(tab_Geral[[#This Row],[GeoCodigo]],tab_CETESB[],2,FALSE)</f>
        <v>Itapevi</v>
      </c>
      <c r="H261" s="14" t="str">
        <f>VLOOKUP(tab_Geral[[#This Row],[Informação 3]],tab_AgênciaAmbiental,10,FALSE)</f>
        <v>26</v>
      </c>
      <c r="I261" s="14" t="s">
        <v>259</v>
      </c>
      <c r="J261" s="18" t="s">
        <v>259</v>
      </c>
      <c r="K261" s="17"/>
      <c r="L261" s="17" t="s">
        <v>1907</v>
      </c>
      <c r="M261" s="17" t="s">
        <v>857</v>
      </c>
      <c r="N261" s="17" t="s">
        <v>858</v>
      </c>
      <c r="O261" s="17" t="s">
        <v>859</v>
      </c>
      <c r="P261" s="17" t="s">
        <v>860</v>
      </c>
      <c r="Q261" s="17" t="s">
        <v>861</v>
      </c>
      <c r="R261" s="17" t="s">
        <v>862</v>
      </c>
      <c r="S261" s="17" t="s">
        <v>863</v>
      </c>
      <c r="T261" s="15"/>
    </row>
    <row r="262" spans="1:20" x14ac:dyDescent="0.25">
      <c r="A262" s="14">
        <v>253</v>
      </c>
      <c r="B262" s="14">
        <v>3522604</v>
      </c>
      <c r="C262" s="14" t="str">
        <f>IF(ISERR(FIND("-",tab_Geral[[#This Row],[Municípios]],1)),"","Têm Hifen")</f>
        <v/>
      </c>
      <c r="D262" s="14" t="str">
        <f>IF(tab_Geral[[#This Row],[Informação 3]]&lt;&gt;"","","Não Registrado")</f>
        <v/>
      </c>
      <c r="E262" s="14" t="str">
        <f>IF(tab_Geral[[#This Row],[Municípios]]=tab_Geral[[#This Row],[Informação 1]],"","Não!, Erro!")</f>
        <v/>
      </c>
      <c r="F262" s="14" t="str">
        <f>IF(tab_Geral[[#This Row],[Municípios]]=tab_Geral[[#This Row],[Município]],"","Não!, Erro!")</f>
        <v/>
      </c>
      <c r="G262" s="14" t="str">
        <f>VLOOKUP(tab_Geral[[#This Row],[GeoCodigo]],tab_CETESB[],2,FALSE)</f>
        <v>Itapira</v>
      </c>
      <c r="H262" s="14" t="str">
        <f>VLOOKUP(tab_Geral[[#This Row],[Informação 3]],tab_AgênciaAmbiental,10,FALSE)</f>
        <v>25</v>
      </c>
      <c r="I262" s="14" t="s">
        <v>260</v>
      </c>
      <c r="J262" s="18" t="s">
        <v>260</v>
      </c>
      <c r="K262" s="17"/>
      <c r="L262" s="17" t="s">
        <v>1906</v>
      </c>
      <c r="M262" s="17" t="s">
        <v>669</v>
      </c>
      <c r="N262" s="17" t="s">
        <v>670</v>
      </c>
      <c r="O262" s="17" t="s">
        <v>671</v>
      </c>
      <c r="P262" s="17" t="s">
        <v>672</v>
      </c>
      <c r="Q262" s="17" t="s">
        <v>673</v>
      </c>
      <c r="R262" s="17" t="s">
        <v>674</v>
      </c>
      <c r="S262" s="17" t="s">
        <v>675</v>
      </c>
      <c r="T262" s="15"/>
    </row>
    <row r="263" spans="1:20" x14ac:dyDescent="0.25">
      <c r="A263" s="14">
        <v>254</v>
      </c>
      <c r="B263" s="14">
        <v>3522653</v>
      </c>
      <c r="C263" s="14" t="str">
        <f>IF(ISERR(FIND("-",tab_Geral[[#This Row],[Municípios]],1)),"","Têm Hifen")</f>
        <v/>
      </c>
      <c r="D263" s="14" t="str">
        <f>IF(tab_Geral[[#This Row],[Informação 3]]&lt;&gt;"","","Não Registrado")</f>
        <v/>
      </c>
      <c r="E263" s="14" t="str">
        <f>IF(tab_Geral[[#This Row],[Municípios]]=tab_Geral[[#This Row],[Informação 1]],"","Não!, Erro!")</f>
        <v/>
      </c>
      <c r="F263" s="14" t="str">
        <f>IF(tab_Geral[[#This Row],[Municípios]]=tab_Geral[[#This Row],[Município]],"","Não!, Erro!")</f>
        <v/>
      </c>
      <c r="G263" s="14" t="str">
        <f>VLOOKUP(tab_Geral[[#This Row],[GeoCodigo]],tab_CETESB[],2,FALSE)</f>
        <v>Itapirapuã Paulista</v>
      </c>
      <c r="H263" s="14" t="str">
        <f>VLOOKUP(tab_Geral[[#This Row],[Informação 3]],tab_AgênciaAmbiental,10,FALSE)</f>
        <v>11</v>
      </c>
      <c r="I263" s="14" t="s">
        <v>261</v>
      </c>
      <c r="J263" s="18" t="s">
        <v>261</v>
      </c>
      <c r="K263" s="17"/>
      <c r="L263" s="17" t="s">
        <v>1892</v>
      </c>
      <c r="M263" s="17" t="s">
        <v>795</v>
      </c>
      <c r="N263" s="17" t="s">
        <v>796</v>
      </c>
      <c r="O263" s="17" t="s">
        <v>797</v>
      </c>
      <c r="P263" s="17" t="s">
        <v>798</v>
      </c>
      <c r="Q263" s="17" t="s">
        <v>799</v>
      </c>
      <c r="R263" s="17" t="s">
        <v>800</v>
      </c>
      <c r="S263" s="17" t="s">
        <v>801</v>
      </c>
      <c r="T263" s="15"/>
    </row>
    <row r="264" spans="1:20" x14ac:dyDescent="0.25">
      <c r="A264" s="14">
        <v>255</v>
      </c>
      <c r="B264" s="14">
        <v>3522703</v>
      </c>
      <c r="C264" s="14" t="str">
        <f>IF(ISERR(FIND("-",tab_Geral[[#This Row],[Municípios]],1)),"","Têm Hifen")</f>
        <v/>
      </c>
      <c r="D264" s="14" t="str">
        <f>IF(tab_Geral[[#This Row],[Informação 3]]&lt;&gt;"","","Não Registrado")</f>
        <v/>
      </c>
      <c r="E264" s="14" t="str">
        <f>IF(tab_Geral[[#This Row],[Municípios]]=tab_Geral[[#This Row],[Informação 1]],"","Não!, Erro!")</f>
        <v/>
      </c>
      <c r="F264" s="14" t="str">
        <f>IF(tab_Geral[[#This Row],[Municípios]]=tab_Geral[[#This Row],[Município]],"","Não!, Erro!")</f>
        <v/>
      </c>
      <c r="G264" s="14" t="str">
        <f>VLOOKUP(tab_Geral[[#This Row],[GeoCodigo]],tab_CETESB[],2,FALSE)</f>
        <v>Itápolis</v>
      </c>
      <c r="H264" s="14" t="str">
        <f>VLOOKUP(tab_Geral[[#This Row],[Informação 3]],tab_AgênciaAmbiental,10,FALSE)</f>
        <v>3</v>
      </c>
      <c r="I264" s="14" t="s">
        <v>262</v>
      </c>
      <c r="J264" s="18" t="s">
        <v>262</v>
      </c>
      <c r="K264" s="17"/>
      <c r="L264" s="17" t="s">
        <v>1884</v>
      </c>
      <c r="M264" s="17" t="s">
        <v>760</v>
      </c>
      <c r="N264" s="17" t="s">
        <v>761</v>
      </c>
      <c r="O264" s="17" t="s">
        <v>762</v>
      </c>
      <c r="P264" s="17" t="s">
        <v>763</v>
      </c>
      <c r="Q264" s="17" t="s">
        <v>764</v>
      </c>
      <c r="R264" s="17" t="s">
        <v>765</v>
      </c>
      <c r="S264" s="17" t="s">
        <v>766</v>
      </c>
      <c r="T264" s="15"/>
    </row>
    <row r="265" spans="1:20" x14ac:dyDescent="0.25">
      <c r="A265" s="14">
        <v>256</v>
      </c>
      <c r="B265" s="14">
        <v>3522802</v>
      </c>
      <c r="C265" s="14" t="str">
        <f>IF(ISERR(FIND("-",tab_Geral[[#This Row],[Municípios]],1)),"","Têm Hifen")</f>
        <v/>
      </c>
      <c r="D265" s="14" t="str">
        <f>IF(tab_Geral[[#This Row],[Informação 3]]&lt;&gt;"","","Não Registrado")</f>
        <v/>
      </c>
      <c r="E265" s="14" t="str">
        <f>IF(tab_Geral[[#This Row],[Municípios]]=tab_Geral[[#This Row],[Informação 1]],"","Não!, Erro!")</f>
        <v/>
      </c>
      <c r="F265" s="14" t="str">
        <f>IF(tab_Geral[[#This Row],[Municípios]]=tab_Geral[[#This Row],[Município]],"","Não!, Erro!")</f>
        <v/>
      </c>
      <c r="G265" s="14" t="str">
        <f>VLOOKUP(tab_Geral[[#This Row],[GeoCodigo]],tab_CETESB[],2,FALSE)</f>
        <v>Itaporanga</v>
      </c>
      <c r="H265" s="14" t="str">
        <f>VLOOKUP(tab_Geral[[#This Row],[Informação 3]],tab_AgênciaAmbiental,10,FALSE)</f>
        <v>6</v>
      </c>
      <c r="I265" s="14" t="s">
        <v>263</v>
      </c>
      <c r="J265" s="18" t="s">
        <v>263</v>
      </c>
      <c r="K265" s="17"/>
      <c r="L265" s="17" t="s">
        <v>1887</v>
      </c>
      <c r="M265" s="17" t="s">
        <v>681</v>
      </c>
      <c r="N265" s="17" t="s">
        <v>682</v>
      </c>
      <c r="O265" s="17" t="s">
        <v>683</v>
      </c>
      <c r="P265" s="17" t="s">
        <v>684</v>
      </c>
      <c r="Q265" s="17" t="s">
        <v>685</v>
      </c>
      <c r="R265" s="17" t="s">
        <v>686</v>
      </c>
      <c r="S265" s="17" t="s">
        <v>687</v>
      </c>
      <c r="T265" s="15"/>
    </row>
    <row r="266" spans="1:20" x14ac:dyDescent="0.25">
      <c r="A266" s="14">
        <v>257</v>
      </c>
      <c r="B266" s="14">
        <v>3522901</v>
      </c>
      <c r="C266" s="14" t="str">
        <f>IF(ISERR(FIND("-",tab_Geral[[#This Row],[Municípios]],1)),"","Têm Hifen")</f>
        <v/>
      </c>
      <c r="D266" s="14" t="str">
        <f>IF(tab_Geral[[#This Row],[Informação 3]]&lt;&gt;"","","Não Registrado")</f>
        <v/>
      </c>
      <c r="E266" s="14" t="str">
        <f>IF(tab_Geral[[#This Row],[Municípios]]=tab_Geral[[#This Row],[Informação 1]],"","Não!, Erro!")</f>
        <v/>
      </c>
      <c r="F266" s="14" t="str">
        <f>IF(tab_Geral[[#This Row],[Municípios]]=tab_Geral[[#This Row],[Município]],"","Não!, Erro!")</f>
        <v/>
      </c>
      <c r="G266" s="14" t="str">
        <f>VLOOKUP(tab_Geral[[#This Row],[GeoCodigo]],tab_CETESB[],2,FALSE)</f>
        <v>Itapuí</v>
      </c>
      <c r="H266" s="14" t="str">
        <f>VLOOKUP(tab_Geral[[#This Row],[Informação 3]],tab_AgênciaAmbiental,10,FALSE)</f>
        <v>8</v>
      </c>
      <c r="I266" s="14" t="s">
        <v>264</v>
      </c>
      <c r="J266" s="18" t="s">
        <v>264</v>
      </c>
      <c r="K266" s="17"/>
      <c r="L266" s="17" t="s">
        <v>1889</v>
      </c>
      <c r="M266" s="17" t="s">
        <v>694</v>
      </c>
      <c r="N266" s="17" t="s">
        <v>695</v>
      </c>
      <c r="O266" s="17" t="s">
        <v>696</v>
      </c>
      <c r="P266" s="17" t="s">
        <v>697</v>
      </c>
      <c r="Q266" s="17" t="s">
        <v>698</v>
      </c>
      <c r="R266" s="17" t="s">
        <v>699</v>
      </c>
      <c r="S266" s="17" t="s">
        <v>700</v>
      </c>
      <c r="T266" s="15"/>
    </row>
    <row r="267" spans="1:20" x14ac:dyDescent="0.25">
      <c r="A267" s="14">
        <v>258</v>
      </c>
      <c r="B267" s="14">
        <v>3523008</v>
      </c>
      <c r="C267" s="14" t="str">
        <f>IF(ISERR(FIND("-",tab_Geral[[#This Row],[Municípios]],1)),"","Têm Hifen")</f>
        <v/>
      </c>
      <c r="D267" s="14" t="str">
        <f>IF(tab_Geral[[#This Row],[Informação 3]]&lt;&gt;"","","Não Registrado")</f>
        <v/>
      </c>
      <c r="E267" s="14" t="str">
        <f>IF(tab_Geral[[#This Row],[Municípios]]=tab_Geral[[#This Row],[Informação 1]],"","Não!, Erro!")</f>
        <v/>
      </c>
      <c r="F267" s="14" t="str">
        <f>IF(tab_Geral[[#This Row],[Municípios]]=tab_Geral[[#This Row],[Município]],"","Não!, Erro!")</f>
        <v/>
      </c>
      <c r="G267" s="14" t="str">
        <f>VLOOKUP(tab_Geral[[#This Row],[GeoCodigo]],tab_CETESB[],2,FALSE)</f>
        <v>Itapura</v>
      </c>
      <c r="H267" s="14" t="str">
        <f>VLOOKUP(tab_Geral[[#This Row],[Informação 3]],tab_AgênciaAmbiental,10,FALSE)</f>
        <v>20</v>
      </c>
      <c r="I267" s="14" t="s">
        <v>265</v>
      </c>
      <c r="J267" s="18" t="s">
        <v>265</v>
      </c>
      <c r="K267" s="17"/>
      <c r="L267" s="17" t="s">
        <v>1901</v>
      </c>
      <c r="M267" s="17" t="s">
        <v>788</v>
      </c>
      <c r="N267" s="17" t="s">
        <v>789</v>
      </c>
      <c r="O267" s="17" t="s">
        <v>790</v>
      </c>
      <c r="P267" s="17" t="s">
        <v>791</v>
      </c>
      <c r="Q267" s="17" t="s">
        <v>792</v>
      </c>
      <c r="R267" s="17" t="s">
        <v>793</v>
      </c>
      <c r="S267" s="17" t="s">
        <v>794</v>
      </c>
      <c r="T267" s="15"/>
    </row>
    <row r="268" spans="1:20" x14ac:dyDescent="0.25">
      <c r="A268" s="14">
        <v>259</v>
      </c>
      <c r="B268" s="14">
        <v>3523107</v>
      </c>
      <c r="C268" s="14" t="str">
        <f>IF(ISERR(FIND("-",tab_Geral[[#This Row],[Municípios]],1)),"","Têm Hifen")</f>
        <v/>
      </c>
      <c r="D268" s="14" t="str">
        <f>IF(tab_Geral[[#This Row],[Informação 3]]&lt;&gt;"","","Não Registrado")</f>
        <v/>
      </c>
      <c r="E268" s="14" t="str">
        <f>IF(tab_Geral[[#This Row],[Municípios]]=tab_Geral[[#This Row],[Informação 1]],"","Não!, Erro!")</f>
        <v/>
      </c>
      <c r="F268" s="14" t="str">
        <f>IF(tab_Geral[[#This Row],[Municípios]]=tab_Geral[[#This Row],[Município]],"","Não!, Erro!")</f>
        <v/>
      </c>
      <c r="G268" s="14" t="str">
        <f>VLOOKUP(tab_Geral[[#This Row],[GeoCodigo]],tab_CETESB[],2,FALSE)</f>
        <v>Itaquaquecetuba</v>
      </c>
      <c r="H268" s="14" t="str">
        <f>VLOOKUP(tab_Geral[[#This Row],[Informação 3]],tab_AgênciaAmbiental,10,FALSE)</f>
        <v>24</v>
      </c>
      <c r="I268" s="14" t="s">
        <v>266</v>
      </c>
      <c r="J268" s="18" t="s">
        <v>266</v>
      </c>
      <c r="K268" s="17"/>
      <c r="L268" s="17" t="s">
        <v>1905</v>
      </c>
      <c r="M268" s="17" t="s">
        <v>871</v>
      </c>
      <c r="N268" s="17" t="s">
        <v>872</v>
      </c>
      <c r="O268" s="17" t="s">
        <v>873</v>
      </c>
      <c r="P268" s="17" t="s">
        <v>874</v>
      </c>
      <c r="Q268" s="17" t="s">
        <v>875</v>
      </c>
      <c r="R268" s="17" t="s">
        <v>686</v>
      </c>
      <c r="S268" s="17" t="s">
        <v>876</v>
      </c>
      <c r="T268" s="15"/>
    </row>
    <row r="269" spans="1:20" x14ac:dyDescent="0.25">
      <c r="A269" s="14">
        <v>260</v>
      </c>
      <c r="B269" s="14">
        <v>3523206</v>
      </c>
      <c r="C269" s="14" t="str">
        <f>IF(ISERR(FIND("-",tab_Geral[[#This Row],[Municípios]],1)),"","Têm Hifen")</f>
        <v/>
      </c>
      <c r="D269" s="14" t="str">
        <f>IF(tab_Geral[[#This Row],[Informação 3]]&lt;&gt;"","","Não Registrado")</f>
        <v/>
      </c>
      <c r="E269" s="14" t="str">
        <f>IF(tab_Geral[[#This Row],[Municípios]]=tab_Geral[[#This Row],[Informação 1]],"","Não!, Erro!")</f>
        <v/>
      </c>
      <c r="F269" s="14" t="str">
        <f>IF(tab_Geral[[#This Row],[Municípios]]=tab_Geral[[#This Row],[Município]],"","Não!, Erro!")</f>
        <v/>
      </c>
      <c r="G269" s="14" t="str">
        <f>VLOOKUP(tab_Geral[[#This Row],[GeoCodigo]],tab_CETESB[],2,FALSE)</f>
        <v>Itararé</v>
      </c>
      <c r="H269" s="14" t="str">
        <f>VLOOKUP(tab_Geral[[#This Row],[Informação 3]],tab_AgênciaAmbiental,10,FALSE)</f>
        <v>11</v>
      </c>
      <c r="I269" s="14" t="s">
        <v>267</v>
      </c>
      <c r="J269" s="18" t="s">
        <v>267</v>
      </c>
      <c r="K269" s="17"/>
      <c r="L269" s="17" t="s">
        <v>1892</v>
      </c>
      <c r="M269" s="17" t="s">
        <v>795</v>
      </c>
      <c r="N269" s="17" t="s">
        <v>796</v>
      </c>
      <c r="O269" s="17" t="s">
        <v>797</v>
      </c>
      <c r="P269" s="17" t="s">
        <v>798</v>
      </c>
      <c r="Q269" s="17" t="s">
        <v>799</v>
      </c>
      <c r="R269" s="17" t="s">
        <v>800</v>
      </c>
      <c r="S269" s="17" t="s">
        <v>801</v>
      </c>
      <c r="T269" s="15"/>
    </row>
    <row r="270" spans="1:20" x14ac:dyDescent="0.25">
      <c r="A270" s="14">
        <v>261</v>
      </c>
      <c r="B270" s="14">
        <v>3523305</v>
      </c>
      <c r="C270" s="14" t="str">
        <f>IF(ISERR(FIND("-",tab_Geral[[#This Row],[Municípios]],1)),"","Têm Hifen")</f>
        <v/>
      </c>
      <c r="D270" s="14" t="str">
        <f>IF(tab_Geral[[#This Row],[Informação 3]]&lt;&gt;"","","Não Registrado")</f>
        <v/>
      </c>
      <c r="E270" s="14" t="str">
        <f>IF(tab_Geral[[#This Row],[Municípios]]=tab_Geral[[#This Row],[Informação 1]],"","Não!, Erro!")</f>
        <v/>
      </c>
      <c r="F270" s="14" t="str">
        <f>IF(tab_Geral[[#This Row],[Municípios]]=tab_Geral[[#This Row],[Município]],"","Não!, Erro!")</f>
        <v/>
      </c>
      <c r="G270" s="14" t="str">
        <f>VLOOKUP(tab_Geral[[#This Row],[GeoCodigo]],tab_CETESB[],2,FALSE)</f>
        <v>Itariri</v>
      </c>
      <c r="H270" s="14" t="str">
        <f>VLOOKUP(tab_Geral[[#This Row],[Informação 3]],tab_AgênciaAmbiental,10,FALSE)</f>
        <v>30</v>
      </c>
      <c r="I270" s="14" t="s">
        <v>268</v>
      </c>
      <c r="J270" s="18" t="s">
        <v>268</v>
      </c>
      <c r="K270" s="17"/>
      <c r="L270" s="17" t="s">
        <v>1911</v>
      </c>
      <c r="M270" s="17" t="s">
        <v>843</v>
      </c>
      <c r="N270" s="17" t="s">
        <v>844</v>
      </c>
      <c r="O270" s="17" t="s">
        <v>845</v>
      </c>
      <c r="P270" s="17" t="s">
        <v>846</v>
      </c>
      <c r="Q270" s="17" t="s">
        <v>847</v>
      </c>
      <c r="R270" s="17" t="s">
        <v>848</v>
      </c>
      <c r="S270" s="17" t="s">
        <v>849</v>
      </c>
      <c r="T270" s="15"/>
    </row>
    <row r="271" spans="1:20" x14ac:dyDescent="0.25">
      <c r="A271" s="14">
        <v>262</v>
      </c>
      <c r="B271" s="14">
        <v>3523404</v>
      </c>
      <c r="C271" s="14" t="str">
        <f>IF(ISERR(FIND("-",tab_Geral[[#This Row],[Municípios]],1)),"","Têm Hifen")</f>
        <v/>
      </c>
      <c r="D271" s="14" t="str">
        <f>IF(tab_Geral[[#This Row],[Informação 3]]&lt;&gt;"","","Não Registrado")</f>
        <v/>
      </c>
      <c r="E271" s="14" t="str">
        <f>IF(tab_Geral[[#This Row],[Municípios]]=tab_Geral[[#This Row],[Informação 1]],"","Não!, Erro!")</f>
        <v/>
      </c>
      <c r="F271" s="14" t="str">
        <f>IF(tab_Geral[[#This Row],[Municípios]]=tab_Geral[[#This Row],[Município]],"","Não!, Erro!")</f>
        <v/>
      </c>
      <c r="G271" s="14" t="str">
        <f>VLOOKUP(tab_Geral[[#This Row],[GeoCodigo]],tab_CETESB[],2,FALSE)</f>
        <v>Itatiba</v>
      </c>
      <c r="H271" s="14" t="str">
        <f>VLOOKUP(tab_Geral[[#This Row],[Informação 3]],tab_AgênciaAmbiental,10,FALSE)</f>
        <v>5</v>
      </c>
      <c r="I271" s="14" t="s">
        <v>269</v>
      </c>
      <c r="J271" s="18" t="s">
        <v>269</v>
      </c>
      <c r="K271" s="17"/>
      <c r="L271" s="17" t="s">
        <v>1886</v>
      </c>
      <c r="M271" s="17" t="s">
        <v>837</v>
      </c>
      <c r="N271" s="17" t="s">
        <v>657</v>
      </c>
      <c r="O271" s="17" t="s">
        <v>838</v>
      </c>
      <c r="P271" s="17" t="s">
        <v>839</v>
      </c>
      <c r="Q271" s="17" t="s">
        <v>840</v>
      </c>
      <c r="R271" s="17" t="s">
        <v>841</v>
      </c>
      <c r="S271" s="17" t="s">
        <v>842</v>
      </c>
      <c r="T271" s="15"/>
    </row>
    <row r="272" spans="1:20" x14ac:dyDescent="0.25">
      <c r="A272" s="14">
        <v>263</v>
      </c>
      <c r="B272" s="14">
        <v>3523503</v>
      </c>
      <c r="C272" s="14" t="str">
        <f>IF(ISERR(FIND("-",tab_Geral[[#This Row],[Municípios]],1)),"","Têm Hifen")</f>
        <v/>
      </c>
      <c r="D272" s="14" t="str">
        <f>IF(tab_Geral[[#This Row],[Informação 3]]&lt;&gt;"","","Não Registrado")</f>
        <v/>
      </c>
      <c r="E272" s="14" t="str">
        <f>IF(tab_Geral[[#This Row],[Municípios]]=tab_Geral[[#This Row],[Informação 1]],"","Não!, Erro!")</f>
        <v/>
      </c>
      <c r="F272" s="14" t="str">
        <f>IF(tab_Geral[[#This Row],[Municípios]]=tab_Geral[[#This Row],[Município]],"","Não!, Erro!")</f>
        <v/>
      </c>
      <c r="G272" s="14" t="str">
        <f>VLOOKUP(tab_Geral[[#This Row],[GeoCodigo]],tab_CETESB[],2,FALSE)</f>
        <v>Itatinga</v>
      </c>
      <c r="H272" s="14" t="str">
        <f>VLOOKUP(tab_Geral[[#This Row],[Informação 3]],tab_AgênciaAmbiental,10,FALSE)</f>
        <v>6</v>
      </c>
      <c r="I272" s="14" t="s">
        <v>270</v>
      </c>
      <c r="J272" s="18" t="s">
        <v>270</v>
      </c>
      <c r="K272" s="17"/>
      <c r="L272" s="17" t="s">
        <v>1887</v>
      </c>
      <c r="M272" s="17" t="s">
        <v>681</v>
      </c>
      <c r="N272" s="17" t="s">
        <v>682</v>
      </c>
      <c r="O272" s="17" t="s">
        <v>683</v>
      </c>
      <c r="P272" s="17" t="s">
        <v>684</v>
      </c>
      <c r="Q272" s="17" t="s">
        <v>685</v>
      </c>
      <c r="R272" s="17" t="s">
        <v>686</v>
      </c>
      <c r="S272" s="17" t="s">
        <v>687</v>
      </c>
      <c r="T272" s="15"/>
    </row>
    <row r="273" spans="1:20" x14ac:dyDescent="0.25">
      <c r="A273" s="14">
        <v>264</v>
      </c>
      <c r="B273" s="14">
        <v>3523602</v>
      </c>
      <c r="C273" s="14" t="str">
        <f>IF(ISERR(FIND("-",tab_Geral[[#This Row],[Municípios]],1)),"","Têm Hifen")</f>
        <v/>
      </c>
      <c r="D273" s="14" t="str">
        <f>IF(tab_Geral[[#This Row],[Informação 3]]&lt;&gt;"","","Não Registrado")</f>
        <v/>
      </c>
      <c r="E273" s="14" t="str">
        <f>IF(tab_Geral[[#This Row],[Municípios]]=tab_Geral[[#This Row],[Informação 1]],"","Não!, Erro!")</f>
        <v/>
      </c>
      <c r="F273" s="14" t="str">
        <f>IF(tab_Geral[[#This Row],[Municípios]]=tab_Geral[[#This Row],[Município]],"","Não!, Erro!")</f>
        <v/>
      </c>
      <c r="G273" s="14" t="str">
        <f>VLOOKUP(tab_Geral[[#This Row],[GeoCodigo]],tab_CETESB[],2,FALSE)</f>
        <v>Itirapina</v>
      </c>
      <c r="H273" s="14" t="str">
        <f>VLOOKUP(tab_Geral[[#This Row],[Informação 3]],tab_AgênciaAmbiental,10,FALSE)</f>
        <v>34</v>
      </c>
      <c r="I273" s="14" t="s">
        <v>271</v>
      </c>
      <c r="J273" s="18" t="s">
        <v>271</v>
      </c>
      <c r="K273" s="17"/>
      <c r="L273" s="17" t="s">
        <v>1915</v>
      </c>
      <c r="M273" s="17" t="s">
        <v>877</v>
      </c>
      <c r="N273" s="17" t="s">
        <v>878</v>
      </c>
      <c r="O273" s="17" t="s">
        <v>879</v>
      </c>
      <c r="P273" s="17" t="s">
        <v>880</v>
      </c>
      <c r="Q273" s="17" t="s">
        <v>881</v>
      </c>
      <c r="R273" s="17" t="s">
        <v>882</v>
      </c>
      <c r="S273" s="17" t="s">
        <v>883</v>
      </c>
      <c r="T273" s="15"/>
    </row>
    <row r="274" spans="1:20" x14ac:dyDescent="0.25">
      <c r="A274" s="14">
        <v>265</v>
      </c>
      <c r="B274" s="14">
        <v>3523701</v>
      </c>
      <c r="C274" s="14" t="str">
        <f>IF(ISERR(FIND("-",tab_Geral[[#This Row],[Municípios]],1)),"","Têm Hifen")</f>
        <v/>
      </c>
      <c r="D274" s="14" t="str">
        <f>IF(tab_Geral[[#This Row],[Informação 3]]&lt;&gt;"","","Não Registrado")</f>
        <v/>
      </c>
      <c r="E274" s="14" t="str">
        <f>IF(tab_Geral[[#This Row],[Municípios]]=tab_Geral[[#This Row],[Informação 1]],"","Não!, Erro!")</f>
        <v/>
      </c>
      <c r="F274" s="14" t="str">
        <f>IF(tab_Geral[[#This Row],[Municípios]]=tab_Geral[[#This Row],[Município]],"","Não!, Erro!")</f>
        <v/>
      </c>
      <c r="G274" s="14" t="str">
        <f>VLOOKUP(tab_Geral[[#This Row],[GeoCodigo]],tab_CETESB[],2,FALSE)</f>
        <v>Itirapuã</v>
      </c>
      <c r="H274" s="14" t="str">
        <f>VLOOKUP(tab_Geral[[#This Row],[Informação 3]],tab_AgênciaAmbiental,10,FALSE)</f>
        <v>15</v>
      </c>
      <c r="I274" s="14" t="s">
        <v>272</v>
      </c>
      <c r="J274" s="18" t="s">
        <v>272</v>
      </c>
      <c r="K274" s="17"/>
      <c r="L274" s="17" t="s">
        <v>1896</v>
      </c>
      <c r="M274" s="17" t="s">
        <v>809</v>
      </c>
      <c r="N274" s="17" t="s">
        <v>810</v>
      </c>
      <c r="O274" s="17" t="s">
        <v>811</v>
      </c>
      <c r="P274" s="17" t="s">
        <v>812</v>
      </c>
      <c r="Q274" s="17" t="s">
        <v>813</v>
      </c>
      <c r="R274" s="17" t="s">
        <v>814</v>
      </c>
      <c r="S274" s="17" t="s">
        <v>815</v>
      </c>
      <c r="T274" s="15"/>
    </row>
    <row r="275" spans="1:20" x14ac:dyDescent="0.25">
      <c r="A275" s="14">
        <v>266</v>
      </c>
      <c r="B275" s="14">
        <v>3523800</v>
      </c>
      <c r="C275" s="14" t="str">
        <f>IF(ISERR(FIND("-",tab_Geral[[#This Row],[Municípios]],1)),"","Têm Hifen")</f>
        <v/>
      </c>
      <c r="D275" s="14" t="str">
        <f>IF(tab_Geral[[#This Row],[Informação 3]]&lt;&gt;"","","Não Registrado")</f>
        <v/>
      </c>
      <c r="E275" s="14" t="str">
        <f>IF(tab_Geral[[#This Row],[Municípios]]=tab_Geral[[#This Row],[Informação 1]],"","Não!, Erro!")</f>
        <v/>
      </c>
      <c r="F275" s="14" t="str">
        <f>IF(tab_Geral[[#This Row],[Municípios]]=tab_Geral[[#This Row],[Município]],"","Não!, Erro!")</f>
        <v/>
      </c>
      <c r="G275" s="14" t="str">
        <f>VLOOKUP(tab_Geral[[#This Row],[GeoCodigo]],tab_CETESB[],2,FALSE)</f>
        <v>Itobi</v>
      </c>
      <c r="H275" s="14" t="str">
        <f>VLOOKUP(tab_Geral[[#This Row],[Informação 3]],tab_AgênciaAmbiental,10,FALSE)</f>
        <v>35</v>
      </c>
      <c r="I275" s="14" t="s">
        <v>273</v>
      </c>
      <c r="J275" s="18" t="s">
        <v>273</v>
      </c>
      <c r="K275" s="17"/>
      <c r="L275" s="17" t="s">
        <v>1916</v>
      </c>
      <c r="M275" s="17" t="s">
        <v>676</v>
      </c>
      <c r="N275" s="17" t="s">
        <v>657</v>
      </c>
      <c r="O275" s="17" t="s">
        <v>677</v>
      </c>
      <c r="P275" s="17" t="s">
        <v>678</v>
      </c>
      <c r="Q275" s="17" t="s">
        <v>679</v>
      </c>
      <c r="R275" s="17" t="s">
        <v>680</v>
      </c>
      <c r="S275" s="17" t="s">
        <v>937</v>
      </c>
    </row>
    <row r="276" spans="1:20" x14ac:dyDescent="0.25">
      <c r="A276" s="14">
        <v>267</v>
      </c>
      <c r="B276" s="14">
        <v>3523909</v>
      </c>
      <c r="C276" s="14" t="str">
        <f>IF(ISERR(FIND("-",tab_Geral[[#This Row],[Municípios]],1)),"","Têm Hifen")</f>
        <v/>
      </c>
      <c r="D276" s="14" t="str">
        <f>IF(tab_Geral[[#This Row],[Informação 3]]&lt;&gt;"","","Não Registrado")</f>
        <v/>
      </c>
      <c r="E276" s="14" t="str">
        <f>IF(tab_Geral[[#This Row],[Municípios]]=tab_Geral[[#This Row],[Informação 1]],"","Não!, Erro!")</f>
        <v/>
      </c>
      <c r="F276" s="14" t="str">
        <f>IF(tab_Geral[[#This Row],[Municípios]]=tab_Geral[[#This Row],[Município]],"","Não!, Erro!")</f>
        <v/>
      </c>
      <c r="G276" s="14" t="str">
        <f>VLOOKUP(tab_Geral[[#This Row],[GeoCodigo]],tab_CETESB[],2,FALSE)</f>
        <v>Itu</v>
      </c>
      <c r="H276" s="14" t="str">
        <f>VLOOKUP(tab_Geral[[#This Row],[Informação 3]],tab_AgênciaAmbiental,10,FALSE)</f>
        <v>18</v>
      </c>
      <c r="I276" s="14" t="s">
        <v>274</v>
      </c>
      <c r="J276" s="18" t="s">
        <v>274</v>
      </c>
      <c r="K276" s="17"/>
      <c r="L276" s="17" t="s">
        <v>1899</v>
      </c>
      <c r="M276" s="17" t="s">
        <v>733</v>
      </c>
      <c r="N276" s="17" t="s">
        <v>657</v>
      </c>
      <c r="O276" s="17" t="s">
        <v>734</v>
      </c>
      <c r="P276" s="17" t="s">
        <v>735</v>
      </c>
      <c r="Q276" s="17" t="s">
        <v>736</v>
      </c>
      <c r="R276" s="17" t="s">
        <v>737</v>
      </c>
      <c r="S276" s="17" t="s">
        <v>738</v>
      </c>
      <c r="T276" s="15"/>
    </row>
    <row r="277" spans="1:20" x14ac:dyDescent="0.25">
      <c r="A277" s="14">
        <v>268</v>
      </c>
      <c r="B277" s="14">
        <v>3524006</v>
      </c>
      <c r="C277" s="14" t="str">
        <f>IF(ISERR(FIND("-",tab_Geral[[#This Row],[Municípios]],1)),"","Têm Hifen")</f>
        <v/>
      </c>
      <c r="D277" s="14" t="str">
        <f>IF(tab_Geral[[#This Row],[Informação 3]]&lt;&gt;"","","Não Registrado")</f>
        <v/>
      </c>
      <c r="E277" s="14" t="str">
        <f>IF(tab_Geral[[#This Row],[Municípios]]=tab_Geral[[#This Row],[Informação 1]],"","Não!, Erro!")</f>
        <v/>
      </c>
      <c r="F277" s="14" t="str">
        <f>IF(tab_Geral[[#This Row],[Municípios]]=tab_Geral[[#This Row],[Município]],"","Não!, Erro!")</f>
        <v/>
      </c>
      <c r="G277" s="14" t="str">
        <f>VLOOKUP(tab_Geral[[#This Row],[GeoCodigo]],tab_CETESB[],2,FALSE)</f>
        <v>Itupeva</v>
      </c>
      <c r="H277" s="14" t="str">
        <f>VLOOKUP(tab_Geral[[#This Row],[Informação 3]],tab_AgênciaAmbiental,10,FALSE)</f>
        <v>21</v>
      </c>
      <c r="I277" s="14" t="s">
        <v>275</v>
      </c>
      <c r="J277" s="18" t="s">
        <v>275</v>
      </c>
      <c r="K277" s="17"/>
      <c r="L277" s="17" t="s">
        <v>1902</v>
      </c>
      <c r="M277" s="17" t="s">
        <v>884</v>
      </c>
      <c r="N277" s="17" t="s">
        <v>885</v>
      </c>
      <c r="O277" s="17" t="s">
        <v>886</v>
      </c>
      <c r="P277" s="17" t="s">
        <v>887</v>
      </c>
      <c r="Q277" s="17" t="s">
        <v>888</v>
      </c>
      <c r="R277" s="17" t="s">
        <v>889</v>
      </c>
      <c r="S277" s="17" t="s">
        <v>890</v>
      </c>
      <c r="T277" s="15"/>
    </row>
    <row r="278" spans="1:20" x14ac:dyDescent="0.25">
      <c r="A278" s="14">
        <v>269</v>
      </c>
      <c r="B278" s="14">
        <v>3524105</v>
      </c>
      <c r="C278" s="14" t="str">
        <f>IF(ISERR(FIND("-",tab_Geral[[#This Row],[Municípios]],1)),"","Têm Hifen")</f>
        <v/>
      </c>
      <c r="D278" s="14" t="str">
        <f>IF(tab_Geral[[#This Row],[Informação 3]]&lt;&gt;"","","Não Registrado")</f>
        <v/>
      </c>
      <c r="E278" s="14" t="str">
        <f>IF(tab_Geral[[#This Row],[Municípios]]=tab_Geral[[#This Row],[Informação 1]],"","Não!, Erro!")</f>
        <v/>
      </c>
      <c r="F278" s="14" t="str">
        <f>IF(tab_Geral[[#This Row],[Municípios]]=tab_Geral[[#This Row],[Município]],"","Não!, Erro!")</f>
        <v/>
      </c>
      <c r="G278" s="14" t="str">
        <f>VLOOKUP(tab_Geral[[#This Row],[GeoCodigo]],tab_CETESB[],2,FALSE)</f>
        <v>Ituverava</v>
      </c>
      <c r="H278" s="14" t="str">
        <f>VLOOKUP(tab_Geral[[#This Row],[Informação 3]],tab_AgênciaAmbiental,10,FALSE)</f>
        <v>15</v>
      </c>
      <c r="I278" s="14" t="s">
        <v>276</v>
      </c>
      <c r="J278" s="18" t="s">
        <v>276</v>
      </c>
      <c r="K278" s="17"/>
      <c r="L278" s="17" t="s">
        <v>1896</v>
      </c>
      <c r="M278" s="17" t="s">
        <v>809</v>
      </c>
      <c r="N278" s="17" t="s">
        <v>810</v>
      </c>
      <c r="O278" s="17" t="s">
        <v>811</v>
      </c>
      <c r="P278" s="17" t="s">
        <v>812</v>
      </c>
      <c r="Q278" s="17" t="s">
        <v>813</v>
      </c>
      <c r="R278" s="17" t="s">
        <v>814</v>
      </c>
      <c r="S278" s="17" t="s">
        <v>815</v>
      </c>
      <c r="T278" s="15"/>
    </row>
    <row r="279" spans="1:20" x14ac:dyDescent="0.25">
      <c r="A279" s="14">
        <v>270</v>
      </c>
      <c r="B279" s="14">
        <v>3524204</v>
      </c>
      <c r="C279" s="14" t="str">
        <f>IF(ISERR(FIND("-",tab_Geral[[#This Row],[Municípios]],1)),"","Têm Hifen")</f>
        <v/>
      </c>
      <c r="D279" s="14" t="str">
        <f>IF(tab_Geral[[#This Row],[Informação 3]]&lt;&gt;"","","Não Registrado")</f>
        <v/>
      </c>
      <c r="E279" s="14" t="str">
        <f>IF(tab_Geral[[#This Row],[Municípios]]=tab_Geral[[#This Row],[Informação 1]],"","Não!, Erro!")</f>
        <v/>
      </c>
      <c r="F279" s="14" t="str">
        <f>IF(tab_Geral[[#This Row],[Municípios]]=tab_Geral[[#This Row],[Município]],"","Não!, Erro!")</f>
        <v/>
      </c>
      <c r="G279" s="14" t="str">
        <f>VLOOKUP(tab_Geral[[#This Row],[GeoCodigo]],tab_CETESB[],2,FALSE)</f>
        <v>Jaborandi</v>
      </c>
      <c r="H279" s="14" t="str">
        <f>VLOOKUP(tab_Geral[[#This Row],[Informação 3]],tab_AgênciaAmbiental,10,FALSE)</f>
        <v>7</v>
      </c>
      <c r="I279" s="14" t="s">
        <v>277</v>
      </c>
      <c r="J279" s="18" t="s">
        <v>277</v>
      </c>
      <c r="K279" s="17"/>
      <c r="L279" s="17" t="s">
        <v>1888</v>
      </c>
      <c r="M279" s="17" t="s">
        <v>713</v>
      </c>
      <c r="N279" s="17" t="s">
        <v>714</v>
      </c>
      <c r="O279" s="17" t="s">
        <v>715</v>
      </c>
      <c r="P279" s="17" t="s">
        <v>716</v>
      </c>
      <c r="Q279" s="17" t="s">
        <v>717</v>
      </c>
      <c r="R279" s="17" t="s">
        <v>718</v>
      </c>
      <c r="S279" s="17" t="s">
        <v>719</v>
      </c>
      <c r="T279" s="15"/>
    </row>
    <row r="280" spans="1:20" x14ac:dyDescent="0.25">
      <c r="A280" s="14">
        <v>271</v>
      </c>
      <c r="B280" s="14">
        <v>3524303</v>
      </c>
      <c r="C280" s="14" t="str">
        <f>IF(ISERR(FIND("-",tab_Geral[[#This Row],[Municípios]],1)),"","Têm Hifen")</f>
        <v/>
      </c>
      <c r="D280" s="14" t="str">
        <f>IF(tab_Geral[[#This Row],[Informação 3]]&lt;&gt;"","","Não Registrado")</f>
        <v/>
      </c>
      <c r="E280" s="14" t="str">
        <f>IF(tab_Geral[[#This Row],[Municípios]]=tab_Geral[[#This Row],[Informação 1]],"","Não!, Erro!")</f>
        <v/>
      </c>
      <c r="F280" s="14" t="str">
        <f>IF(tab_Geral[[#This Row],[Municípios]]=tab_Geral[[#This Row],[Município]],"","Não!, Erro!")</f>
        <v/>
      </c>
      <c r="G280" s="14" t="str">
        <f>VLOOKUP(tab_Geral[[#This Row],[GeoCodigo]],tab_CETESB[],2,FALSE)</f>
        <v>Jaboticabal</v>
      </c>
      <c r="H280" s="14" t="str">
        <f>VLOOKUP(tab_Geral[[#This Row],[Informação 3]],tab_AgênciaAmbiental,10,FALSE)</f>
        <v>19</v>
      </c>
      <c r="I280" s="14" t="s">
        <v>278</v>
      </c>
      <c r="J280" s="18" t="s">
        <v>278</v>
      </c>
      <c r="K280" s="17"/>
      <c r="L280" s="17" t="s">
        <v>1900</v>
      </c>
      <c r="M280" s="17" t="s">
        <v>850</v>
      </c>
      <c r="N280" s="17" t="s">
        <v>851</v>
      </c>
      <c r="O280" s="17" t="s">
        <v>852</v>
      </c>
      <c r="P280" s="17" t="s">
        <v>853</v>
      </c>
      <c r="Q280" s="17" t="s">
        <v>854</v>
      </c>
      <c r="R280" s="17" t="s">
        <v>855</v>
      </c>
      <c r="S280" s="17" t="s">
        <v>856</v>
      </c>
      <c r="T280" s="15"/>
    </row>
    <row r="281" spans="1:20" x14ac:dyDescent="0.25">
      <c r="A281" s="14">
        <v>272</v>
      </c>
      <c r="B281" s="14">
        <v>3524402</v>
      </c>
      <c r="C281" s="14" t="str">
        <f>IF(ISERR(FIND("-",tab_Geral[[#This Row],[Municípios]],1)),"","Têm Hifen")</f>
        <v/>
      </c>
      <c r="D281" s="14" t="str">
        <f>IF(tab_Geral[[#This Row],[Informação 3]]&lt;&gt;"","","Não Registrado")</f>
        <v/>
      </c>
      <c r="E281" s="14" t="str">
        <f>IF(tab_Geral[[#This Row],[Municípios]]=tab_Geral[[#This Row],[Informação 1]],"","Não!, Erro!")</f>
        <v/>
      </c>
      <c r="F281" s="14" t="str">
        <f>IF(tab_Geral[[#This Row],[Municípios]]=tab_Geral[[#This Row],[Município]],"","Não!, Erro!")</f>
        <v/>
      </c>
      <c r="G281" s="14" t="str">
        <f>VLOOKUP(tab_Geral[[#This Row],[GeoCodigo]],tab_CETESB[],2,FALSE)</f>
        <v>Jacareí</v>
      </c>
      <c r="H281" s="14" t="str">
        <f>VLOOKUP(tab_Geral[[#This Row],[Informação 3]],tab_AgênciaAmbiental,10,FALSE)</f>
        <v>37</v>
      </c>
      <c r="I281" s="14" t="s">
        <v>279</v>
      </c>
      <c r="J281" s="18" t="s">
        <v>279</v>
      </c>
      <c r="K281" s="17"/>
      <c r="L281" s="17" t="s">
        <v>1918</v>
      </c>
      <c r="M281" s="17" t="s">
        <v>891</v>
      </c>
      <c r="N281" s="17" t="s">
        <v>892</v>
      </c>
      <c r="O281" s="17" t="s">
        <v>893</v>
      </c>
      <c r="P281" s="17" t="s">
        <v>894</v>
      </c>
      <c r="Q281" s="17" t="s">
        <v>895</v>
      </c>
      <c r="R281" s="17" t="s">
        <v>896</v>
      </c>
      <c r="S281" s="17" t="s">
        <v>897</v>
      </c>
      <c r="T281" s="15"/>
    </row>
    <row r="282" spans="1:20" x14ac:dyDescent="0.25">
      <c r="A282" s="14">
        <v>273</v>
      </c>
      <c r="B282" s="14">
        <v>3524501</v>
      </c>
      <c r="C282" s="14" t="str">
        <f>IF(ISERR(FIND("-",tab_Geral[[#This Row],[Municípios]],1)),"","Têm Hifen")</f>
        <v/>
      </c>
      <c r="D282" s="14" t="str">
        <f>IF(tab_Geral[[#This Row],[Informação 3]]&lt;&gt;"","","Não Registrado")</f>
        <v/>
      </c>
      <c r="E282" s="14" t="str">
        <f>IF(tab_Geral[[#This Row],[Municípios]]=tab_Geral[[#This Row],[Informação 1]],"","Não!, Erro!")</f>
        <v/>
      </c>
      <c r="F282" s="14" t="str">
        <f>IF(tab_Geral[[#This Row],[Municípios]]=tab_Geral[[#This Row],[Município]],"","Não!, Erro!")</f>
        <v/>
      </c>
      <c r="G282" s="14" t="str">
        <f>VLOOKUP(tab_Geral[[#This Row],[GeoCodigo]],tab_CETESB[],2,FALSE)</f>
        <v>Jaci</v>
      </c>
      <c r="H282" s="14" t="str">
        <f>VLOOKUP(tab_Geral[[#This Row],[Informação 3]],tab_AgênciaAmbiental,10,FALSE)</f>
        <v>36</v>
      </c>
      <c r="I282" s="14" t="s">
        <v>280</v>
      </c>
      <c r="J282" s="18" t="s">
        <v>280</v>
      </c>
      <c r="K282" s="17"/>
      <c r="L282" s="17" t="s">
        <v>1917</v>
      </c>
      <c r="M282" s="17" t="s">
        <v>663</v>
      </c>
      <c r="N282" s="17" t="s">
        <v>664</v>
      </c>
      <c r="O282" s="17" t="s">
        <v>665</v>
      </c>
      <c r="P282" s="17" t="s">
        <v>666</v>
      </c>
      <c r="Q282" s="17" t="s">
        <v>667</v>
      </c>
      <c r="R282" s="17" t="s">
        <v>668</v>
      </c>
      <c r="S282" s="17" t="s">
        <v>938</v>
      </c>
    </row>
    <row r="283" spans="1:20" x14ac:dyDescent="0.25">
      <c r="A283" s="14">
        <v>274</v>
      </c>
      <c r="B283" s="14">
        <v>3524600</v>
      </c>
      <c r="C283" s="14" t="str">
        <f>IF(ISERR(FIND("-",tab_Geral[[#This Row],[Municípios]],1)),"","Têm Hifen")</f>
        <v/>
      </c>
      <c r="D283" s="14" t="str">
        <f>IF(tab_Geral[[#This Row],[Informação 3]]&lt;&gt;"","","Não Registrado")</f>
        <v/>
      </c>
      <c r="E283" s="14" t="str">
        <f>IF(tab_Geral[[#This Row],[Municípios]]=tab_Geral[[#This Row],[Informação 1]],"","Não!, Erro!")</f>
        <v/>
      </c>
      <c r="F283" s="14" t="str">
        <f>IF(tab_Geral[[#This Row],[Municípios]]=tab_Geral[[#This Row],[Município]],"","Não!, Erro!")</f>
        <v/>
      </c>
      <c r="G283" s="14" t="str">
        <f>VLOOKUP(tab_Geral[[#This Row],[GeoCodigo]],tab_CETESB[],2,FALSE)</f>
        <v>Jacupiranga</v>
      </c>
      <c r="H283" s="14" t="str">
        <f>VLOOKUP(tab_Geral[[#This Row],[Informação 3]],tab_AgênciaAmbiental,10,FALSE)</f>
        <v>30</v>
      </c>
      <c r="I283" s="14" t="s">
        <v>281</v>
      </c>
      <c r="J283" s="18" t="s">
        <v>281</v>
      </c>
      <c r="K283" s="17"/>
      <c r="L283" s="17" t="s">
        <v>1911</v>
      </c>
      <c r="M283" s="17" t="s">
        <v>843</v>
      </c>
      <c r="N283" s="17" t="s">
        <v>844</v>
      </c>
      <c r="O283" s="17" t="s">
        <v>845</v>
      </c>
      <c r="P283" s="17" t="s">
        <v>846</v>
      </c>
      <c r="Q283" s="17" t="s">
        <v>847</v>
      </c>
      <c r="R283" s="17" t="s">
        <v>848</v>
      </c>
      <c r="S283" s="17" t="s">
        <v>849</v>
      </c>
      <c r="T283" s="15"/>
    </row>
    <row r="284" spans="1:20" x14ac:dyDescent="0.25">
      <c r="A284" s="14">
        <v>275</v>
      </c>
      <c r="B284" s="14">
        <v>3524709</v>
      </c>
      <c r="C284" s="14" t="str">
        <f>IF(ISERR(FIND("-",tab_Geral[[#This Row],[Municípios]],1)),"","Têm Hifen")</f>
        <v/>
      </c>
      <c r="D284" s="14" t="str">
        <f>IF(tab_Geral[[#This Row],[Informação 3]]&lt;&gt;"","","Não Registrado")</f>
        <v/>
      </c>
      <c r="E284" s="14" t="str">
        <f>IF(tab_Geral[[#This Row],[Municípios]]=tab_Geral[[#This Row],[Informação 1]],"","Não!, Erro!")</f>
        <v/>
      </c>
      <c r="F284" s="14" t="str">
        <f>IF(tab_Geral[[#This Row],[Municípios]]=tab_Geral[[#This Row],[Município]],"","Não!, Erro!")</f>
        <v/>
      </c>
      <c r="G284" s="14" t="str">
        <f>VLOOKUP(tab_Geral[[#This Row],[GeoCodigo]],tab_CETESB[],2,FALSE)</f>
        <v>Jaguariúna</v>
      </c>
      <c r="H284" s="14" t="str">
        <f>VLOOKUP(tab_Geral[[#This Row],[Informação 3]],tab_AgênciaAmbiental,10,FALSE)</f>
        <v>27</v>
      </c>
      <c r="I284" s="14" t="s">
        <v>282</v>
      </c>
      <c r="J284" s="18" t="s">
        <v>282</v>
      </c>
      <c r="K284" s="17"/>
      <c r="L284" s="17" t="s">
        <v>1908</v>
      </c>
      <c r="M284" s="17" t="s">
        <v>767</v>
      </c>
      <c r="N284" s="17" t="s">
        <v>768</v>
      </c>
      <c r="O284" s="17" t="s">
        <v>769</v>
      </c>
      <c r="P284" s="17" t="s">
        <v>770</v>
      </c>
      <c r="Q284" s="17" t="s">
        <v>771</v>
      </c>
      <c r="R284" s="17" t="s">
        <v>772</v>
      </c>
      <c r="S284" s="17" t="s">
        <v>773</v>
      </c>
      <c r="T284" s="15"/>
    </row>
    <row r="285" spans="1:20" x14ac:dyDescent="0.25">
      <c r="A285" s="14">
        <v>276</v>
      </c>
      <c r="B285" s="14">
        <v>3524808</v>
      </c>
      <c r="C285" s="14" t="str">
        <f>IF(ISERR(FIND("-",tab_Geral[[#This Row],[Municípios]],1)),"","Têm Hifen")</f>
        <v/>
      </c>
      <c r="D285" s="14" t="str">
        <f>IF(tab_Geral[[#This Row],[Informação 3]]&lt;&gt;"","","Não Registrado")</f>
        <v/>
      </c>
      <c r="E285" s="14" t="str">
        <f>IF(tab_Geral[[#This Row],[Municípios]]=tab_Geral[[#This Row],[Informação 1]],"","Não!, Erro!")</f>
        <v/>
      </c>
      <c r="F285" s="14" t="str">
        <f>IF(tab_Geral[[#This Row],[Municípios]]=tab_Geral[[#This Row],[Município]],"","Não!, Erro!")</f>
        <v/>
      </c>
      <c r="G285" s="14" t="str">
        <f>VLOOKUP(tab_Geral[[#This Row],[GeoCodigo]],tab_CETESB[],2,FALSE)</f>
        <v>Jales</v>
      </c>
      <c r="H285" s="14" t="str">
        <f>VLOOKUP(tab_Geral[[#This Row],[Informação 3]],tab_AgênciaAmbiental,10,FALSE)</f>
        <v>20</v>
      </c>
      <c r="I285" s="14" t="s">
        <v>283</v>
      </c>
      <c r="J285" s="18" t="s">
        <v>283</v>
      </c>
      <c r="K285" s="17"/>
      <c r="L285" s="17" t="s">
        <v>1901</v>
      </c>
      <c r="M285" s="17" t="s">
        <v>788</v>
      </c>
      <c r="N285" s="17" t="s">
        <v>789</v>
      </c>
      <c r="O285" s="17" t="s">
        <v>790</v>
      </c>
      <c r="P285" s="17" t="s">
        <v>791</v>
      </c>
      <c r="Q285" s="17" t="s">
        <v>792</v>
      </c>
      <c r="R285" s="17" t="s">
        <v>793</v>
      </c>
      <c r="S285" s="17" t="s">
        <v>794</v>
      </c>
      <c r="T285" s="15"/>
    </row>
    <row r="286" spans="1:20" x14ac:dyDescent="0.25">
      <c r="A286" s="14">
        <v>277</v>
      </c>
      <c r="B286" s="14">
        <v>3524907</v>
      </c>
      <c r="C286" s="14" t="str">
        <f>IF(ISERR(FIND("-",tab_Geral[[#This Row],[Municípios]],1)),"","Têm Hifen")</f>
        <v/>
      </c>
      <c r="D286" s="14" t="str">
        <f>IF(tab_Geral[[#This Row],[Informação 3]]&lt;&gt;"","","Não Registrado")</f>
        <v/>
      </c>
      <c r="E286" s="14" t="str">
        <f>IF(tab_Geral[[#This Row],[Municípios]]=tab_Geral[[#This Row],[Informação 1]],"","Não!, Erro!")</f>
        <v/>
      </c>
      <c r="F286" s="14" t="str">
        <f>IF(tab_Geral[[#This Row],[Municípios]]=tab_Geral[[#This Row],[Município]],"","Não!, Erro!")</f>
        <v/>
      </c>
      <c r="G286" s="14" t="str">
        <f>VLOOKUP(tab_Geral[[#This Row],[GeoCodigo]],tab_CETESB[],2,FALSE)</f>
        <v>Jambeiro</v>
      </c>
      <c r="H286" s="14" t="str">
        <f>VLOOKUP(tab_Geral[[#This Row],[Informação 3]],tab_AgênciaAmbiental,10,FALSE)</f>
        <v>37</v>
      </c>
      <c r="I286" s="14" t="s">
        <v>284</v>
      </c>
      <c r="J286" s="18" t="s">
        <v>284</v>
      </c>
      <c r="K286" s="17"/>
      <c r="L286" s="17" t="s">
        <v>1918</v>
      </c>
      <c r="M286" s="17" t="s">
        <v>891</v>
      </c>
      <c r="N286" s="17" t="s">
        <v>892</v>
      </c>
      <c r="O286" s="17" t="s">
        <v>893</v>
      </c>
      <c r="P286" s="17" t="s">
        <v>894</v>
      </c>
      <c r="Q286" s="17" t="s">
        <v>895</v>
      </c>
      <c r="R286" s="17" t="s">
        <v>896</v>
      </c>
      <c r="S286" s="17" t="s">
        <v>897</v>
      </c>
      <c r="T286" s="15"/>
    </row>
    <row r="287" spans="1:20" x14ac:dyDescent="0.25">
      <c r="A287" s="14">
        <v>278</v>
      </c>
      <c r="B287" s="14">
        <v>3525003</v>
      </c>
      <c r="C287" s="14" t="str">
        <f>IF(ISERR(FIND("-",tab_Geral[[#This Row],[Municípios]],1)),"","Têm Hifen")</f>
        <v/>
      </c>
      <c r="D287" s="14" t="str">
        <f>IF(tab_Geral[[#This Row],[Informação 3]]&lt;&gt;"","","Não Registrado")</f>
        <v/>
      </c>
      <c r="E287" s="14" t="str">
        <f>IF(tab_Geral[[#This Row],[Municípios]]=tab_Geral[[#This Row],[Informação 1]],"","Não!, Erro!")</f>
        <v/>
      </c>
      <c r="F287" s="14" t="str">
        <f>IF(tab_Geral[[#This Row],[Municípios]]=tab_Geral[[#This Row],[Município]],"","Não!, Erro!")</f>
        <v/>
      </c>
      <c r="G287" s="14" t="str">
        <f>VLOOKUP(tab_Geral[[#This Row],[GeoCodigo]],tab_CETESB[],2,FALSE)</f>
        <v>Jandira</v>
      </c>
      <c r="H287" s="14" t="str">
        <f>VLOOKUP(tab_Geral[[#This Row],[Informação 3]],tab_AgênciaAmbiental,10,FALSE)</f>
        <v>26</v>
      </c>
      <c r="I287" s="14" t="s">
        <v>285</v>
      </c>
      <c r="J287" s="18" t="s">
        <v>285</v>
      </c>
      <c r="K287" s="17"/>
      <c r="L287" s="17" t="s">
        <v>1907</v>
      </c>
      <c r="M287" s="17" t="s">
        <v>857</v>
      </c>
      <c r="N287" s="17" t="s">
        <v>858</v>
      </c>
      <c r="O287" s="17" t="s">
        <v>859</v>
      </c>
      <c r="P287" s="17" t="s">
        <v>860</v>
      </c>
      <c r="Q287" s="17" t="s">
        <v>861</v>
      </c>
      <c r="R287" s="17" t="s">
        <v>862</v>
      </c>
      <c r="S287" s="17" t="s">
        <v>863</v>
      </c>
      <c r="T287" s="15"/>
    </row>
    <row r="288" spans="1:20" x14ac:dyDescent="0.25">
      <c r="A288" s="14">
        <v>279</v>
      </c>
      <c r="B288" s="14">
        <v>3525102</v>
      </c>
      <c r="C288" s="14" t="str">
        <f>IF(ISERR(FIND("-",tab_Geral[[#This Row],[Municípios]],1)),"","Têm Hifen")</f>
        <v/>
      </c>
      <c r="D288" s="14" t="str">
        <f>IF(tab_Geral[[#This Row],[Informação 3]]&lt;&gt;"","","Não Registrado")</f>
        <v/>
      </c>
      <c r="E288" s="14" t="str">
        <f>IF(tab_Geral[[#This Row],[Municípios]]=tab_Geral[[#This Row],[Informação 1]],"","Não!, Erro!")</f>
        <v/>
      </c>
      <c r="F288" s="14" t="str">
        <f>IF(tab_Geral[[#This Row],[Municípios]]=tab_Geral[[#This Row],[Município]],"","Não!, Erro!")</f>
        <v/>
      </c>
      <c r="G288" s="14" t="str">
        <f>VLOOKUP(tab_Geral[[#This Row],[GeoCodigo]],tab_CETESB[],2,FALSE)</f>
        <v>Jardinópolis</v>
      </c>
      <c r="H288" s="14" t="str">
        <f>VLOOKUP(tab_Geral[[#This Row],[Informação 3]],tab_AgênciaAmbiental,10,FALSE)</f>
        <v>31</v>
      </c>
      <c r="I288" s="14" t="s">
        <v>286</v>
      </c>
      <c r="J288" s="18" t="s">
        <v>286</v>
      </c>
      <c r="K288" s="17"/>
      <c r="L288" s="17" t="s">
        <v>1912</v>
      </c>
      <c r="M288" s="17" t="s">
        <v>720</v>
      </c>
      <c r="N288" s="17" t="s">
        <v>721</v>
      </c>
      <c r="O288" s="17" t="s">
        <v>722</v>
      </c>
      <c r="P288" s="17" t="s">
        <v>723</v>
      </c>
      <c r="Q288" s="17" t="s">
        <v>724</v>
      </c>
      <c r="R288" s="17" t="s">
        <v>725</v>
      </c>
      <c r="S288" s="17" t="s">
        <v>726</v>
      </c>
      <c r="T288" s="15"/>
    </row>
    <row r="289" spans="1:20" x14ac:dyDescent="0.25">
      <c r="A289" s="14">
        <v>280</v>
      </c>
      <c r="B289" s="14">
        <v>3525201</v>
      </c>
      <c r="C289" s="14" t="str">
        <f>IF(ISERR(FIND("-",tab_Geral[[#This Row],[Municípios]],1)),"","Têm Hifen")</f>
        <v/>
      </c>
      <c r="D289" s="14" t="str">
        <f>IF(tab_Geral[[#This Row],[Informação 3]]&lt;&gt;"","","Não Registrado")</f>
        <v/>
      </c>
      <c r="E289" s="14" t="str">
        <f>IF(tab_Geral[[#This Row],[Municípios]]=tab_Geral[[#This Row],[Informação 1]],"","Não!, Erro!")</f>
        <v/>
      </c>
      <c r="F289" s="14" t="str">
        <f>IF(tab_Geral[[#This Row],[Municípios]]=tab_Geral[[#This Row],[Município]],"","Não!, Erro!")</f>
        <v/>
      </c>
      <c r="G289" s="14" t="str">
        <f>VLOOKUP(tab_Geral[[#This Row],[GeoCodigo]],tab_CETESB[],2,FALSE)</f>
        <v>Jarinu</v>
      </c>
      <c r="H289" s="14" t="str">
        <f>VLOOKUP(tab_Geral[[#This Row],[Informação 3]],tab_AgênciaAmbiental,10,FALSE)</f>
        <v>21</v>
      </c>
      <c r="I289" s="14" t="s">
        <v>287</v>
      </c>
      <c r="J289" s="18" t="s">
        <v>287</v>
      </c>
      <c r="K289" s="17"/>
      <c r="L289" s="17" t="s">
        <v>1902</v>
      </c>
      <c r="M289" s="17" t="s">
        <v>884</v>
      </c>
      <c r="N289" s="17" t="s">
        <v>885</v>
      </c>
      <c r="O289" s="17" t="s">
        <v>886</v>
      </c>
      <c r="P289" s="17" t="s">
        <v>887</v>
      </c>
      <c r="Q289" s="17" t="s">
        <v>888</v>
      </c>
      <c r="R289" s="17" t="s">
        <v>889</v>
      </c>
      <c r="S289" s="17" t="s">
        <v>890</v>
      </c>
      <c r="T289" s="15"/>
    </row>
    <row r="290" spans="1:20" x14ac:dyDescent="0.25">
      <c r="A290" s="14">
        <v>281</v>
      </c>
      <c r="B290" s="14">
        <v>3525300</v>
      </c>
      <c r="C290" s="14" t="str">
        <f>IF(ISERR(FIND("-",tab_Geral[[#This Row],[Municípios]],1)),"","Têm Hifen")</f>
        <v/>
      </c>
      <c r="D290" s="14" t="str">
        <f>IF(tab_Geral[[#This Row],[Informação 3]]&lt;&gt;"","","Não Registrado")</f>
        <v/>
      </c>
      <c r="E290" s="14" t="str">
        <f>IF(tab_Geral[[#This Row],[Municípios]]=tab_Geral[[#This Row],[Informação 1]],"","Não!, Erro!")</f>
        <v/>
      </c>
      <c r="F290" s="14" t="str">
        <f>IF(tab_Geral[[#This Row],[Municípios]]=tab_Geral[[#This Row],[Município]],"","Não!, Erro!")</f>
        <v/>
      </c>
      <c r="G290" s="14" t="str">
        <f>VLOOKUP(tab_Geral[[#This Row],[GeoCodigo]],tab_CETESB[],2,FALSE)</f>
        <v>Jaú</v>
      </c>
      <c r="H290" s="14" t="str">
        <f>VLOOKUP(tab_Geral[[#This Row],[Informação 3]],tab_AgênciaAmbiental,10,FALSE)</f>
        <v>8</v>
      </c>
      <c r="I290" s="14" t="s">
        <v>288</v>
      </c>
      <c r="J290" s="18" t="s">
        <v>288</v>
      </c>
      <c r="K290" s="17"/>
      <c r="L290" s="17" t="s">
        <v>1889</v>
      </c>
      <c r="M290" s="17" t="s">
        <v>694</v>
      </c>
      <c r="N290" s="17" t="s">
        <v>695</v>
      </c>
      <c r="O290" s="17" t="s">
        <v>696</v>
      </c>
      <c r="P290" s="17" t="s">
        <v>697</v>
      </c>
      <c r="Q290" s="17" t="s">
        <v>698</v>
      </c>
      <c r="R290" s="17" t="s">
        <v>699</v>
      </c>
      <c r="S290" s="17" t="s">
        <v>700</v>
      </c>
      <c r="T290" s="15"/>
    </row>
    <row r="291" spans="1:20" x14ac:dyDescent="0.25">
      <c r="A291" s="14">
        <v>282</v>
      </c>
      <c r="B291" s="14">
        <v>3525409</v>
      </c>
      <c r="C291" s="14" t="str">
        <f>IF(ISERR(FIND("-",tab_Geral[[#This Row],[Municípios]],1)),"","Têm Hifen")</f>
        <v/>
      </c>
      <c r="D291" s="14" t="str">
        <f>IF(tab_Geral[[#This Row],[Informação 3]]&lt;&gt;"","","Não Registrado")</f>
        <v/>
      </c>
      <c r="E291" s="14" t="str">
        <f>IF(tab_Geral[[#This Row],[Municípios]]=tab_Geral[[#This Row],[Informação 1]],"","Não!, Erro!")</f>
        <v/>
      </c>
      <c r="F291" s="14" t="str">
        <f>IF(tab_Geral[[#This Row],[Municípios]]=tab_Geral[[#This Row],[Município]],"","Não!, Erro!")</f>
        <v/>
      </c>
      <c r="G291" s="14" t="str">
        <f>VLOOKUP(tab_Geral[[#This Row],[GeoCodigo]],tab_CETESB[],2,FALSE)</f>
        <v>Jeriquara</v>
      </c>
      <c r="H291" s="14" t="str">
        <f>VLOOKUP(tab_Geral[[#This Row],[Informação 3]],tab_AgênciaAmbiental,10,FALSE)</f>
        <v>15</v>
      </c>
      <c r="I291" s="14" t="s">
        <v>289</v>
      </c>
      <c r="J291" s="18" t="s">
        <v>289</v>
      </c>
      <c r="K291" s="17"/>
      <c r="L291" s="17" t="s">
        <v>1896</v>
      </c>
      <c r="M291" s="17" t="s">
        <v>809</v>
      </c>
      <c r="N291" s="17" t="s">
        <v>810</v>
      </c>
      <c r="O291" s="17" t="s">
        <v>811</v>
      </c>
      <c r="P291" s="17" t="s">
        <v>812</v>
      </c>
      <c r="Q291" s="17" t="s">
        <v>813</v>
      </c>
      <c r="R291" s="17" t="s">
        <v>814</v>
      </c>
      <c r="S291" s="17" t="s">
        <v>815</v>
      </c>
      <c r="T291" s="15"/>
    </row>
    <row r="292" spans="1:20" x14ac:dyDescent="0.25">
      <c r="A292" s="14">
        <v>283</v>
      </c>
      <c r="B292" s="14">
        <v>3525508</v>
      </c>
      <c r="C292" s="14" t="str">
        <f>IF(ISERR(FIND("-",tab_Geral[[#This Row],[Municípios]],1)),"","Têm Hifen")</f>
        <v/>
      </c>
      <c r="D292" s="14" t="str">
        <f>IF(tab_Geral[[#This Row],[Informação 3]]&lt;&gt;"","","Não Registrado")</f>
        <v/>
      </c>
      <c r="E292" s="14" t="str">
        <f>IF(tab_Geral[[#This Row],[Municípios]]=tab_Geral[[#This Row],[Informação 1]],"","Não!, Erro!")</f>
        <v/>
      </c>
      <c r="F292" s="14" t="str">
        <f>IF(tab_Geral[[#This Row],[Municípios]]=tab_Geral[[#This Row],[Município]],"","Não!, Erro!")</f>
        <v/>
      </c>
      <c r="G292" s="14" t="str">
        <f>VLOOKUP(tab_Geral[[#This Row],[GeoCodigo]],tab_CETESB[],2,FALSE)</f>
        <v>Joanópolis</v>
      </c>
      <c r="H292" s="14" t="str">
        <f>VLOOKUP(tab_Geral[[#This Row],[Informação 3]],tab_AgênciaAmbiental,10,FALSE)</f>
        <v>5</v>
      </c>
      <c r="I292" s="14" t="s">
        <v>290</v>
      </c>
      <c r="J292" s="18" t="s">
        <v>290</v>
      </c>
      <c r="K292" s="17"/>
      <c r="L292" s="17" t="s">
        <v>1886</v>
      </c>
      <c r="M292" s="17" t="s">
        <v>837</v>
      </c>
      <c r="N292" s="17" t="s">
        <v>657</v>
      </c>
      <c r="O292" s="17" t="s">
        <v>838</v>
      </c>
      <c r="P292" s="17" t="s">
        <v>839</v>
      </c>
      <c r="Q292" s="17" t="s">
        <v>840</v>
      </c>
      <c r="R292" s="17" t="s">
        <v>841</v>
      </c>
      <c r="S292" s="17" t="s">
        <v>842</v>
      </c>
      <c r="T292" s="15"/>
    </row>
    <row r="293" spans="1:20" x14ac:dyDescent="0.25">
      <c r="A293" s="14">
        <v>284</v>
      </c>
      <c r="B293" s="14">
        <v>3525607</v>
      </c>
      <c r="C293" s="14" t="str">
        <f>IF(ISERR(FIND("-",tab_Geral[[#This Row],[Municípios]],1)),"","Têm Hifen")</f>
        <v/>
      </c>
      <c r="D293" s="14" t="str">
        <f>IF(tab_Geral[[#This Row],[Informação 3]]&lt;&gt;"","","Não Registrado")</f>
        <v/>
      </c>
      <c r="E293" s="14" t="str">
        <f>IF(tab_Geral[[#This Row],[Municípios]]=tab_Geral[[#This Row],[Informação 1]],"","Não!, Erro!")</f>
        <v/>
      </c>
      <c r="F293" s="14" t="str">
        <f>IF(tab_Geral[[#This Row],[Municípios]]=tab_Geral[[#This Row],[Município]],"","Não!, Erro!")</f>
        <v/>
      </c>
      <c r="G293" s="14" t="str">
        <f>VLOOKUP(tab_Geral[[#This Row],[GeoCodigo]],tab_CETESB[],2,FALSE)</f>
        <v>João Ramalho</v>
      </c>
      <c r="H293" s="14" t="str">
        <f>VLOOKUP(tab_Geral[[#This Row],[Informação 3]],tab_AgênciaAmbiental,10,FALSE)</f>
        <v>4</v>
      </c>
      <c r="I293" s="14" t="s">
        <v>291</v>
      </c>
      <c r="J293" s="18" t="s">
        <v>291</v>
      </c>
      <c r="K293" s="17"/>
      <c r="L293" s="17" t="s">
        <v>1885</v>
      </c>
      <c r="M293" s="17" t="s">
        <v>830</v>
      </c>
      <c r="N293" s="17" t="s">
        <v>831</v>
      </c>
      <c r="O293" s="17" t="s">
        <v>832</v>
      </c>
      <c r="P293" s="17" t="s">
        <v>833</v>
      </c>
      <c r="Q293" s="17" t="s">
        <v>834</v>
      </c>
      <c r="R293" s="17" t="s">
        <v>835</v>
      </c>
      <c r="S293" s="17" t="s">
        <v>836</v>
      </c>
      <c r="T293" s="15"/>
    </row>
    <row r="294" spans="1:20" x14ac:dyDescent="0.25">
      <c r="A294" s="14">
        <v>285</v>
      </c>
      <c r="B294" s="14">
        <v>3525706</v>
      </c>
      <c r="C294" s="14" t="str">
        <f>IF(ISERR(FIND("-",tab_Geral[[#This Row],[Municípios]],1)),"","Têm Hifen")</f>
        <v/>
      </c>
      <c r="D294" s="14" t="str">
        <f>IF(tab_Geral[[#This Row],[Informação 3]]&lt;&gt;"","","Não Registrado")</f>
        <v/>
      </c>
      <c r="E294" s="14" t="str">
        <f>IF(tab_Geral[[#This Row],[Municípios]]=tab_Geral[[#This Row],[Informação 1]],"","Não!, Erro!")</f>
        <v/>
      </c>
      <c r="F294" s="14" t="str">
        <f>IF(tab_Geral[[#This Row],[Municípios]]=tab_Geral[[#This Row],[Município]],"","Não!, Erro!")</f>
        <v/>
      </c>
      <c r="G294" s="14" t="str">
        <f>VLOOKUP(tab_Geral[[#This Row],[GeoCodigo]],tab_CETESB[],2,FALSE)</f>
        <v>José Bonifácio</v>
      </c>
      <c r="H294" s="14" t="str">
        <f>VLOOKUP(tab_Geral[[#This Row],[Informação 3]],tab_AgênciaAmbiental,10,FALSE)</f>
        <v>36</v>
      </c>
      <c r="I294" s="14" t="s">
        <v>292</v>
      </c>
      <c r="J294" s="18" t="s">
        <v>292</v>
      </c>
      <c r="K294" s="17"/>
      <c r="L294" s="17" t="s">
        <v>1917</v>
      </c>
      <c r="M294" s="17" t="s">
        <v>663</v>
      </c>
      <c r="N294" s="17" t="s">
        <v>664</v>
      </c>
      <c r="O294" s="17" t="s">
        <v>665</v>
      </c>
      <c r="P294" s="17" t="s">
        <v>666</v>
      </c>
      <c r="Q294" s="17" t="s">
        <v>667</v>
      </c>
      <c r="R294" s="17" t="s">
        <v>668</v>
      </c>
      <c r="S294" s="17" t="s">
        <v>938</v>
      </c>
    </row>
    <row r="295" spans="1:20" x14ac:dyDescent="0.25">
      <c r="A295" s="14">
        <v>286</v>
      </c>
      <c r="B295" s="14">
        <v>3525805</v>
      </c>
      <c r="C295" s="14" t="str">
        <f>IF(ISERR(FIND("-",tab_Geral[[#This Row],[Municípios]],1)),"","Têm Hifen")</f>
        <v/>
      </c>
      <c r="D295" s="14" t="str">
        <f>IF(tab_Geral[[#This Row],[Informação 3]]&lt;&gt;"","","Não Registrado")</f>
        <v/>
      </c>
      <c r="E295" s="14" t="str">
        <f>IF(tab_Geral[[#This Row],[Municípios]]=tab_Geral[[#This Row],[Informação 1]],"","Não!, Erro!")</f>
        <v/>
      </c>
      <c r="F295" s="14" t="str">
        <f>IF(tab_Geral[[#This Row],[Municípios]]=tab_Geral[[#This Row],[Município]],"","Não!, Erro!")</f>
        <v/>
      </c>
      <c r="G295" s="14" t="str">
        <f>VLOOKUP(tab_Geral[[#This Row],[GeoCodigo]],tab_CETESB[],2,FALSE)</f>
        <v>Júlio Mesquita</v>
      </c>
      <c r="H295" s="14" t="str">
        <f>VLOOKUP(tab_Geral[[#This Row],[Informação 3]],tab_AgênciaAmbiental,10,FALSE)</f>
        <v>23</v>
      </c>
      <c r="I295" s="14" t="s">
        <v>293</v>
      </c>
      <c r="J295" s="18" t="s">
        <v>293</v>
      </c>
      <c r="K295" s="17"/>
      <c r="L295" s="17" t="s">
        <v>1904</v>
      </c>
      <c r="M295" s="17" t="s">
        <v>746</v>
      </c>
      <c r="N295" s="17" t="s">
        <v>747</v>
      </c>
      <c r="O295" s="17" t="s">
        <v>748</v>
      </c>
      <c r="P295" s="17" t="s">
        <v>749</v>
      </c>
      <c r="Q295" s="17" t="s">
        <v>750</v>
      </c>
      <c r="R295" s="17" t="s">
        <v>751</v>
      </c>
      <c r="S295" s="17" t="s">
        <v>752</v>
      </c>
      <c r="T295" s="15"/>
    </row>
    <row r="296" spans="1:20" x14ac:dyDescent="0.25">
      <c r="A296" s="14">
        <v>287</v>
      </c>
      <c r="B296" s="14">
        <v>3525854</v>
      </c>
      <c r="C296" s="14" t="str">
        <f>IF(ISERR(FIND("-",tab_Geral[[#This Row],[Municípios]],1)),"","Têm Hifen")</f>
        <v/>
      </c>
      <c r="D296" s="14" t="str">
        <f>IF(tab_Geral[[#This Row],[Informação 3]]&lt;&gt;"","","Não Registrado")</f>
        <v/>
      </c>
      <c r="E296" s="14" t="str">
        <f>IF(tab_Geral[[#This Row],[Municípios]]=tab_Geral[[#This Row],[Informação 1]],"","Não!, Erro!")</f>
        <v/>
      </c>
      <c r="F296" s="14" t="str">
        <f>IF(tab_Geral[[#This Row],[Municípios]]=tab_Geral[[#This Row],[Município]],"","Não!, Erro!")</f>
        <v/>
      </c>
      <c r="G296" s="14" t="str">
        <f>VLOOKUP(tab_Geral[[#This Row],[GeoCodigo]],tab_CETESB[],2,FALSE)</f>
        <v>Jumirim</v>
      </c>
      <c r="H296" s="14" t="str">
        <f>VLOOKUP(tab_Geral[[#This Row],[Informação 3]],tab_AgênciaAmbiental,10,FALSE)</f>
        <v>18</v>
      </c>
      <c r="I296" s="14" t="s">
        <v>294</v>
      </c>
      <c r="J296" s="18" t="s">
        <v>294</v>
      </c>
      <c r="K296" s="17"/>
      <c r="L296" s="17" t="s">
        <v>1899</v>
      </c>
      <c r="M296" s="17" t="s">
        <v>733</v>
      </c>
      <c r="N296" s="17" t="s">
        <v>657</v>
      </c>
      <c r="O296" s="17" t="s">
        <v>734</v>
      </c>
      <c r="P296" s="17" t="s">
        <v>735</v>
      </c>
      <c r="Q296" s="17" t="s">
        <v>736</v>
      </c>
      <c r="R296" s="17" t="s">
        <v>737</v>
      </c>
      <c r="S296" s="17" t="s">
        <v>738</v>
      </c>
      <c r="T296" s="15"/>
    </row>
    <row r="297" spans="1:20" x14ac:dyDescent="0.25">
      <c r="A297" s="14">
        <v>288</v>
      </c>
      <c r="B297" s="14">
        <v>3525904</v>
      </c>
      <c r="C297" s="14" t="str">
        <f>IF(ISERR(FIND("-",tab_Geral[[#This Row],[Municípios]],1)),"","Têm Hifen")</f>
        <v/>
      </c>
      <c r="D297" s="14" t="str">
        <f>IF(tab_Geral[[#This Row],[Informação 3]]&lt;&gt;"","","Não Registrado")</f>
        <v/>
      </c>
      <c r="E297" s="14" t="str">
        <f>IF(tab_Geral[[#This Row],[Municípios]]=tab_Geral[[#This Row],[Informação 1]],"","Não!, Erro!")</f>
        <v/>
      </c>
      <c r="F297" s="14" t="str">
        <f>IF(tab_Geral[[#This Row],[Municípios]]=tab_Geral[[#This Row],[Município]],"","Não!, Erro!")</f>
        <v/>
      </c>
      <c r="G297" s="14" t="str">
        <f>VLOOKUP(tab_Geral[[#This Row],[GeoCodigo]],tab_CETESB[],2,FALSE)</f>
        <v>Jundiaí</v>
      </c>
      <c r="H297" s="14" t="str">
        <f>VLOOKUP(tab_Geral[[#This Row],[Informação 3]],tab_AgênciaAmbiental,10,FALSE)</f>
        <v>21</v>
      </c>
      <c r="I297" s="14" t="s">
        <v>295</v>
      </c>
      <c r="J297" s="18" t="s">
        <v>295</v>
      </c>
      <c r="K297" s="17"/>
      <c r="L297" s="17" t="s">
        <v>1902</v>
      </c>
      <c r="M297" s="17" t="s">
        <v>884</v>
      </c>
      <c r="N297" s="17" t="s">
        <v>885</v>
      </c>
      <c r="O297" s="17" t="s">
        <v>886</v>
      </c>
      <c r="P297" s="17" t="s">
        <v>887</v>
      </c>
      <c r="Q297" s="17" t="s">
        <v>888</v>
      </c>
      <c r="R297" s="17" t="s">
        <v>889</v>
      </c>
      <c r="S297" s="17" t="s">
        <v>890</v>
      </c>
      <c r="T297" s="15"/>
    </row>
    <row r="298" spans="1:20" x14ac:dyDescent="0.25">
      <c r="A298" s="14">
        <v>289</v>
      </c>
      <c r="B298" s="14">
        <v>3526001</v>
      </c>
      <c r="C298" s="14" t="str">
        <f>IF(ISERR(FIND("-",tab_Geral[[#This Row],[Municípios]],1)),"","Têm Hifen")</f>
        <v/>
      </c>
      <c r="D298" s="14" t="str">
        <f>IF(tab_Geral[[#This Row],[Informação 3]]&lt;&gt;"","","Não Registrado")</f>
        <v/>
      </c>
      <c r="E298" s="14" t="str">
        <f>IF(tab_Geral[[#This Row],[Municípios]]=tab_Geral[[#This Row],[Informação 1]],"","Não!, Erro!")</f>
        <v/>
      </c>
      <c r="F298" s="14" t="str">
        <f>IF(tab_Geral[[#This Row],[Municípios]]=tab_Geral[[#This Row],[Município]],"","Não!, Erro!")</f>
        <v/>
      </c>
      <c r="G298" s="14" t="str">
        <f>VLOOKUP(tab_Geral[[#This Row],[GeoCodigo]],tab_CETESB[],2,FALSE)</f>
        <v>Junqueirópolis</v>
      </c>
      <c r="H298" s="14" t="str">
        <f>VLOOKUP(tab_Geral[[#This Row],[Informação 3]],tab_AgênciaAmbiental,10,FALSE)</f>
        <v>13</v>
      </c>
      <c r="I298" s="14" t="s">
        <v>296</v>
      </c>
      <c r="J298" s="18" t="s">
        <v>296</v>
      </c>
      <c r="K298" s="17"/>
      <c r="L298" s="17" t="s">
        <v>1894</v>
      </c>
      <c r="M298" s="17" t="s">
        <v>656</v>
      </c>
      <c r="N298" s="17" t="s">
        <v>657</v>
      </c>
      <c r="O298" s="17" t="s">
        <v>658</v>
      </c>
      <c r="P298" s="17" t="s">
        <v>659</v>
      </c>
      <c r="Q298" s="17" t="s">
        <v>660</v>
      </c>
      <c r="R298" s="17" t="s">
        <v>661</v>
      </c>
      <c r="S298" s="17" t="s">
        <v>662</v>
      </c>
      <c r="T298" s="15"/>
    </row>
    <row r="299" spans="1:20" x14ac:dyDescent="0.25">
      <c r="A299" s="14">
        <v>290</v>
      </c>
      <c r="B299" s="14">
        <v>3526100</v>
      </c>
      <c r="C299" s="14" t="str">
        <f>IF(ISERR(FIND("-",tab_Geral[[#This Row],[Municípios]],1)),"","Têm Hifen")</f>
        <v/>
      </c>
      <c r="D299" s="14" t="str">
        <f>IF(tab_Geral[[#This Row],[Informação 3]]&lt;&gt;"","","Não Registrado")</f>
        <v/>
      </c>
      <c r="E299" s="14" t="str">
        <f>IF(tab_Geral[[#This Row],[Municípios]]=tab_Geral[[#This Row],[Informação 1]],"","Não!, Erro!")</f>
        <v/>
      </c>
      <c r="F299" s="14" t="str">
        <f>IF(tab_Geral[[#This Row],[Municípios]]=tab_Geral[[#This Row],[Município]],"","Não!, Erro!")</f>
        <v/>
      </c>
      <c r="G299" s="14" t="str">
        <f>VLOOKUP(tab_Geral[[#This Row],[GeoCodigo]],tab_CETESB[],2,FALSE)</f>
        <v>Juquiá</v>
      </c>
      <c r="H299" s="14" t="str">
        <f>VLOOKUP(tab_Geral[[#This Row],[Informação 3]],tab_AgênciaAmbiental,10,FALSE)</f>
        <v>30</v>
      </c>
      <c r="I299" s="14" t="s">
        <v>297</v>
      </c>
      <c r="J299" s="18" t="s">
        <v>297</v>
      </c>
      <c r="K299" s="17"/>
      <c r="L299" s="17" t="s">
        <v>1911</v>
      </c>
      <c r="M299" s="17" t="s">
        <v>843</v>
      </c>
      <c r="N299" s="17" t="s">
        <v>844</v>
      </c>
      <c r="O299" s="17" t="s">
        <v>845</v>
      </c>
      <c r="P299" s="17" t="s">
        <v>846</v>
      </c>
      <c r="Q299" s="17" t="s">
        <v>847</v>
      </c>
      <c r="R299" s="17" t="s">
        <v>848</v>
      </c>
      <c r="S299" s="17" t="s">
        <v>849</v>
      </c>
      <c r="T299" s="15"/>
    </row>
    <row r="300" spans="1:20" x14ac:dyDescent="0.25">
      <c r="A300" s="14">
        <v>291</v>
      </c>
      <c r="B300" s="14">
        <v>3526209</v>
      </c>
      <c r="C300" s="14" t="str">
        <f>IF(ISERR(FIND("-",tab_Geral[[#This Row],[Municípios]],1)),"","Têm Hifen")</f>
        <v/>
      </c>
      <c r="D300" s="14" t="str">
        <f>IF(tab_Geral[[#This Row],[Informação 3]]&lt;&gt;"","","Não Registrado")</f>
        <v/>
      </c>
      <c r="E300" s="14" t="str">
        <f>IF(tab_Geral[[#This Row],[Municípios]]=tab_Geral[[#This Row],[Informação 1]],"","Não!, Erro!")</f>
        <v/>
      </c>
      <c r="F300" s="14" t="str">
        <f>IF(tab_Geral[[#This Row],[Municípios]]=tab_Geral[[#This Row],[Município]],"","Não!, Erro!")</f>
        <v/>
      </c>
      <c r="G300" s="14" t="str">
        <f>VLOOKUP(tab_Geral[[#This Row],[GeoCodigo]],tab_CETESB[],2,FALSE)</f>
        <v>Juquitiba</v>
      </c>
      <c r="H300" s="14" t="str">
        <f>VLOOKUP(tab_Geral[[#This Row],[Informação 3]],tab_AgênciaAmbiental,10,FALSE)</f>
        <v>14</v>
      </c>
      <c r="I300" s="14" t="s">
        <v>298</v>
      </c>
      <c r="J300" s="18" t="s">
        <v>298</v>
      </c>
      <c r="K300" s="17"/>
      <c r="L300" s="17" t="s">
        <v>1895</v>
      </c>
      <c r="M300" s="17" t="s">
        <v>912</v>
      </c>
      <c r="N300" s="17" t="s">
        <v>913</v>
      </c>
      <c r="O300" s="17" t="s">
        <v>914</v>
      </c>
      <c r="P300" s="17" t="s">
        <v>915</v>
      </c>
      <c r="Q300" s="17" t="s">
        <v>916</v>
      </c>
      <c r="R300" s="17" t="s">
        <v>917</v>
      </c>
      <c r="S300" s="17" t="s">
        <v>918</v>
      </c>
      <c r="T300" s="15"/>
    </row>
    <row r="301" spans="1:20" x14ac:dyDescent="0.25">
      <c r="A301" s="14">
        <v>292</v>
      </c>
      <c r="B301" s="14">
        <v>3526308</v>
      </c>
      <c r="C301" s="14" t="str">
        <f>IF(ISERR(FIND("-",tab_Geral[[#This Row],[Municípios]],1)),"","Têm Hifen")</f>
        <v/>
      </c>
      <c r="D301" s="14" t="str">
        <f>IF(tab_Geral[[#This Row],[Informação 3]]&lt;&gt;"","","Não Registrado")</f>
        <v/>
      </c>
      <c r="E301" s="14" t="str">
        <f>IF(tab_Geral[[#This Row],[Municípios]]=tab_Geral[[#This Row],[Informação 1]],"","Não!, Erro!")</f>
        <v/>
      </c>
      <c r="F301" s="14" t="str">
        <f>IF(tab_Geral[[#This Row],[Municípios]]=tab_Geral[[#This Row],[Município]],"","Não!, Erro!")</f>
        <v/>
      </c>
      <c r="G301" s="14" t="str">
        <f>VLOOKUP(tab_Geral[[#This Row],[GeoCodigo]],tab_CETESB[],2,FALSE)</f>
        <v>Lagoinha</v>
      </c>
      <c r="H301" s="14" t="str">
        <f>VLOOKUP(tab_Geral[[#This Row],[Informação 3]],tab_AgênciaAmbiental,10,FALSE)</f>
        <v>40</v>
      </c>
      <c r="I301" s="14" t="s">
        <v>299</v>
      </c>
      <c r="J301" s="18" t="s">
        <v>299</v>
      </c>
      <c r="K301" s="17"/>
      <c r="L301" s="17" t="s">
        <v>1921</v>
      </c>
      <c r="M301" s="17" t="s">
        <v>781</v>
      </c>
      <c r="N301" s="17" t="s">
        <v>782</v>
      </c>
      <c r="O301" s="17" t="s">
        <v>783</v>
      </c>
      <c r="P301" s="17" t="s">
        <v>784</v>
      </c>
      <c r="Q301" s="17" t="s">
        <v>785</v>
      </c>
      <c r="R301" s="17" t="s">
        <v>786</v>
      </c>
      <c r="S301" s="17" t="s">
        <v>787</v>
      </c>
      <c r="T301" s="15"/>
    </row>
    <row r="302" spans="1:20" x14ac:dyDescent="0.25">
      <c r="A302" s="14">
        <v>293</v>
      </c>
      <c r="B302" s="14">
        <v>3526407</v>
      </c>
      <c r="C302" s="14" t="str">
        <f>IF(ISERR(FIND("-",tab_Geral[[#This Row],[Municípios]],1)),"","Têm Hifen")</f>
        <v/>
      </c>
      <c r="D302" s="14" t="str">
        <f>IF(tab_Geral[[#This Row],[Informação 3]]&lt;&gt;"","","Não Registrado")</f>
        <v/>
      </c>
      <c r="E302" s="14" t="str">
        <f>IF(tab_Geral[[#This Row],[Municípios]]=tab_Geral[[#This Row],[Informação 1]],"","Não!, Erro!")</f>
        <v/>
      </c>
      <c r="F302" s="14" t="str">
        <f>IF(tab_Geral[[#This Row],[Municípios]]=tab_Geral[[#This Row],[Município]],"","Não!, Erro!")</f>
        <v/>
      </c>
      <c r="G302" s="14" t="str">
        <f>VLOOKUP(tab_Geral[[#This Row],[GeoCodigo]],tab_CETESB[],2,FALSE)</f>
        <v>Laranjal Paulista</v>
      </c>
      <c r="H302" s="14" t="str">
        <f>VLOOKUP(tab_Geral[[#This Row],[Informação 3]],tab_AgênciaAmbiental,10,FALSE)</f>
        <v>9</v>
      </c>
      <c r="I302" s="14" t="s">
        <v>300</v>
      </c>
      <c r="J302" s="18" t="s">
        <v>300</v>
      </c>
      <c r="K302" s="17"/>
      <c r="L302" s="17" t="s">
        <v>1890</v>
      </c>
      <c r="M302" s="17" t="s">
        <v>774</v>
      </c>
      <c r="N302" s="17" t="s">
        <v>775</v>
      </c>
      <c r="O302" s="17" t="s">
        <v>776</v>
      </c>
      <c r="P302" s="17" t="s">
        <v>777</v>
      </c>
      <c r="Q302" s="17" t="s">
        <v>778</v>
      </c>
      <c r="R302" s="17" t="s">
        <v>779</v>
      </c>
      <c r="S302" s="17" t="s">
        <v>780</v>
      </c>
      <c r="T302" s="15"/>
    </row>
    <row r="303" spans="1:20" x14ac:dyDescent="0.25">
      <c r="A303" s="14">
        <v>294</v>
      </c>
      <c r="B303" s="14">
        <v>3526506</v>
      </c>
      <c r="C303" s="14" t="str">
        <f>IF(ISERR(FIND("-",tab_Geral[[#This Row],[Municípios]],1)),"","Têm Hifen")</f>
        <v/>
      </c>
      <c r="D303" s="14" t="str">
        <f>IF(tab_Geral[[#This Row],[Informação 3]]&lt;&gt;"","","Não Registrado")</f>
        <v/>
      </c>
      <c r="E303" s="14" t="str">
        <f>IF(tab_Geral[[#This Row],[Municípios]]=tab_Geral[[#This Row],[Informação 1]],"","Não!, Erro!")</f>
        <v/>
      </c>
      <c r="F303" s="14" t="str">
        <f>IF(tab_Geral[[#This Row],[Municípios]]=tab_Geral[[#This Row],[Município]],"","Não!, Erro!")</f>
        <v/>
      </c>
      <c r="G303" s="14" t="str">
        <f>VLOOKUP(tab_Geral[[#This Row],[GeoCodigo]],tab_CETESB[],2,FALSE)</f>
        <v>Lavínia</v>
      </c>
      <c r="H303" s="14" t="str">
        <f>VLOOKUP(tab_Geral[[#This Row],[Informação 3]],tab_AgênciaAmbiental,10,FALSE)</f>
        <v>2</v>
      </c>
      <c r="I303" s="14" t="s">
        <v>301</v>
      </c>
      <c r="J303" s="18" t="s">
        <v>301</v>
      </c>
      <c r="K303" s="17"/>
      <c r="L303" s="17" t="s">
        <v>1883</v>
      </c>
      <c r="M303" s="17" t="s">
        <v>727</v>
      </c>
      <c r="N303" s="17" t="s">
        <v>728</v>
      </c>
      <c r="O303" s="17" t="s">
        <v>729</v>
      </c>
      <c r="P303" s="17" t="s">
        <v>730</v>
      </c>
      <c r="Q303" s="17" t="s">
        <v>731</v>
      </c>
      <c r="R303" s="17" t="s">
        <v>732</v>
      </c>
      <c r="S303" s="17" t="s">
        <v>936</v>
      </c>
    </row>
    <row r="304" spans="1:20" x14ac:dyDescent="0.25">
      <c r="A304" s="14">
        <v>295</v>
      </c>
      <c r="B304" s="14">
        <v>3526605</v>
      </c>
      <c r="C304" s="14" t="str">
        <f>IF(ISERR(FIND("-",tab_Geral[[#This Row],[Municípios]],1)),"","Têm Hifen")</f>
        <v/>
      </c>
      <c r="D304" s="14" t="str">
        <f>IF(tab_Geral[[#This Row],[Informação 3]]&lt;&gt;"","","Não Registrado")</f>
        <v/>
      </c>
      <c r="E304" s="14" t="str">
        <f>IF(tab_Geral[[#This Row],[Municípios]]=tab_Geral[[#This Row],[Informação 1]],"","Não!, Erro!")</f>
        <v/>
      </c>
      <c r="F304" s="14" t="str">
        <f>IF(tab_Geral[[#This Row],[Municípios]]=tab_Geral[[#This Row],[Município]],"","Não!, Erro!")</f>
        <v/>
      </c>
      <c r="G304" s="14" t="str">
        <f>VLOOKUP(tab_Geral[[#This Row],[GeoCodigo]],tab_CETESB[],2,FALSE)</f>
        <v>Lavrinhas</v>
      </c>
      <c r="H304" s="14" t="str">
        <f>VLOOKUP(tab_Geral[[#This Row],[Informação 3]],tab_AgênciaAmbiental,10,FALSE)</f>
        <v>40</v>
      </c>
      <c r="I304" s="14" t="s">
        <v>302</v>
      </c>
      <c r="J304" s="18" t="s">
        <v>302</v>
      </c>
      <c r="K304" s="17"/>
      <c r="L304" s="17" t="s">
        <v>1921</v>
      </c>
      <c r="M304" s="17" t="s">
        <v>781</v>
      </c>
      <c r="N304" s="17" t="s">
        <v>782</v>
      </c>
      <c r="O304" s="17" t="s">
        <v>783</v>
      </c>
      <c r="P304" s="17" t="s">
        <v>784</v>
      </c>
      <c r="Q304" s="17" t="s">
        <v>785</v>
      </c>
      <c r="R304" s="17" t="s">
        <v>786</v>
      </c>
      <c r="S304" s="17" t="s">
        <v>787</v>
      </c>
      <c r="T304" s="15"/>
    </row>
    <row r="305" spans="1:20" x14ac:dyDescent="0.25">
      <c r="A305" s="14">
        <v>296</v>
      </c>
      <c r="B305" s="14">
        <v>3526704</v>
      </c>
      <c r="C305" s="14" t="str">
        <f>IF(ISERR(FIND("-",tab_Geral[[#This Row],[Municípios]],1)),"","Têm Hifen")</f>
        <v/>
      </c>
      <c r="D305" s="14" t="str">
        <f>IF(tab_Geral[[#This Row],[Informação 3]]&lt;&gt;"","","Não Registrado")</f>
        <v/>
      </c>
      <c r="E305" s="14" t="str">
        <f>IF(tab_Geral[[#This Row],[Municípios]]=tab_Geral[[#This Row],[Informação 1]],"","Não!, Erro!")</f>
        <v/>
      </c>
      <c r="F305" s="14" t="str">
        <f>IF(tab_Geral[[#This Row],[Municípios]]=tab_Geral[[#This Row],[Município]],"","Não!, Erro!")</f>
        <v/>
      </c>
      <c r="G305" s="14" t="str">
        <f>VLOOKUP(tab_Geral[[#This Row],[GeoCodigo]],tab_CETESB[],2,FALSE)</f>
        <v>Leme</v>
      </c>
      <c r="H305" s="14" t="str">
        <f>VLOOKUP(tab_Geral[[#This Row],[Informação 3]],tab_AgênciaAmbiental,10,FALSE)</f>
        <v>25</v>
      </c>
      <c r="I305" s="14" t="s">
        <v>303</v>
      </c>
      <c r="J305" s="18" t="s">
        <v>303</v>
      </c>
      <c r="K305" s="17"/>
      <c r="L305" s="17" t="s">
        <v>1906</v>
      </c>
      <c r="M305" s="17" t="s">
        <v>669</v>
      </c>
      <c r="N305" s="17" t="s">
        <v>670</v>
      </c>
      <c r="O305" s="17" t="s">
        <v>671</v>
      </c>
      <c r="P305" s="17" t="s">
        <v>672</v>
      </c>
      <c r="Q305" s="17" t="s">
        <v>673</v>
      </c>
      <c r="R305" s="17" t="s">
        <v>674</v>
      </c>
      <c r="S305" s="17" t="s">
        <v>675</v>
      </c>
      <c r="T305" s="15"/>
    </row>
    <row r="306" spans="1:20" x14ac:dyDescent="0.25">
      <c r="A306" s="14">
        <v>297</v>
      </c>
      <c r="B306" s="14">
        <v>3526803</v>
      </c>
      <c r="C306" s="14" t="str">
        <f>IF(ISERR(FIND("-",tab_Geral[[#This Row],[Municípios]],1)),"","Têm Hifen")</f>
        <v/>
      </c>
      <c r="D306" s="14" t="str">
        <f>IF(tab_Geral[[#This Row],[Informação 3]]&lt;&gt;"","","Não Registrado")</f>
        <v/>
      </c>
      <c r="E306" s="14" t="str">
        <f>IF(tab_Geral[[#This Row],[Municípios]]=tab_Geral[[#This Row],[Informação 1]],"","Não!, Erro!")</f>
        <v/>
      </c>
      <c r="F306" s="14" t="str">
        <f>IF(tab_Geral[[#This Row],[Municípios]]=tab_Geral[[#This Row],[Município]],"","Não!, Erro!")</f>
        <v/>
      </c>
      <c r="G306" s="14" t="str">
        <f>VLOOKUP(tab_Geral[[#This Row],[GeoCodigo]],tab_CETESB[],2,FALSE)</f>
        <v>Lençóis Paulista</v>
      </c>
      <c r="H306" s="14" t="str">
        <f>VLOOKUP(tab_Geral[[#This Row],[Informação 3]],tab_AgênciaAmbiental,10,FALSE)</f>
        <v>8</v>
      </c>
      <c r="I306" s="14" t="s">
        <v>304</v>
      </c>
      <c r="J306" s="18" t="s">
        <v>304</v>
      </c>
      <c r="K306" s="17"/>
      <c r="L306" s="17" t="s">
        <v>1889</v>
      </c>
      <c r="M306" s="17" t="s">
        <v>694</v>
      </c>
      <c r="N306" s="17" t="s">
        <v>695</v>
      </c>
      <c r="O306" s="17" t="s">
        <v>696</v>
      </c>
      <c r="P306" s="17" t="s">
        <v>697</v>
      </c>
      <c r="Q306" s="17" t="s">
        <v>698</v>
      </c>
      <c r="R306" s="17" t="s">
        <v>699</v>
      </c>
      <c r="S306" s="17" t="s">
        <v>700</v>
      </c>
      <c r="T306" s="15"/>
    </row>
    <row r="307" spans="1:20" x14ac:dyDescent="0.25">
      <c r="A307" s="14">
        <v>298</v>
      </c>
      <c r="B307" s="14">
        <v>3526902</v>
      </c>
      <c r="C307" s="14" t="str">
        <f>IF(ISERR(FIND("-",tab_Geral[[#This Row],[Municípios]],1)),"","Têm Hifen")</f>
        <v/>
      </c>
      <c r="D307" s="14" t="str">
        <f>IF(tab_Geral[[#This Row],[Informação 3]]&lt;&gt;"","","Não Registrado")</f>
        <v/>
      </c>
      <c r="E307" s="14" t="str">
        <f>IF(tab_Geral[[#This Row],[Municípios]]=tab_Geral[[#This Row],[Informação 1]],"","Não!, Erro!")</f>
        <v/>
      </c>
      <c r="F307" s="14" t="str">
        <f>IF(tab_Geral[[#This Row],[Municípios]]=tab_Geral[[#This Row],[Município]],"","Não!, Erro!")</f>
        <v/>
      </c>
      <c r="G307" s="14" t="str">
        <f>VLOOKUP(tab_Geral[[#This Row],[GeoCodigo]],tab_CETESB[],2,FALSE)</f>
        <v>Limeira</v>
      </c>
      <c r="H307" s="14" t="str">
        <f>VLOOKUP(tab_Geral[[#This Row],[Informação 3]],tab_AgênciaAmbiental,10,FALSE)</f>
        <v>22</v>
      </c>
      <c r="I307" s="14" t="s">
        <v>305</v>
      </c>
      <c r="J307" s="18" t="s">
        <v>305</v>
      </c>
      <c r="K307" s="17"/>
      <c r="L307" s="17" t="s">
        <v>1903</v>
      </c>
      <c r="M307" s="17" t="s">
        <v>816</v>
      </c>
      <c r="N307" s="17" t="s">
        <v>817</v>
      </c>
      <c r="O307" s="17" t="s">
        <v>818</v>
      </c>
      <c r="P307" s="17" t="s">
        <v>819</v>
      </c>
      <c r="Q307" s="17" t="s">
        <v>820</v>
      </c>
      <c r="R307" s="17" t="s">
        <v>821</v>
      </c>
      <c r="S307" s="17" t="s">
        <v>822</v>
      </c>
      <c r="T307" s="15"/>
    </row>
    <row r="308" spans="1:20" x14ac:dyDescent="0.25">
      <c r="A308" s="14">
        <v>299</v>
      </c>
      <c r="B308" s="14">
        <v>3527009</v>
      </c>
      <c r="C308" s="14" t="str">
        <f>IF(ISERR(FIND("-",tab_Geral[[#This Row],[Municípios]],1)),"","Têm Hifen")</f>
        <v/>
      </c>
      <c r="D308" s="14" t="str">
        <f>IF(tab_Geral[[#This Row],[Informação 3]]&lt;&gt;"","","Não Registrado")</f>
        <v/>
      </c>
      <c r="E308" s="14" t="str">
        <f>IF(tab_Geral[[#This Row],[Municípios]]=tab_Geral[[#This Row],[Informação 1]],"","Não!, Erro!")</f>
        <v/>
      </c>
      <c r="F308" s="14" t="str">
        <f>IF(tab_Geral[[#This Row],[Municípios]]=tab_Geral[[#This Row],[Município]],"","Não!, Erro!")</f>
        <v/>
      </c>
      <c r="G308" s="14" t="str">
        <f>VLOOKUP(tab_Geral[[#This Row],[GeoCodigo]],tab_CETESB[],2,FALSE)</f>
        <v>Lindóia</v>
      </c>
      <c r="H308" s="14" t="str">
        <f>VLOOKUP(tab_Geral[[#This Row],[Informação 3]],tab_AgênciaAmbiental,10,FALSE)</f>
        <v>25</v>
      </c>
      <c r="I308" s="14" t="s">
        <v>306</v>
      </c>
      <c r="J308" s="18" t="s">
        <v>306</v>
      </c>
      <c r="K308" s="17"/>
      <c r="L308" s="17" t="s">
        <v>1906</v>
      </c>
      <c r="M308" s="17" t="s">
        <v>669</v>
      </c>
      <c r="N308" s="17" t="s">
        <v>670</v>
      </c>
      <c r="O308" s="17" t="s">
        <v>671</v>
      </c>
      <c r="P308" s="17" t="s">
        <v>672</v>
      </c>
      <c r="Q308" s="17" t="s">
        <v>673</v>
      </c>
      <c r="R308" s="17" t="s">
        <v>674</v>
      </c>
      <c r="S308" s="17" t="s">
        <v>675</v>
      </c>
      <c r="T308" s="15"/>
    </row>
    <row r="309" spans="1:20" x14ac:dyDescent="0.25">
      <c r="A309" s="14">
        <v>300</v>
      </c>
      <c r="B309" s="14">
        <v>3527108</v>
      </c>
      <c r="C309" s="14" t="str">
        <f>IF(ISERR(FIND("-",tab_Geral[[#This Row],[Municípios]],1)),"","Têm Hifen")</f>
        <v/>
      </c>
      <c r="D309" s="14" t="str">
        <f>IF(tab_Geral[[#This Row],[Informação 3]]&lt;&gt;"","","Não Registrado")</f>
        <v/>
      </c>
      <c r="E309" s="14" t="str">
        <f>IF(tab_Geral[[#This Row],[Municípios]]=tab_Geral[[#This Row],[Informação 1]],"","Não!, Erro!")</f>
        <v/>
      </c>
      <c r="F309" s="14" t="str">
        <f>IF(tab_Geral[[#This Row],[Municípios]]=tab_Geral[[#This Row],[Município]],"","Não!, Erro!")</f>
        <v/>
      </c>
      <c r="G309" s="14" t="str">
        <f>VLOOKUP(tab_Geral[[#This Row],[GeoCodigo]],tab_CETESB[],2,FALSE)</f>
        <v>Lins</v>
      </c>
      <c r="H309" s="14" t="str">
        <f>VLOOKUP(tab_Geral[[#This Row],[Informação 3]],tab_AgênciaAmbiental,10,FALSE)</f>
        <v>23</v>
      </c>
      <c r="I309" s="14" t="s">
        <v>307</v>
      </c>
      <c r="J309" s="18" t="s">
        <v>307</v>
      </c>
      <c r="K309" s="17"/>
      <c r="L309" s="17" t="s">
        <v>1904</v>
      </c>
      <c r="M309" s="17" t="s">
        <v>746</v>
      </c>
      <c r="N309" s="17" t="s">
        <v>747</v>
      </c>
      <c r="O309" s="17" t="s">
        <v>748</v>
      </c>
      <c r="P309" s="17" t="s">
        <v>749</v>
      </c>
      <c r="Q309" s="17" t="s">
        <v>750</v>
      </c>
      <c r="R309" s="17" t="s">
        <v>751</v>
      </c>
      <c r="S309" s="17" t="s">
        <v>752</v>
      </c>
      <c r="T309" s="15"/>
    </row>
    <row r="310" spans="1:20" x14ac:dyDescent="0.25">
      <c r="A310" s="14">
        <v>301</v>
      </c>
      <c r="B310" s="14">
        <v>3527207</v>
      </c>
      <c r="C310" s="14" t="str">
        <f>IF(ISERR(FIND("-",tab_Geral[[#This Row],[Municípios]],1)),"","Têm Hifen")</f>
        <v/>
      </c>
      <c r="D310" s="14" t="str">
        <f>IF(tab_Geral[[#This Row],[Informação 3]]&lt;&gt;"","","Não Registrado")</f>
        <v/>
      </c>
      <c r="E310" s="14" t="str">
        <f>IF(tab_Geral[[#This Row],[Municípios]]=tab_Geral[[#This Row],[Informação 1]],"","Não!, Erro!")</f>
        <v/>
      </c>
      <c r="F310" s="14" t="str">
        <f>IF(tab_Geral[[#This Row],[Municípios]]=tab_Geral[[#This Row],[Município]],"","Não!, Erro!")</f>
        <v/>
      </c>
      <c r="G310" s="14" t="str">
        <f>VLOOKUP(tab_Geral[[#This Row],[GeoCodigo]],tab_CETESB[],2,FALSE)</f>
        <v>Lorena</v>
      </c>
      <c r="H310" s="14" t="str">
        <f>VLOOKUP(tab_Geral[[#This Row],[Informação 3]],tab_AgênciaAmbiental,10,FALSE)</f>
        <v>40</v>
      </c>
      <c r="I310" s="14" t="s">
        <v>308</v>
      </c>
      <c r="J310" s="18" t="s">
        <v>308</v>
      </c>
      <c r="K310" s="17"/>
      <c r="L310" s="17" t="s">
        <v>1921</v>
      </c>
      <c r="M310" s="17" t="s">
        <v>781</v>
      </c>
      <c r="N310" s="17" t="s">
        <v>782</v>
      </c>
      <c r="O310" s="17" t="s">
        <v>783</v>
      </c>
      <c r="P310" s="17" t="s">
        <v>784</v>
      </c>
      <c r="Q310" s="17" t="s">
        <v>785</v>
      </c>
      <c r="R310" s="17" t="s">
        <v>786</v>
      </c>
      <c r="S310" s="17" t="s">
        <v>787</v>
      </c>
      <c r="T310" s="15"/>
    </row>
    <row r="311" spans="1:20" x14ac:dyDescent="0.25">
      <c r="A311" s="14">
        <v>302</v>
      </c>
      <c r="B311" s="14">
        <v>3527256</v>
      </c>
      <c r="C311" s="14" t="str">
        <f>IF(ISERR(FIND("-",tab_Geral[[#This Row],[Municípios]],1)),"","Têm Hifen")</f>
        <v/>
      </c>
      <c r="D311" s="14" t="str">
        <f>IF(tab_Geral[[#This Row],[Informação 3]]&lt;&gt;"","","Não Registrado")</f>
        <v/>
      </c>
      <c r="E311" s="14" t="str">
        <f>IF(tab_Geral[[#This Row],[Municípios]]=tab_Geral[[#This Row],[Informação 1]],"","Não!, Erro!")</f>
        <v/>
      </c>
      <c r="F311" s="14" t="str">
        <f>IF(tab_Geral[[#This Row],[Municípios]]=tab_Geral[[#This Row],[Município]],"","Não!, Erro!")</f>
        <v/>
      </c>
      <c r="G311" s="14" t="str">
        <f>VLOOKUP(tab_Geral[[#This Row],[GeoCodigo]],tab_CETESB[],2,FALSE)</f>
        <v>Lourdes</v>
      </c>
      <c r="H311" s="14" t="str">
        <f>VLOOKUP(tab_Geral[[#This Row],[Informação 3]],tab_AgênciaAmbiental,10,FALSE)</f>
        <v>2</v>
      </c>
      <c r="I311" s="14" t="s">
        <v>309</v>
      </c>
      <c r="J311" s="18" t="s">
        <v>309</v>
      </c>
      <c r="K311" s="17"/>
      <c r="L311" s="17" t="s">
        <v>1883</v>
      </c>
      <c r="M311" s="17" t="s">
        <v>727</v>
      </c>
      <c r="N311" s="17" t="s">
        <v>728</v>
      </c>
      <c r="O311" s="17" t="s">
        <v>729</v>
      </c>
      <c r="P311" s="17" t="s">
        <v>730</v>
      </c>
      <c r="Q311" s="17" t="s">
        <v>731</v>
      </c>
      <c r="R311" s="17" t="s">
        <v>732</v>
      </c>
      <c r="S311" s="17" t="s">
        <v>936</v>
      </c>
    </row>
    <row r="312" spans="1:20" x14ac:dyDescent="0.25">
      <c r="A312" s="14">
        <v>303</v>
      </c>
      <c r="B312" s="14">
        <v>3527306</v>
      </c>
      <c r="C312" s="14" t="str">
        <f>IF(ISERR(FIND("-",tab_Geral[[#This Row],[Municípios]],1)),"","Têm Hifen")</f>
        <v/>
      </c>
      <c r="D312" s="14" t="str">
        <f>IF(tab_Geral[[#This Row],[Informação 3]]&lt;&gt;"","","Não Registrado")</f>
        <v/>
      </c>
      <c r="E312" s="14" t="str">
        <f>IF(tab_Geral[[#This Row],[Municípios]]=tab_Geral[[#This Row],[Informação 1]],"","Não!, Erro!")</f>
        <v/>
      </c>
      <c r="F312" s="14" t="str">
        <f>IF(tab_Geral[[#This Row],[Municípios]]=tab_Geral[[#This Row],[Município]],"","Não!, Erro!")</f>
        <v/>
      </c>
      <c r="G312" s="14" t="str">
        <f>VLOOKUP(tab_Geral[[#This Row],[GeoCodigo]],tab_CETESB[],2,FALSE)</f>
        <v>Louveira</v>
      </c>
      <c r="H312" s="14" t="str">
        <f>VLOOKUP(tab_Geral[[#This Row],[Informação 3]],tab_AgênciaAmbiental,10,FALSE)</f>
        <v>10</v>
      </c>
      <c r="I312" s="14" t="s">
        <v>310</v>
      </c>
      <c r="J312" s="18" t="s">
        <v>310</v>
      </c>
      <c r="K312" s="17"/>
      <c r="L312" s="17" t="s">
        <v>1891</v>
      </c>
      <c r="M312" s="17" t="s">
        <v>898</v>
      </c>
      <c r="N312" s="17" t="s">
        <v>899</v>
      </c>
      <c r="O312" s="17" t="s">
        <v>900</v>
      </c>
      <c r="P312" s="17" t="s">
        <v>901</v>
      </c>
      <c r="Q312" s="17" t="s">
        <v>902</v>
      </c>
      <c r="R312" s="17" t="s">
        <v>903</v>
      </c>
      <c r="S312" s="17" t="s">
        <v>904</v>
      </c>
      <c r="T312" s="15"/>
    </row>
    <row r="313" spans="1:20" x14ac:dyDescent="0.25">
      <c r="A313" s="14">
        <v>304</v>
      </c>
      <c r="B313" s="14">
        <v>3527405</v>
      </c>
      <c r="C313" s="14" t="str">
        <f>IF(ISERR(FIND("-",tab_Geral[[#This Row],[Municípios]],1)),"","Têm Hifen")</f>
        <v/>
      </c>
      <c r="D313" s="14" t="str">
        <f>IF(tab_Geral[[#This Row],[Informação 3]]&lt;&gt;"","","Não Registrado")</f>
        <v/>
      </c>
      <c r="E313" s="14" t="str">
        <f>IF(tab_Geral[[#This Row],[Municípios]]=tab_Geral[[#This Row],[Informação 1]],"","Não!, Erro!")</f>
        <v/>
      </c>
      <c r="F313" s="14" t="str">
        <f>IF(tab_Geral[[#This Row],[Municípios]]=tab_Geral[[#This Row],[Município]],"","Não!, Erro!")</f>
        <v/>
      </c>
      <c r="G313" s="14" t="str">
        <f>VLOOKUP(tab_Geral[[#This Row],[GeoCodigo]],tab_CETESB[],2,FALSE)</f>
        <v>Lucélia</v>
      </c>
      <c r="H313" s="14" t="str">
        <f>VLOOKUP(tab_Geral[[#This Row],[Informação 3]],tab_AgênciaAmbiental,10,FALSE)</f>
        <v>13</v>
      </c>
      <c r="I313" s="14" t="s">
        <v>311</v>
      </c>
      <c r="J313" s="18" t="s">
        <v>311</v>
      </c>
      <c r="K313" s="17"/>
      <c r="L313" s="17" t="s">
        <v>1894</v>
      </c>
      <c r="M313" s="17" t="s">
        <v>656</v>
      </c>
      <c r="N313" s="17" t="s">
        <v>657</v>
      </c>
      <c r="O313" s="17" t="s">
        <v>658</v>
      </c>
      <c r="P313" s="17" t="s">
        <v>659</v>
      </c>
      <c r="Q313" s="17" t="s">
        <v>660</v>
      </c>
      <c r="R313" s="17" t="s">
        <v>661</v>
      </c>
      <c r="S313" s="17" t="s">
        <v>662</v>
      </c>
      <c r="T313" s="15"/>
    </row>
    <row r="314" spans="1:20" x14ac:dyDescent="0.25">
      <c r="A314" s="14">
        <v>305</v>
      </c>
      <c r="B314" s="14">
        <v>3527504</v>
      </c>
      <c r="C314" s="14" t="str">
        <f>IF(ISERR(FIND("-",tab_Geral[[#This Row],[Municípios]],1)),"","Têm Hifen")</f>
        <v/>
      </c>
      <c r="D314" s="14" t="str">
        <f>IF(tab_Geral[[#This Row],[Informação 3]]&lt;&gt;"","","Não Registrado")</f>
        <v/>
      </c>
      <c r="E314" s="14" t="str">
        <f>IF(tab_Geral[[#This Row],[Municípios]]=tab_Geral[[#This Row],[Informação 1]],"","Não!, Erro!")</f>
        <v/>
      </c>
      <c r="F314" s="14" t="str">
        <f>IF(tab_Geral[[#This Row],[Municípios]]=tab_Geral[[#This Row],[Município]],"","Não!, Erro!")</f>
        <v/>
      </c>
      <c r="G314" s="14" t="str">
        <f>VLOOKUP(tab_Geral[[#This Row],[GeoCodigo]],tab_CETESB[],2,FALSE)</f>
        <v>Lucianópolis</v>
      </c>
      <c r="H314" s="14" t="str">
        <f>VLOOKUP(tab_Geral[[#This Row],[Informação 3]],tab_AgênciaAmbiental,10,FALSE)</f>
        <v>8</v>
      </c>
      <c r="I314" s="14" t="s">
        <v>312</v>
      </c>
      <c r="J314" s="18" t="s">
        <v>312</v>
      </c>
      <c r="K314" s="17"/>
      <c r="L314" s="17" t="s">
        <v>1889</v>
      </c>
      <c r="M314" s="17" t="s">
        <v>694</v>
      </c>
      <c r="N314" s="17" t="s">
        <v>695</v>
      </c>
      <c r="O314" s="17" t="s">
        <v>696</v>
      </c>
      <c r="P314" s="17" t="s">
        <v>697</v>
      </c>
      <c r="Q314" s="17" t="s">
        <v>698</v>
      </c>
      <c r="R314" s="17" t="s">
        <v>699</v>
      </c>
      <c r="S314" s="17" t="s">
        <v>700</v>
      </c>
      <c r="T314" s="15"/>
    </row>
    <row r="315" spans="1:20" x14ac:dyDescent="0.25">
      <c r="A315" s="14">
        <v>306</v>
      </c>
      <c r="B315" s="14">
        <v>3527603</v>
      </c>
      <c r="C315" s="14" t="str">
        <f>IF(ISERR(FIND("-",tab_Geral[[#This Row],[Municípios]],1)),"","Têm Hifen")</f>
        <v/>
      </c>
      <c r="D315" s="14" t="str">
        <f>IF(tab_Geral[[#This Row],[Informação 3]]&lt;&gt;"","","Não Registrado")</f>
        <v/>
      </c>
      <c r="E315" s="14" t="str">
        <f>IF(tab_Geral[[#This Row],[Municípios]]=tab_Geral[[#This Row],[Informação 1]],"","Não!, Erro!")</f>
        <v/>
      </c>
      <c r="F315" s="14" t="str">
        <f>IF(tab_Geral[[#This Row],[Municípios]]=tab_Geral[[#This Row],[Município]],"","Não!, Erro!")</f>
        <v/>
      </c>
      <c r="G315" s="14" t="str">
        <f>VLOOKUP(tab_Geral[[#This Row],[GeoCodigo]],tab_CETESB[],2,FALSE)</f>
        <v>Luís Antônio</v>
      </c>
      <c r="H315" s="14" t="str">
        <f>VLOOKUP(tab_Geral[[#This Row],[Informação 3]],tab_AgênciaAmbiental,10,FALSE)</f>
        <v>19</v>
      </c>
      <c r="I315" s="14" t="s">
        <v>313</v>
      </c>
      <c r="J315" s="18" t="s">
        <v>313</v>
      </c>
      <c r="K315" s="17"/>
      <c r="L315" s="17" t="s">
        <v>1900</v>
      </c>
      <c r="M315" s="17" t="s">
        <v>850</v>
      </c>
      <c r="N315" s="17" t="s">
        <v>851</v>
      </c>
      <c r="O315" s="17" t="s">
        <v>852</v>
      </c>
      <c r="P315" s="17" t="s">
        <v>853</v>
      </c>
      <c r="Q315" s="17" t="s">
        <v>854</v>
      </c>
      <c r="R315" s="17" t="s">
        <v>855</v>
      </c>
      <c r="S315" s="17" t="s">
        <v>856</v>
      </c>
      <c r="T315" s="15"/>
    </row>
    <row r="316" spans="1:20" x14ac:dyDescent="0.25">
      <c r="A316" s="14">
        <v>307</v>
      </c>
      <c r="B316" s="14">
        <v>3527702</v>
      </c>
      <c r="C316" s="14" t="str">
        <f>IF(ISERR(FIND("-",tab_Geral[[#This Row],[Municípios]],1)),"","Têm Hifen")</f>
        <v/>
      </c>
      <c r="D316" s="14" t="str">
        <f>IF(tab_Geral[[#This Row],[Informação 3]]&lt;&gt;"","","Não Registrado")</f>
        <v/>
      </c>
      <c r="E316" s="14" t="str">
        <f>IF(tab_Geral[[#This Row],[Municípios]]=tab_Geral[[#This Row],[Informação 1]],"","Não!, Erro!")</f>
        <v/>
      </c>
      <c r="F316" s="14" t="str">
        <f>IF(tab_Geral[[#This Row],[Municípios]]=tab_Geral[[#This Row],[Município]],"","Não!, Erro!")</f>
        <v/>
      </c>
      <c r="G316" s="14" t="str">
        <f>VLOOKUP(tab_Geral[[#This Row],[GeoCodigo]],tab_CETESB[],2,FALSE)</f>
        <v>Luiziânia</v>
      </c>
      <c r="H316" s="14" t="str">
        <f>VLOOKUP(tab_Geral[[#This Row],[Informação 3]],tab_AgênciaAmbiental,10,FALSE)</f>
        <v>2</v>
      </c>
      <c r="I316" s="14" t="s">
        <v>314</v>
      </c>
      <c r="J316" s="18" t="s">
        <v>314</v>
      </c>
      <c r="K316" s="17"/>
      <c r="L316" s="17" t="s">
        <v>1883</v>
      </c>
      <c r="M316" s="17" t="s">
        <v>727</v>
      </c>
      <c r="N316" s="17" t="s">
        <v>728</v>
      </c>
      <c r="O316" s="17" t="s">
        <v>729</v>
      </c>
      <c r="P316" s="17" t="s">
        <v>730</v>
      </c>
      <c r="Q316" s="17" t="s">
        <v>731</v>
      </c>
      <c r="R316" s="17" t="s">
        <v>732</v>
      </c>
      <c r="S316" s="17" t="s">
        <v>936</v>
      </c>
    </row>
    <row r="317" spans="1:20" x14ac:dyDescent="0.25">
      <c r="A317" s="14">
        <v>308</v>
      </c>
      <c r="B317" s="14">
        <v>3527801</v>
      </c>
      <c r="C317" s="14" t="str">
        <f>IF(ISERR(FIND("-",tab_Geral[[#This Row],[Municípios]],1)),"","Têm Hifen")</f>
        <v/>
      </c>
      <c r="D317" s="14" t="str">
        <f>IF(tab_Geral[[#This Row],[Informação 3]]&lt;&gt;"","","Não Registrado")</f>
        <v/>
      </c>
      <c r="E317" s="14" t="str">
        <f>IF(tab_Geral[[#This Row],[Municípios]]=tab_Geral[[#This Row],[Informação 1]],"","Não!, Erro!")</f>
        <v/>
      </c>
      <c r="F317" s="14" t="str">
        <f>IF(tab_Geral[[#This Row],[Municípios]]=tab_Geral[[#This Row],[Município]],"","Não!, Erro!")</f>
        <v/>
      </c>
      <c r="G317" s="14" t="str">
        <f>VLOOKUP(tab_Geral[[#This Row],[GeoCodigo]],tab_CETESB[],2,FALSE)</f>
        <v>Lupércio</v>
      </c>
      <c r="H317" s="14" t="str">
        <f>VLOOKUP(tab_Geral[[#This Row],[Informação 3]],tab_AgênciaAmbiental,10,FALSE)</f>
        <v>23</v>
      </c>
      <c r="I317" s="14" t="s">
        <v>315</v>
      </c>
      <c r="J317" s="18" t="s">
        <v>315</v>
      </c>
      <c r="K317" s="17"/>
      <c r="L317" s="17" t="s">
        <v>1904</v>
      </c>
      <c r="M317" s="17" t="s">
        <v>746</v>
      </c>
      <c r="N317" s="17" t="s">
        <v>747</v>
      </c>
      <c r="O317" s="17" t="s">
        <v>748</v>
      </c>
      <c r="P317" s="17" t="s">
        <v>749</v>
      </c>
      <c r="Q317" s="17" t="s">
        <v>750</v>
      </c>
      <c r="R317" s="17" t="s">
        <v>751</v>
      </c>
      <c r="S317" s="17" t="s">
        <v>752</v>
      </c>
      <c r="T317" s="15"/>
    </row>
    <row r="318" spans="1:20" x14ac:dyDescent="0.25">
      <c r="A318" s="14">
        <v>309</v>
      </c>
      <c r="B318" s="14">
        <v>3527900</v>
      </c>
      <c r="C318" s="14" t="str">
        <f>IF(ISERR(FIND("-",tab_Geral[[#This Row],[Municípios]],1)),"","Têm Hifen")</f>
        <v/>
      </c>
      <c r="D318" s="14" t="str">
        <f>IF(tab_Geral[[#This Row],[Informação 3]]&lt;&gt;"","","Não Registrado")</f>
        <v/>
      </c>
      <c r="E318" s="14" t="str">
        <f>IF(tab_Geral[[#This Row],[Municípios]]=tab_Geral[[#This Row],[Informação 1]],"","Não!, Erro!")</f>
        <v/>
      </c>
      <c r="F318" s="14" t="str">
        <f>IF(tab_Geral[[#This Row],[Municípios]]=tab_Geral[[#This Row],[Município]],"","Não!, Erro!")</f>
        <v/>
      </c>
      <c r="G318" s="14" t="str">
        <f>VLOOKUP(tab_Geral[[#This Row],[GeoCodigo]],tab_CETESB[],2,FALSE)</f>
        <v>Lutécia</v>
      </c>
      <c r="H318" s="14" t="str">
        <f>VLOOKUP(tab_Geral[[#This Row],[Informação 3]],tab_AgênciaAmbiental,10,FALSE)</f>
        <v>4</v>
      </c>
      <c r="I318" s="14" t="s">
        <v>316</v>
      </c>
      <c r="J318" s="18" t="s">
        <v>316</v>
      </c>
      <c r="K318" s="17"/>
      <c r="L318" s="17" t="s">
        <v>1885</v>
      </c>
      <c r="M318" s="17" t="s">
        <v>830</v>
      </c>
      <c r="N318" s="17" t="s">
        <v>831</v>
      </c>
      <c r="O318" s="17" t="s">
        <v>832</v>
      </c>
      <c r="P318" s="17" t="s">
        <v>833</v>
      </c>
      <c r="Q318" s="17" t="s">
        <v>834</v>
      </c>
      <c r="R318" s="17" t="s">
        <v>835</v>
      </c>
      <c r="S318" s="17" t="s">
        <v>836</v>
      </c>
      <c r="T318" s="15"/>
    </row>
    <row r="319" spans="1:20" x14ac:dyDescent="0.25">
      <c r="A319" s="14">
        <v>310</v>
      </c>
      <c r="B319" s="14">
        <v>3528007</v>
      </c>
      <c r="C319" s="14" t="str">
        <f>IF(ISERR(FIND("-",tab_Geral[[#This Row],[Municípios]],1)),"","Têm Hifen")</f>
        <v/>
      </c>
      <c r="D319" s="14" t="str">
        <f>IF(tab_Geral[[#This Row],[Informação 3]]&lt;&gt;"","","Não Registrado")</f>
        <v/>
      </c>
      <c r="E319" s="14" t="str">
        <f>IF(tab_Geral[[#This Row],[Municípios]]=tab_Geral[[#This Row],[Informação 1]],"","Não!, Erro!")</f>
        <v/>
      </c>
      <c r="F319" s="14" t="str">
        <f>IF(tab_Geral[[#This Row],[Municípios]]=tab_Geral[[#This Row],[Município]],"","Não!, Erro!")</f>
        <v/>
      </c>
      <c r="G319" s="14" t="str">
        <f>VLOOKUP(tab_Geral[[#This Row],[GeoCodigo]],tab_CETESB[],2,FALSE)</f>
        <v>Macatuba</v>
      </c>
      <c r="H319" s="14" t="str">
        <f>VLOOKUP(tab_Geral[[#This Row],[Informação 3]],tab_AgênciaAmbiental,10,FALSE)</f>
        <v>8</v>
      </c>
      <c r="I319" s="14" t="s">
        <v>317</v>
      </c>
      <c r="J319" s="18" t="s">
        <v>317</v>
      </c>
      <c r="K319" s="17"/>
      <c r="L319" s="17" t="s">
        <v>1889</v>
      </c>
      <c r="M319" s="17" t="s">
        <v>694</v>
      </c>
      <c r="N319" s="17" t="s">
        <v>695</v>
      </c>
      <c r="O319" s="17" t="s">
        <v>696</v>
      </c>
      <c r="P319" s="17" t="s">
        <v>697</v>
      </c>
      <c r="Q319" s="17" t="s">
        <v>698</v>
      </c>
      <c r="R319" s="17" t="s">
        <v>699</v>
      </c>
      <c r="S319" s="17" t="s">
        <v>700</v>
      </c>
      <c r="T319" s="15"/>
    </row>
    <row r="320" spans="1:20" x14ac:dyDescent="0.25">
      <c r="A320" s="14">
        <v>311</v>
      </c>
      <c r="B320" s="14">
        <v>3528106</v>
      </c>
      <c r="C320" s="14" t="str">
        <f>IF(ISERR(FIND("-",tab_Geral[[#This Row],[Municípios]],1)),"","Têm Hifen")</f>
        <v/>
      </c>
      <c r="D320" s="14" t="str">
        <f>IF(tab_Geral[[#This Row],[Informação 3]]&lt;&gt;"","","Não Registrado")</f>
        <v/>
      </c>
      <c r="E320" s="14" t="str">
        <f>IF(tab_Geral[[#This Row],[Municípios]]=tab_Geral[[#This Row],[Informação 1]],"","Não!, Erro!")</f>
        <v/>
      </c>
      <c r="F320" s="14" t="str">
        <f>IF(tab_Geral[[#This Row],[Municípios]]=tab_Geral[[#This Row],[Município]],"","Não!, Erro!")</f>
        <v/>
      </c>
      <c r="G320" s="14" t="str">
        <f>VLOOKUP(tab_Geral[[#This Row],[GeoCodigo]],tab_CETESB[],2,FALSE)</f>
        <v>Macaubal</v>
      </c>
      <c r="H320" s="14" t="str">
        <f>VLOOKUP(tab_Geral[[#This Row],[Informação 3]],tab_AgênciaAmbiental,10,FALSE)</f>
        <v>41</v>
      </c>
      <c r="I320" s="14" t="s">
        <v>318</v>
      </c>
      <c r="J320" s="18" t="s">
        <v>318</v>
      </c>
      <c r="K320" s="17"/>
      <c r="L320" s="17" t="s">
        <v>1922</v>
      </c>
      <c r="M320" s="17" t="s">
        <v>739</v>
      </c>
      <c r="N320" s="17" t="s">
        <v>740</v>
      </c>
      <c r="O320" s="17" t="s">
        <v>741</v>
      </c>
      <c r="P320" s="17" t="s">
        <v>742</v>
      </c>
      <c r="Q320" s="17" t="s">
        <v>743</v>
      </c>
      <c r="R320" s="17" t="s">
        <v>744</v>
      </c>
      <c r="S320" s="17" t="s">
        <v>745</v>
      </c>
      <c r="T320" s="15"/>
    </row>
    <row r="321" spans="1:20" x14ac:dyDescent="0.25">
      <c r="A321" s="14">
        <v>312</v>
      </c>
      <c r="B321" s="14">
        <v>3528205</v>
      </c>
      <c r="C321" s="14" t="str">
        <f>IF(ISERR(FIND("-",tab_Geral[[#This Row],[Municípios]],1)),"","Têm Hifen")</f>
        <v/>
      </c>
      <c r="D321" s="14" t="str">
        <f>IF(tab_Geral[[#This Row],[Informação 3]]&lt;&gt;"","","Não Registrado")</f>
        <v/>
      </c>
      <c r="E321" s="14" t="str">
        <f>IF(tab_Geral[[#This Row],[Municípios]]=tab_Geral[[#This Row],[Informação 1]],"","Não!, Erro!")</f>
        <v/>
      </c>
      <c r="F321" s="14" t="str">
        <f>IF(tab_Geral[[#This Row],[Municípios]]=tab_Geral[[#This Row],[Município]],"","Não!, Erro!")</f>
        <v/>
      </c>
      <c r="G321" s="14" t="str">
        <f>VLOOKUP(tab_Geral[[#This Row],[GeoCodigo]],tab_CETESB[],2,FALSE)</f>
        <v>Macedônia</v>
      </c>
      <c r="H321" s="14" t="str">
        <f>VLOOKUP(tab_Geral[[#This Row],[Informação 3]],tab_AgênciaAmbiental,10,FALSE)</f>
        <v>41</v>
      </c>
      <c r="I321" s="14" t="s">
        <v>319</v>
      </c>
      <c r="J321" s="18" t="s">
        <v>319</v>
      </c>
      <c r="K321" s="17"/>
      <c r="L321" s="17" t="s">
        <v>1922</v>
      </c>
      <c r="M321" s="17" t="s">
        <v>739</v>
      </c>
      <c r="N321" s="17" t="s">
        <v>740</v>
      </c>
      <c r="O321" s="17" t="s">
        <v>741</v>
      </c>
      <c r="P321" s="17" t="s">
        <v>742</v>
      </c>
      <c r="Q321" s="17" t="s">
        <v>743</v>
      </c>
      <c r="R321" s="17" t="s">
        <v>744</v>
      </c>
      <c r="S321" s="17" t="s">
        <v>745</v>
      </c>
      <c r="T321" s="15"/>
    </row>
    <row r="322" spans="1:20" x14ac:dyDescent="0.25">
      <c r="A322" s="14">
        <v>313</v>
      </c>
      <c r="B322" s="14">
        <v>3528304</v>
      </c>
      <c r="C322" s="14" t="str">
        <f>IF(ISERR(FIND("-",tab_Geral[[#This Row],[Municípios]],1)),"","Têm Hifen")</f>
        <v/>
      </c>
      <c r="D322" s="14" t="str">
        <f>IF(tab_Geral[[#This Row],[Informação 3]]&lt;&gt;"","","Não Registrado")</f>
        <v/>
      </c>
      <c r="E322" s="14" t="str">
        <f>IF(tab_Geral[[#This Row],[Municípios]]=tab_Geral[[#This Row],[Informação 1]],"","Não!, Erro!")</f>
        <v/>
      </c>
      <c r="F322" s="14" t="str">
        <f>IF(tab_Geral[[#This Row],[Municípios]]=tab_Geral[[#This Row],[Município]],"","Não!, Erro!")</f>
        <v/>
      </c>
      <c r="G322" s="14" t="str">
        <f>VLOOKUP(tab_Geral[[#This Row],[GeoCodigo]],tab_CETESB[],2,FALSE)</f>
        <v>Magda</v>
      </c>
      <c r="H322" s="14" t="str">
        <f>VLOOKUP(tab_Geral[[#This Row],[Informação 3]],tab_AgênciaAmbiental,10,FALSE)</f>
        <v>41</v>
      </c>
      <c r="I322" s="14" t="s">
        <v>320</v>
      </c>
      <c r="J322" s="18" t="s">
        <v>320</v>
      </c>
      <c r="K322" s="17"/>
      <c r="L322" s="17" t="s">
        <v>1922</v>
      </c>
      <c r="M322" s="17" t="s">
        <v>739</v>
      </c>
      <c r="N322" s="17" t="s">
        <v>740</v>
      </c>
      <c r="O322" s="17" t="s">
        <v>741</v>
      </c>
      <c r="P322" s="17" t="s">
        <v>742</v>
      </c>
      <c r="Q322" s="17" t="s">
        <v>743</v>
      </c>
      <c r="R322" s="17" t="s">
        <v>744</v>
      </c>
      <c r="S322" s="17" t="s">
        <v>745</v>
      </c>
      <c r="T322" s="15"/>
    </row>
    <row r="323" spans="1:20" x14ac:dyDescent="0.25">
      <c r="A323" s="14">
        <v>314</v>
      </c>
      <c r="B323" s="14">
        <v>3528403</v>
      </c>
      <c r="C323" s="14" t="str">
        <f>IF(ISERR(FIND("-",tab_Geral[[#This Row],[Municípios]],1)),"","Têm Hifen")</f>
        <v/>
      </c>
      <c r="D323" s="14" t="str">
        <f>IF(tab_Geral[[#This Row],[Informação 3]]&lt;&gt;"","","Não Registrado")</f>
        <v/>
      </c>
      <c r="E323" s="14" t="str">
        <f>IF(tab_Geral[[#This Row],[Municípios]]=tab_Geral[[#This Row],[Informação 1]],"","Não!, Erro!")</f>
        <v/>
      </c>
      <c r="F323" s="14" t="str">
        <f>IF(tab_Geral[[#This Row],[Municípios]]=tab_Geral[[#This Row],[Município]],"","Não!, Erro!")</f>
        <v/>
      </c>
      <c r="G323" s="14" t="str">
        <f>VLOOKUP(tab_Geral[[#This Row],[GeoCodigo]],tab_CETESB[],2,FALSE)</f>
        <v>Mairinque</v>
      </c>
      <c r="H323" s="14" t="str">
        <f>VLOOKUP(tab_Geral[[#This Row],[Informação 3]],tab_AgênciaAmbiental,10,FALSE)</f>
        <v>18</v>
      </c>
      <c r="I323" s="14" t="s">
        <v>321</v>
      </c>
      <c r="J323" s="18" t="s">
        <v>321</v>
      </c>
      <c r="K323" s="17"/>
      <c r="L323" s="17" t="s">
        <v>1899</v>
      </c>
      <c r="M323" s="17" t="s">
        <v>733</v>
      </c>
      <c r="N323" s="17" t="s">
        <v>657</v>
      </c>
      <c r="O323" s="17" t="s">
        <v>734</v>
      </c>
      <c r="P323" s="17" t="s">
        <v>735</v>
      </c>
      <c r="Q323" s="17" t="s">
        <v>736</v>
      </c>
      <c r="R323" s="17" t="s">
        <v>737</v>
      </c>
      <c r="S323" s="17" t="s">
        <v>738</v>
      </c>
      <c r="T323" s="15"/>
    </row>
    <row r="324" spans="1:20" x14ac:dyDescent="0.25">
      <c r="A324" s="14">
        <v>315</v>
      </c>
      <c r="B324" s="14">
        <v>3528502</v>
      </c>
      <c r="C324" s="14" t="str">
        <f>IF(ISERR(FIND("-",tab_Geral[[#This Row],[Municípios]],1)),"","Têm Hifen")</f>
        <v/>
      </c>
      <c r="D324" s="14" t="str">
        <f>IF(tab_Geral[[#This Row],[Informação 3]]&lt;&gt;"","","Não Registrado")</f>
        <v/>
      </c>
      <c r="E324" s="14" t="str">
        <f>IF(tab_Geral[[#This Row],[Municípios]]=tab_Geral[[#This Row],[Informação 1]],"","Não!, Erro!")</f>
        <v/>
      </c>
      <c r="F324" s="14" t="str">
        <f>IF(tab_Geral[[#This Row],[Municípios]]=tab_Geral[[#This Row],[Município]],"","Não!, Erro!")</f>
        <v/>
      </c>
      <c r="G324" s="14" t="str">
        <f>VLOOKUP(tab_Geral[[#This Row],[GeoCodigo]],tab_CETESB[],2,FALSE)</f>
        <v>Mairiporã</v>
      </c>
      <c r="H324" s="14" t="str">
        <f>VLOOKUP(tab_Geral[[#This Row],[Informação 3]],tab_AgênciaAmbiental,10,FALSE)</f>
        <v>16</v>
      </c>
      <c r="I324" s="14" t="s">
        <v>322</v>
      </c>
      <c r="J324" s="18" t="s">
        <v>322</v>
      </c>
      <c r="K324" s="17"/>
      <c r="L324" s="17" t="s">
        <v>1897</v>
      </c>
      <c r="M324" s="17" t="s">
        <v>823</v>
      </c>
      <c r="N324" s="17" t="s">
        <v>824</v>
      </c>
      <c r="O324" s="17" t="s">
        <v>825</v>
      </c>
      <c r="P324" s="17" t="s">
        <v>826</v>
      </c>
      <c r="Q324" s="17" t="s">
        <v>827</v>
      </c>
      <c r="R324" s="17" t="s">
        <v>828</v>
      </c>
      <c r="S324" s="17" t="s">
        <v>829</v>
      </c>
      <c r="T324" s="15"/>
    </row>
    <row r="325" spans="1:20" x14ac:dyDescent="0.25">
      <c r="A325" s="14">
        <v>316</v>
      </c>
      <c r="B325" s="14">
        <v>3528601</v>
      </c>
      <c r="C325" s="14" t="str">
        <f>IF(ISERR(FIND("-",tab_Geral[[#This Row],[Municípios]],1)),"","Têm Hifen")</f>
        <v/>
      </c>
      <c r="D325" s="14" t="str">
        <f>IF(tab_Geral[[#This Row],[Informação 3]]&lt;&gt;"","","Não Registrado")</f>
        <v/>
      </c>
      <c r="E325" s="14" t="str">
        <f>IF(tab_Geral[[#This Row],[Municípios]]=tab_Geral[[#This Row],[Informação 1]],"","Não!, Erro!")</f>
        <v/>
      </c>
      <c r="F325" s="14" t="str">
        <f>IF(tab_Geral[[#This Row],[Municípios]]=tab_Geral[[#This Row],[Município]],"","Não!, Erro!")</f>
        <v/>
      </c>
      <c r="G325" s="14" t="str">
        <f>VLOOKUP(tab_Geral[[#This Row],[GeoCodigo]],tab_CETESB[],2,FALSE)</f>
        <v>Manduri</v>
      </c>
      <c r="H325" s="14" t="str">
        <f>VLOOKUP(tab_Geral[[#This Row],[Informação 3]],tab_AgênciaAmbiental,10,FALSE)</f>
        <v>6</v>
      </c>
      <c r="I325" s="14" t="s">
        <v>323</v>
      </c>
      <c r="J325" s="18" t="s">
        <v>323</v>
      </c>
      <c r="K325" s="17"/>
      <c r="L325" s="17" t="s">
        <v>1887</v>
      </c>
      <c r="M325" s="17" t="s">
        <v>681</v>
      </c>
      <c r="N325" s="17" t="s">
        <v>682</v>
      </c>
      <c r="O325" s="17" t="s">
        <v>683</v>
      </c>
      <c r="P325" s="17" t="s">
        <v>684</v>
      </c>
      <c r="Q325" s="17" t="s">
        <v>685</v>
      </c>
      <c r="R325" s="17" t="s">
        <v>686</v>
      </c>
      <c r="S325" s="17" t="s">
        <v>687</v>
      </c>
      <c r="T325" s="15"/>
    </row>
    <row r="326" spans="1:20" x14ac:dyDescent="0.25">
      <c r="A326" s="14">
        <v>317</v>
      </c>
      <c r="B326" s="14">
        <v>3528700</v>
      </c>
      <c r="C326" s="14" t="str">
        <f>IF(ISERR(FIND("-",tab_Geral[[#This Row],[Municípios]],1)),"","Têm Hifen")</f>
        <v/>
      </c>
      <c r="D326" s="14" t="str">
        <f>IF(tab_Geral[[#This Row],[Informação 3]]&lt;&gt;"","","Não Registrado")</f>
        <v/>
      </c>
      <c r="E326" s="14" t="str">
        <f>IF(tab_Geral[[#This Row],[Municípios]]=tab_Geral[[#This Row],[Informação 1]],"","Não!, Erro!")</f>
        <v/>
      </c>
      <c r="F326" s="14" t="str">
        <f>IF(tab_Geral[[#This Row],[Municípios]]=tab_Geral[[#This Row],[Município]],"","Não!, Erro!")</f>
        <v/>
      </c>
      <c r="G326" s="14" t="str">
        <f>VLOOKUP(tab_Geral[[#This Row],[GeoCodigo]],tab_CETESB[],2,FALSE)</f>
        <v>Marabá Paulista</v>
      </c>
      <c r="H326" s="14" t="str">
        <f>VLOOKUP(tab_Geral[[#This Row],[Informação 3]],tab_AgênciaAmbiental,10,FALSE)</f>
        <v>29</v>
      </c>
      <c r="I326" s="14" t="s">
        <v>324</v>
      </c>
      <c r="J326" s="18" t="s">
        <v>324</v>
      </c>
      <c r="K326" s="17"/>
      <c r="L326" s="17" t="s">
        <v>1910</v>
      </c>
      <c r="M326" s="17" t="s">
        <v>707</v>
      </c>
      <c r="N326" s="17" t="s">
        <v>708</v>
      </c>
      <c r="O326" s="17" t="s">
        <v>709</v>
      </c>
      <c r="P326" s="17" t="s">
        <v>710</v>
      </c>
      <c r="Q326" s="17" t="s">
        <v>711</v>
      </c>
      <c r="R326" s="17" t="s">
        <v>686</v>
      </c>
      <c r="S326" s="17" t="s">
        <v>712</v>
      </c>
      <c r="T326" s="15"/>
    </row>
    <row r="327" spans="1:20" x14ac:dyDescent="0.25">
      <c r="A327" s="14">
        <v>318</v>
      </c>
      <c r="B327" s="14">
        <v>3528809</v>
      </c>
      <c r="C327" s="14" t="str">
        <f>IF(ISERR(FIND("-",tab_Geral[[#This Row],[Municípios]],1)),"","Têm Hifen")</f>
        <v/>
      </c>
      <c r="D327" s="14" t="str">
        <f>IF(tab_Geral[[#This Row],[Informação 3]]&lt;&gt;"","","Não Registrado")</f>
        <v/>
      </c>
      <c r="E327" s="14" t="str">
        <f>IF(tab_Geral[[#This Row],[Municípios]]=tab_Geral[[#This Row],[Informação 1]],"","Não!, Erro!")</f>
        <v/>
      </c>
      <c r="F327" s="14" t="str">
        <f>IF(tab_Geral[[#This Row],[Municípios]]=tab_Geral[[#This Row],[Município]],"","Não!, Erro!")</f>
        <v/>
      </c>
      <c r="G327" s="14" t="str">
        <f>VLOOKUP(tab_Geral[[#This Row],[GeoCodigo]],tab_CETESB[],2,FALSE)</f>
        <v>Maracaí</v>
      </c>
      <c r="H327" s="14" t="str">
        <f>VLOOKUP(tab_Geral[[#This Row],[Informação 3]],tab_AgênciaAmbiental,10,FALSE)</f>
        <v>4</v>
      </c>
      <c r="I327" s="14" t="s">
        <v>325</v>
      </c>
      <c r="J327" s="18" t="s">
        <v>325</v>
      </c>
      <c r="K327" s="17"/>
      <c r="L327" s="17" t="s">
        <v>1885</v>
      </c>
      <c r="M327" s="17" t="s">
        <v>830</v>
      </c>
      <c r="N327" s="17" t="s">
        <v>831</v>
      </c>
      <c r="O327" s="17" t="s">
        <v>832</v>
      </c>
      <c r="P327" s="17" t="s">
        <v>833</v>
      </c>
      <c r="Q327" s="17" t="s">
        <v>834</v>
      </c>
      <c r="R327" s="17" t="s">
        <v>835</v>
      </c>
      <c r="S327" s="17" t="s">
        <v>836</v>
      </c>
      <c r="T327" s="15"/>
    </row>
    <row r="328" spans="1:20" x14ac:dyDescent="0.25">
      <c r="A328" s="14">
        <v>319</v>
      </c>
      <c r="B328" s="14">
        <v>3528858</v>
      </c>
      <c r="C328" s="14" t="str">
        <f>IF(ISERR(FIND("-",tab_Geral[[#This Row],[Municípios]],1)),"","Têm Hifen")</f>
        <v/>
      </c>
      <c r="D328" s="14" t="str">
        <f>IF(tab_Geral[[#This Row],[Informação 3]]&lt;&gt;"","","Não Registrado")</f>
        <v/>
      </c>
      <c r="E328" s="14" t="str">
        <f>IF(tab_Geral[[#This Row],[Municípios]]=tab_Geral[[#This Row],[Informação 1]],"","Não!, Erro!")</f>
        <v/>
      </c>
      <c r="F328" s="14" t="str">
        <f>IF(tab_Geral[[#This Row],[Municípios]]=tab_Geral[[#This Row],[Município]],"","Não!, Erro!")</f>
        <v/>
      </c>
      <c r="G328" s="14" t="str">
        <f>VLOOKUP(tab_Geral[[#This Row],[GeoCodigo]],tab_CETESB[],2,FALSE)</f>
        <v>Marapoama</v>
      </c>
      <c r="H328" s="14" t="str">
        <f>VLOOKUP(tab_Geral[[#This Row],[Informação 3]],tab_AgênciaAmbiental,10,FALSE)</f>
        <v>36</v>
      </c>
      <c r="I328" s="14" t="s">
        <v>326</v>
      </c>
      <c r="J328" s="18" t="s">
        <v>326</v>
      </c>
      <c r="K328" s="17"/>
      <c r="L328" s="17" t="s">
        <v>1917</v>
      </c>
      <c r="M328" s="17" t="s">
        <v>663</v>
      </c>
      <c r="N328" s="17" t="s">
        <v>664</v>
      </c>
      <c r="O328" s="17" t="s">
        <v>665</v>
      </c>
      <c r="P328" s="17" t="s">
        <v>666</v>
      </c>
      <c r="Q328" s="17" t="s">
        <v>667</v>
      </c>
      <c r="R328" s="17" t="s">
        <v>668</v>
      </c>
      <c r="S328" s="17" t="s">
        <v>938</v>
      </c>
    </row>
    <row r="329" spans="1:20" x14ac:dyDescent="0.25">
      <c r="A329" s="14">
        <v>320</v>
      </c>
      <c r="B329" s="14">
        <v>3528908</v>
      </c>
      <c r="C329" s="14" t="str">
        <f>IF(ISERR(FIND("-",tab_Geral[[#This Row],[Municípios]],1)),"","Têm Hifen")</f>
        <v/>
      </c>
      <c r="D329" s="14" t="str">
        <f>IF(tab_Geral[[#This Row],[Informação 3]]&lt;&gt;"","","Não Registrado")</f>
        <v/>
      </c>
      <c r="E329" s="14" t="str">
        <f>IF(tab_Geral[[#This Row],[Municípios]]=tab_Geral[[#This Row],[Informação 1]],"","Não!, Erro!")</f>
        <v/>
      </c>
      <c r="F329" s="14" t="str">
        <f>IF(tab_Geral[[#This Row],[Municípios]]=tab_Geral[[#This Row],[Município]],"","Não!, Erro!")</f>
        <v/>
      </c>
      <c r="G329" s="14" t="str">
        <f>VLOOKUP(tab_Geral[[#This Row],[GeoCodigo]],tab_CETESB[],2,FALSE)</f>
        <v>Mariápolis</v>
      </c>
      <c r="H329" s="14" t="str">
        <f>VLOOKUP(tab_Geral[[#This Row],[Informação 3]],tab_AgênciaAmbiental,10,FALSE)</f>
        <v>13</v>
      </c>
      <c r="I329" s="14" t="s">
        <v>327</v>
      </c>
      <c r="J329" s="18" t="s">
        <v>327</v>
      </c>
      <c r="K329" s="17"/>
      <c r="L329" s="17" t="s">
        <v>1894</v>
      </c>
      <c r="M329" s="17" t="s">
        <v>656</v>
      </c>
      <c r="N329" s="17" t="s">
        <v>657</v>
      </c>
      <c r="O329" s="17" t="s">
        <v>658</v>
      </c>
      <c r="P329" s="17" t="s">
        <v>659</v>
      </c>
      <c r="Q329" s="17" t="s">
        <v>660</v>
      </c>
      <c r="R329" s="17" t="s">
        <v>661</v>
      </c>
      <c r="S329" s="17" t="s">
        <v>662</v>
      </c>
      <c r="T329" s="15"/>
    </row>
    <row r="330" spans="1:20" x14ac:dyDescent="0.25">
      <c r="A330" s="14">
        <v>321</v>
      </c>
      <c r="B330" s="14">
        <v>3529005</v>
      </c>
      <c r="C330" s="14" t="str">
        <f>IF(ISERR(FIND("-",tab_Geral[[#This Row],[Municípios]],1)),"","Têm Hifen")</f>
        <v/>
      </c>
      <c r="D330" s="14" t="str">
        <f>IF(tab_Geral[[#This Row],[Informação 3]]&lt;&gt;"","","Não Registrado")</f>
        <v/>
      </c>
      <c r="E330" s="14" t="str">
        <f>IF(tab_Geral[[#This Row],[Municípios]]=tab_Geral[[#This Row],[Informação 1]],"","Não!, Erro!")</f>
        <v/>
      </c>
      <c r="F330" s="14" t="str">
        <f>IF(tab_Geral[[#This Row],[Municípios]]=tab_Geral[[#This Row],[Município]],"","Não!, Erro!")</f>
        <v/>
      </c>
      <c r="G330" s="14" t="str">
        <f>VLOOKUP(tab_Geral[[#This Row],[GeoCodigo]],tab_CETESB[],2,FALSE)</f>
        <v>Marília</v>
      </c>
      <c r="H330" s="14" t="str">
        <f>VLOOKUP(tab_Geral[[#This Row],[Informação 3]],tab_AgênciaAmbiental,10,FALSE)</f>
        <v>23</v>
      </c>
      <c r="I330" s="14" t="s">
        <v>328</v>
      </c>
      <c r="J330" s="18" t="s">
        <v>328</v>
      </c>
      <c r="K330" s="17"/>
      <c r="L330" s="17" t="s">
        <v>1904</v>
      </c>
      <c r="M330" s="17" t="s">
        <v>746</v>
      </c>
      <c r="N330" s="17" t="s">
        <v>747</v>
      </c>
      <c r="O330" s="17" t="s">
        <v>748</v>
      </c>
      <c r="P330" s="17" t="s">
        <v>749</v>
      </c>
      <c r="Q330" s="17" t="s">
        <v>750</v>
      </c>
      <c r="R330" s="17" t="s">
        <v>751</v>
      </c>
      <c r="S330" s="17" t="s">
        <v>752</v>
      </c>
      <c r="T330" s="15"/>
    </row>
    <row r="331" spans="1:20" x14ac:dyDescent="0.25">
      <c r="A331" s="14">
        <v>322</v>
      </c>
      <c r="B331" s="14">
        <v>3529104</v>
      </c>
      <c r="C331" s="14" t="str">
        <f>IF(ISERR(FIND("-",tab_Geral[[#This Row],[Municípios]],1)),"","Têm Hifen")</f>
        <v/>
      </c>
      <c r="D331" s="14" t="str">
        <f>IF(tab_Geral[[#This Row],[Informação 3]]&lt;&gt;"","","Não Registrado")</f>
        <v/>
      </c>
      <c r="E331" s="14" t="str">
        <f>IF(tab_Geral[[#This Row],[Municípios]]=tab_Geral[[#This Row],[Informação 1]],"","Não!, Erro!")</f>
        <v/>
      </c>
      <c r="F331" s="14" t="str">
        <f>IF(tab_Geral[[#This Row],[Municípios]]=tab_Geral[[#This Row],[Município]],"","Não!, Erro!")</f>
        <v/>
      </c>
      <c r="G331" s="14" t="str">
        <f>VLOOKUP(tab_Geral[[#This Row],[GeoCodigo]],tab_CETESB[],2,FALSE)</f>
        <v>Marinópolis</v>
      </c>
      <c r="H331" s="14" t="str">
        <f>VLOOKUP(tab_Geral[[#This Row],[Informação 3]],tab_AgênciaAmbiental,10,FALSE)</f>
        <v>20</v>
      </c>
      <c r="I331" s="14" t="s">
        <v>329</v>
      </c>
      <c r="J331" s="18" t="s">
        <v>329</v>
      </c>
      <c r="K331" s="17"/>
      <c r="L331" s="17" t="s">
        <v>1901</v>
      </c>
      <c r="M331" s="17" t="s">
        <v>788</v>
      </c>
      <c r="N331" s="17" t="s">
        <v>789</v>
      </c>
      <c r="O331" s="17" t="s">
        <v>790</v>
      </c>
      <c r="P331" s="17" t="s">
        <v>791</v>
      </c>
      <c r="Q331" s="17" t="s">
        <v>792</v>
      </c>
      <c r="R331" s="17" t="s">
        <v>793</v>
      </c>
      <c r="S331" s="17" t="s">
        <v>794</v>
      </c>
      <c r="T331" s="15"/>
    </row>
    <row r="332" spans="1:20" x14ac:dyDescent="0.25">
      <c r="A332" s="14">
        <v>323</v>
      </c>
      <c r="B332" s="14">
        <v>3529203</v>
      </c>
      <c r="C332" s="14" t="str">
        <f>IF(ISERR(FIND("-",tab_Geral[[#This Row],[Municípios]],1)),"","Têm Hifen")</f>
        <v/>
      </c>
      <c r="D332" s="14" t="str">
        <f>IF(tab_Geral[[#This Row],[Informação 3]]&lt;&gt;"","","Não Registrado")</f>
        <v/>
      </c>
      <c r="E332" s="14" t="str">
        <f>IF(tab_Geral[[#This Row],[Municípios]]=tab_Geral[[#This Row],[Informação 1]],"","Não!, Erro!")</f>
        <v/>
      </c>
      <c r="F332" s="14" t="str">
        <f>IF(tab_Geral[[#This Row],[Municípios]]=tab_Geral[[#This Row],[Município]],"","Não!, Erro!")</f>
        <v/>
      </c>
      <c r="G332" s="14" t="str">
        <f>VLOOKUP(tab_Geral[[#This Row],[GeoCodigo]],tab_CETESB[],2,FALSE)</f>
        <v>Martinópolis</v>
      </c>
      <c r="H332" s="14" t="str">
        <f>VLOOKUP(tab_Geral[[#This Row],[Informação 3]],tab_AgênciaAmbiental,10,FALSE)</f>
        <v>29</v>
      </c>
      <c r="I332" s="14" t="s">
        <v>330</v>
      </c>
      <c r="J332" s="18" t="s">
        <v>330</v>
      </c>
      <c r="K332" s="17"/>
      <c r="L332" s="17" t="s">
        <v>1910</v>
      </c>
      <c r="M332" s="17" t="s">
        <v>707</v>
      </c>
      <c r="N332" s="17" t="s">
        <v>708</v>
      </c>
      <c r="O332" s="17" t="s">
        <v>709</v>
      </c>
      <c r="P332" s="17" t="s">
        <v>710</v>
      </c>
      <c r="Q332" s="17" t="s">
        <v>711</v>
      </c>
      <c r="R332" s="17" t="s">
        <v>686</v>
      </c>
      <c r="S332" s="17" t="s">
        <v>712</v>
      </c>
      <c r="T332" s="15"/>
    </row>
    <row r="333" spans="1:20" x14ac:dyDescent="0.25">
      <c r="A333" s="14">
        <v>324</v>
      </c>
      <c r="B333" s="14">
        <v>3529302</v>
      </c>
      <c r="C333" s="14" t="str">
        <f>IF(ISERR(FIND("-",tab_Geral[[#This Row],[Municípios]],1)),"","Têm Hifen")</f>
        <v/>
      </c>
      <c r="D333" s="14" t="str">
        <f>IF(tab_Geral[[#This Row],[Informação 3]]&lt;&gt;"","","Não Registrado")</f>
        <v/>
      </c>
      <c r="E333" s="14" t="str">
        <f>IF(tab_Geral[[#This Row],[Municípios]]=tab_Geral[[#This Row],[Informação 1]],"","Não!, Erro!")</f>
        <v/>
      </c>
      <c r="F333" s="14" t="str">
        <f>IF(tab_Geral[[#This Row],[Municípios]]=tab_Geral[[#This Row],[Município]],"","Não!, Erro!")</f>
        <v/>
      </c>
      <c r="G333" s="14" t="str">
        <f>VLOOKUP(tab_Geral[[#This Row],[GeoCodigo]],tab_CETESB[],2,FALSE)</f>
        <v>Matão</v>
      </c>
      <c r="H333" s="14" t="str">
        <f>VLOOKUP(tab_Geral[[#This Row],[Informação 3]],tab_AgênciaAmbiental,10,FALSE)</f>
        <v>3</v>
      </c>
      <c r="I333" s="14" t="s">
        <v>331</v>
      </c>
      <c r="J333" s="18" t="s">
        <v>331</v>
      </c>
      <c r="K333" s="17"/>
      <c r="L333" s="17" t="s">
        <v>1884</v>
      </c>
      <c r="M333" s="17" t="s">
        <v>760</v>
      </c>
      <c r="N333" s="17" t="s">
        <v>761</v>
      </c>
      <c r="O333" s="17" t="s">
        <v>762</v>
      </c>
      <c r="P333" s="17" t="s">
        <v>763</v>
      </c>
      <c r="Q333" s="17" t="s">
        <v>764</v>
      </c>
      <c r="R333" s="17" t="s">
        <v>765</v>
      </c>
      <c r="S333" s="17" t="s">
        <v>766</v>
      </c>
      <c r="T333" s="15"/>
    </row>
    <row r="334" spans="1:20" x14ac:dyDescent="0.25">
      <c r="A334" s="14">
        <v>325</v>
      </c>
      <c r="B334" s="14">
        <v>3529401</v>
      </c>
      <c r="C334" s="14" t="str">
        <f>IF(ISERR(FIND("-",tab_Geral[[#This Row],[Municípios]],1)),"","Têm Hifen")</f>
        <v/>
      </c>
      <c r="D334" s="14" t="str">
        <f>IF(tab_Geral[[#This Row],[Informação 3]]&lt;&gt;"","","Não Registrado")</f>
        <v/>
      </c>
      <c r="E334" s="14" t="str">
        <f>IF(tab_Geral[[#This Row],[Municípios]]=tab_Geral[[#This Row],[Informação 1]],"","Não!, Erro!")</f>
        <v/>
      </c>
      <c r="F334" s="14" t="str">
        <f>IF(tab_Geral[[#This Row],[Municípios]]=tab_Geral[[#This Row],[Município]],"","Não!, Erro!")</f>
        <v/>
      </c>
      <c r="G334" s="14" t="str">
        <f>VLOOKUP(tab_Geral[[#This Row],[GeoCodigo]],tab_CETESB[],2,FALSE)</f>
        <v>Mauá</v>
      </c>
      <c r="H334" s="14" t="str">
        <f>VLOOKUP(tab_Geral[[#This Row],[Informação 3]],tab_AgênciaAmbiental,10,FALSE)</f>
        <v>42</v>
      </c>
      <c r="I334" s="14" t="s">
        <v>332</v>
      </c>
      <c r="J334" s="18" t="s">
        <v>332</v>
      </c>
      <c r="K334" s="17"/>
      <c r="L334" s="17" t="s">
        <v>1923</v>
      </c>
      <c r="M334" s="17" t="s">
        <v>919</v>
      </c>
      <c r="N334" s="17" t="s">
        <v>920</v>
      </c>
      <c r="O334" s="17" t="s">
        <v>921</v>
      </c>
      <c r="P334" s="17" t="s">
        <v>922</v>
      </c>
      <c r="Q334" s="17" t="s">
        <v>923</v>
      </c>
      <c r="R334" s="17" t="s">
        <v>924</v>
      </c>
      <c r="S334" s="17" t="s">
        <v>933</v>
      </c>
      <c r="T334" s="15"/>
    </row>
    <row r="335" spans="1:20" x14ac:dyDescent="0.25">
      <c r="A335" s="14">
        <v>326</v>
      </c>
      <c r="B335" s="14">
        <v>3529500</v>
      </c>
      <c r="C335" s="14" t="str">
        <f>IF(ISERR(FIND("-",tab_Geral[[#This Row],[Municípios]],1)),"","Têm Hifen")</f>
        <v/>
      </c>
      <c r="D335" s="14" t="str">
        <f>IF(tab_Geral[[#This Row],[Informação 3]]&lt;&gt;"","","Não Registrado")</f>
        <v/>
      </c>
      <c r="E335" s="14" t="str">
        <f>IF(tab_Geral[[#This Row],[Municípios]]=tab_Geral[[#This Row],[Informação 1]],"","Não!, Erro!")</f>
        <v/>
      </c>
      <c r="F335" s="14" t="str">
        <f>IF(tab_Geral[[#This Row],[Municípios]]=tab_Geral[[#This Row],[Município]],"","Não!, Erro!")</f>
        <v/>
      </c>
      <c r="G335" s="14" t="str">
        <f>VLOOKUP(tab_Geral[[#This Row],[GeoCodigo]],tab_CETESB[],2,FALSE)</f>
        <v>Mendonça</v>
      </c>
      <c r="H335" s="14" t="str">
        <f>VLOOKUP(tab_Geral[[#This Row],[Informação 3]],tab_AgênciaAmbiental,10,FALSE)</f>
        <v>36</v>
      </c>
      <c r="I335" s="14" t="s">
        <v>333</v>
      </c>
      <c r="J335" s="18" t="s">
        <v>333</v>
      </c>
      <c r="K335" s="17"/>
      <c r="L335" s="17" t="s">
        <v>1917</v>
      </c>
      <c r="M335" s="17" t="s">
        <v>663</v>
      </c>
      <c r="N335" s="17" t="s">
        <v>664</v>
      </c>
      <c r="O335" s="17" t="s">
        <v>665</v>
      </c>
      <c r="P335" s="17" t="s">
        <v>666</v>
      </c>
      <c r="Q335" s="17" t="s">
        <v>667</v>
      </c>
      <c r="R335" s="17" t="s">
        <v>668</v>
      </c>
      <c r="S335" s="17" t="s">
        <v>938</v>
      </c>
    </row>
    <row r="336" spans="1:20" x14ac:dyDescent="0.25">
      <c r="A336" s="14">
        <v>327</v>
      </c>
      <c r="B336" s="14">
        <v>3529609</v>
      </c>
      <c r="C336" s="14" t="str">
        <f>IF(ISERR(FIND("-",tab_Geral[[#This Row],[Municípios]],1)),"","Têm Hifen")</f>
        <v/>
      </c>
      <c r="D336" s="14" t="str">
        <f>IF(tab_Geral[[#This Row],[Informação 3]]&lt;&gt;"","","Não Registrado")</f>
        <v/>
      </c>
      <c r="E336" s="14" t="str">
        <f>IF(tab_Geral[[#This Row],[Municípios]]=tab_Geral[[#This Row],[Informação 1]],"","Não!, Erro!")</f>
        <v/>
      </c>
      <c r="F336" s="14" t="str">
        <f>IF(tab_Geral[[#This Row],[Municípios]]=tab_Geral[[#This Row],[Município]],"","Não!, Erro!")</f>
        <v/>
      </c>
      <c r="G336" s="14" t="str">
        <f>VLOOKUP(tab_Geral[[#This Row],[GeoCodigo]],tab_CETESB[],2,FALSE)</f>
        <v>Meridiano</v>
      </c>
      <c r="H336" s="14" t="str">
        <f>VLOOKUP(tab_Geral[[#This Row],[Informação 3]],tab_AgênciaAmbiental,10,FALSE)</f>
        <v>41</v>
      </c>
      <c r="I336" s="14" t="s">
        <v>334</v>
      </c>
      <c r="J336" s="18" t="s">
        <v>334</v>
      </c>
      <c r="K336" s="17"/>
      <c r="L336" s="17" t="s">
        <v>1922</v>
      </c>
      <c r="M336" s="17" t="s">
        <v>739</v>
      </c>
      <c r="N336" s="17" t="s">
        <v>740</v>
      </c>
      <c r="O336" s="17" t="s">
        <v>741</v>
      </c>
      <c r="P336" s="17" t="s">
        <v>742</v>
      </c>
      <c r="Q336" s="17" t="s">
        <v>743</v>
      </c>
      <c r="R336" s="17" t="s">
        <v>744</v>
      </c>
      <c r="S336" s="17" t="s">
        <v>745</v>
      </c>
      <c r="T336" s="15"/>
    </row>
    <row r="337" spans="1:20" x14ac:dyDescent="0.25">
      <c r="A337" s="14">
        <v>328</v>
      </c>
      <c r="B337" s="14">
        <v>3529658</v>
      </c>
      <c r="C337" s="14" t="str">
        <f>IF(ISERR(FIND("-",tab_Geral[[#This Row],[Municípios]],1)),"","Têm Hifen")</f>
        <v/>
      </c>
      <c r="D337" s="14" t="str">
        <f>IF(tab_Geral[[#This Row],[Informação 3]]&lt;&gt;"","","Não Registrado")</f>
        <v/>
      </c>
      <c r="E337" s="14" t="str">
        <f>IF(tab_Geral[[#This Row],[Municípios]]=tab_Geral[[#This Row],[Informação 1]],"","Não!, Erro!")</f>
        <v/>
      </c>
      <c r="F337" s="14" t="str">
        <f>IF(tab_Geral[[#This Row],[Municípios]]=tab_Geral[[#This Row],[Município]],"","Não!, Erro!")</f>
        <v/>
      </c>
      <c r="G337" s="14" t="str">
        <f>VLOOKUP(tab_Geral[[#This Row],[GeoCodigo]],tab_CETESB[],2,FALSE)</f>
        <v>Mesópolis</v>
      </c>
      <c r="H337" s="14" t="str">
        <f>VLOOKUP(tab_Geral[[#This Row],[Informação 3]],tab_AgênciaAmbiental,10,FALSE)</f>
        <v>20</v>
      </c>
      <c r="I337" s="14" t="s">
        <v>335</v>
      </c>
      <c r="J337" s="18" t="s">
        <v>335</v>
      </c>
      <c r="K337" s="17"/>
      <c r="L337" s="17" t="s">
        <v>1901</v>
      </c>
      <c r="M337" s="17" t="s">
        <v>788</v>
      </c>
      <c r="N337" s="17" t="s">
        <v>789</v>
      </c>
      <c r="O337" s="17" t="s">
        <v>790</v>
      </c>
      <c r="P337" s="17" t="s">
        <v>791</v>
      </c>
      <c r="Q337" s="17" t="s">
        <v>792</v>
      </c>
      <c r="R337" s="17" t="s">
        <v>793</v>
      </c>
      <c r="S337" s="17" t="s">
        <v>794</v>
      </c>
      <c r="T337" s="15"/>
    </row>
    <row r="338" spans="1:20" x14ac:dyDescent="0.25">
      <c r="A338" s="14">
        <v>329</v>
      </c>
      <c r="B338" s="14">
        <v>3529708</v>
      </c>
      <c r="C338" s="14" t="str">
        <f>IF(ISERR(FIND("-",tab_Geral[[#This Row],[Municípios]],1)),"","Têm Hifen")</f>
        <v/>
      </c>
      <c r="D338" s="14" t="str">
        <f>IF(tab_Geral[[#This Row],[Informação 3]]&lt;&gt;"","","Não Registrado")</f>
        <v/>
      </c>
      <c r="E338" s="14" t="str">
        <f>IF(tab_Geral[[#This Row],[Municípios]]=tab_Geral[[#This Row],[Informação 1]],"","Não!, Erro!")</f>
        <v/>
      </c>
      <c r="F338" s="14" t="str">
        <f>IF(tab_Geral[[#This Row],[Municípios]]=tab_Geral[[#This Row],[Município]],"","Não!, Erro!")</f>
        <v/>
      </c>
      <c r="G338" s="14" t="str">
        <f>VLOOKUP(tab_Geral[[#This Row],[GeoCodigo]],tab_CETESB[],2,FALSE)</f>
        <v>Miguelópolis</v>
      </c>
      <c r="H338" s="14" t="str">
        <f>VLOOKUP(tab_Geral[[#This Row],[Informação 3]],tab_AgênciaAmbiental,10,FALSE)</f>
        <v>7</v>
      </c>
      <c r="I338" s="14" t="s">
        <v>336</v>
      </c>
      <c r="J338" s="18" t="s">
        <v>336</v>
      </c>
      <c r="K338" s="17"/>
      <c r="L338" s="17" t="s">
        <v>1888</v>
      </c>
      <c r="M338" s="17" t="s">
        <v>713</v>
      </c>
      <c r="N338" s="17" t="s">
        <v>714</v>
      </c>
      <c r="O338" s="17" t="s">
        <v>715</v>
      </c>
      <c r="P338" s="17" t="s">
        <v>716</v>
      </c>
      <c r="Q338" s="17" t="s">
        <v>717</v>
      </c>
      <c r="R338" s="17" t="s">
        <v>718</v>
      </c>
      <c r="S338" s="17" t="s">
        <v>719</v>
      </c>
      <c r="T338" s="15"/>
    </row>
    <row r="339" spans="1:20" x14ac:dyDescent="0.25">
      <c r="A339" s="14">
        <v>330</v>
      </c>
      <c r="B339" s="14">
        <v>3529807</v>
      </c>
      <c r="C339" s="14" t="str">
        <f>IF(ISERR(FIND("-",tab_Geral[[#This Row],[Municípios]],1)),"","Têm Hifen")</f>
        <v/>
      </c>
      <c r="D339" s="14" t="str">
        <f>IF(tab_Geral[[#This Row],[Informação 3]]&lt;&gt;"","","Não Registrado")</f>
        <v/>
      </c>
      <c r="E339" s="14" t="str">
        <f>IF(tab_Geral[[#This Row],[Municípios]]=tab_Geral[[#This Row],[Informação 1]],"","Não!, Erro!")</f>
        <v/>
      </c>
      <c r="F339" s="14" t="str">
        <f>IF(tab_Geral[[#This Row],[Municípios]]=tab_Geral[[#This Row],[Município]],"","Não!, Erro!")</f>
        <v/>
      </c>
      <c r="G339" s="14" t="str">
        <f>VLOOKUP(tab_Geral[[#This Row],[GeoCodigo]],tab_CETESB[],2,FALSE)</f>
        <v>Mineiros do Tietê</v>
      </c>
      <c r="H339" s="14" t="str">
        <f>VLOOKUP(tab_Geral[[#This Row],[Informação 3]],tab_AgênciaAmbiental,10,FALSE)</f>
        <v>8</v>
      </c>
      <c r="I339" s="14" t="s">
        <v>337</v>
      </c>
      <c r="J339" s="18" t="s">
        <v>337</v>
      </c>
      <c r="K339" s="17"/>
      <c r="L339" s="17" t="s">
        <v>1889</v>
      </c>
      <c r="M339" s="17" t="s">
        <v>694</v>
      </c>
      <c r="N339" s="17" t="s">
        <v>695</v>
      </c>
      <c r="O339" s="17" t="s">
        <v>696</v>
      </c>
      <c r="P339" s="17" t="s">
        <v>697</v>
      </c>
      <c r="Q339" s="17" t="s">
        <v>698</v>
      </c>
      <c r="R339" s="17" t="s">
        <v>699</v>
      </c>
      <c r="S339" s="17" t="s">
        <v>700</v>
      </c>
      <c r="T339" s="15"/>
    </row>
    <row r="340" spans="1:20" x14ac:dyDescent="0.25">
      <c r="A340" s="14">
        <v>331</v>
      </c>
      <c r="B340" s="14">
        <v>3530003</v>
      </c>
      <c r="C340" s="14" t="str">
        <f>IF(ISERR(FIND("-",tab_Geral[[#This Row],[Municípios]],1)),"","Têm Hifen")</f>
        <v/>
      </c>
      <c r="D340" s="14" t="str">
        <f>IF(tab_Geral[[#This Row],[Informação 3]]&lt;&gt;"","","Não Registrado")</f>
        <v/>
      </c>
      <c r="E340" s="14" t="str">
        <f>IF(tab_Geral[[#This Row],[Municípios]]=tab_Geral[[#This Row],[Informação 1]],"","Não!, Erro!")</f>
        <v/>
      </c>
      <c r="F340" s="14" t="str">
        <f>IF(tab_Geral[[#This Row],[Municípios]]=tab_Geral[[#This Row],[Município]],"","Não!, Erro!")</f>
        <v/>
      </c>
      <c r="G340" s="14" t="str">
        <f>VLOOKUP(tab_Geral[[#This Row],[GeoCodigo]],tab_CETESB[],2,FALSE)</f>
        <v>Mira Estrela</v>
      </c>
      <c r="H340" s="14" t="str">
        <f>VLOOKUP(tab_Geral[[#This Row],[Informação 3]],tab_AgênciaAmbiental,10,FALSE)</f>
        <v>41</v>
      </c>
      <c r="I340" s="14" t="s">
        <v>338</v>
      </c>
      <c r="J340" s="18" t="s">
        <v>338</v>
      </c>
      <c r="K340" s="17"/>
      <c r="L340" s="17" t="s">
        <v>1922</v>
      </c>
      <c r="M340" s="17" t="s">
        <v>739</v>
      </c>
      <c r="N340" s="17" t="s">
        <v>740</v>
      </c>
      <c r="O340" s="17" t="s">
        <v>741</v>
      </c>
      <c r="P340" s="17" t="s">
        <v>742</v>
      </c>
      <c r="Q340" s="17" t="s">
        <v>743</v>
      </c>
      <c r="R340" s="17" t="s">
        <v>744</v>
      </c>
      <c r="S340" s="17" t="s">
        <v>745</v>
      </c>
      <c r="T340" s="15"/>
    </row>
    <row r="341" spans="1:20" x14ac:dyDescent="0.25">
      <c r="A341" s="14">
        <v>332</v>
      </c>
      <c r="B341" s="14">
        <v>3529906</v>
      </c>
      <c r="C341" s="14" t="str">
        <f>IF(ISERR(FIND("-",tab_Geral[[#This Row],[Municípios]],1)),"","Têm Hifen")</f>
        <v/>
      </c>
      <c r="D341" s="14" t="str">
        <f>IF(tab_Geral[[#This Row],[Informação 3]]&lt;&gt;"","","Não Registrado")</f>
        <v/>
      </c>
      <c r="E341" s="14" t="str">
        <f>IF(tab_Geral[[#This Row],[Municípios]]=tab_Geral[[#This Row],[Informação 1]],"","Não!, Erro!")</f>
        <v/>
      </c>
      <c r="F341" s="14" t="str">
        <f>IF(tab_Geral[[#This Row],[Municípios]]=tab_Geral[[#This Row],[Município]],"","Não!, Erro!")</f>
        <v/>
      </c>
      <c r="G341" s="14" t="str">
        <f>VLOOKUP(tab_Geral[[#This Row],[GeoCodigo]],tab_CETESB[],2,FALSE)</f>
        <v>Miracatu</v>
      </c>
      <c r="H341" s="14" t="str">
        <f>VLOOKUP(tab_Geral[[#This Row],[Informação 3]],tab_AgênciaAmbiental,10,FALSE)</f>
        <v>30</v>
      </c>
      <c r="I341" s="14" t="s">
        <v>339</v>
      </c>
      <c r="J341" s="18" t="s">
        <v>339</v>
      </c>
      <c r="K341" s="17"/>
      <c r="L341" s="17" t="s">
        <v>1911</v>
      </c>
      <c r="M341" s="17" t="s">
        <v>843</v>
      </c>
      <c r="N341" s="17" t="s">
        <v>844</v>
      </c>
      <c r="O341" s="17" t="s">
        <v>845</v>
      </c>
      <c r="P341" s="17" t="s">
        <v>846</v>
      </c>
      <c r="Q341" s="17" t="s">
        <v>847</v>
      </c>
      <c r="R341" s="17" t="s">
        <v>848</v>
      </c>
      <c r="S341" s="17" t="s">
        <v>849</v>
      </c>
      <c r="T341" s="15"/>
    </row>
    <row r="342" spans="1:20" x14ac:dyDescent="0.25">
      <c r="A342" s="14">
        <v>333</v>
      </c>
      <c r="B342" s="14">
        <v>3530102</v>
      </c>
      <c r="C342" s="14" t="str">
        <f>IF(ISERR(FIND("-",tab_Geral[[#This Row],[Municípios]],1)),"","Têm Hifen")</f>
        <v/>
      </c>
      <c r="D342" s="14" t="str">
        <f>IF(tab_Geral[[#This Row],[Informação 3]]&lt;&gt;"","","Não Registrado")</f>
        <v/>
      </c>
      <c r="E342" s="14" t="str">
        <f>IF(tab_Geral[[#This Row],[Municípios]]=tab_Geral[[#This Row],[Informação 1]],"","Não!, Erro!")</f>
        <v/>
      </c>
      <c r="F342" s="14" t="str">
        <f>IF(tab_Geral[[#This Row],[Municípios]]=tab_Geral[[#This Row],[Município]],"","Não!, Erro!")</f>
        <v/>
      </c>
      <c r="G342" s="14" t="str">
        <f>VLOOKUP(tab_Geral[[#This Row],[GeoCodigo]],tab_CETESB[],2,FALSE)</f>
        <v>Mirandópolis</v>
      </c>
      <c r="H342" s="14" t="str">
        <f>VLOOKUP(tab_Geral[[#This Row],[Informação 3]],tab_AgênciaAmbiental,10,FALSE)</f>
        <v>2</v>
      </c>
      <c r="I342" s="14" t="s">
        <v>340</v>
      </c>
      <c r="J342" s="18" t="s">
        <v>340</v>
      </c>
      <c r="K342" s="17"/>
      <c r="L342" s="17" t="s">
        <v>1883</v>
      </c>
      <c r="M342" s="17" t="s">
        <v>727</v>
      </c>
      <c r="N342" s="17" t="s">
        <v>728</v>
      </c>
      <c r="O342" s="17" t="s">
        <v>729</v>
      </c>
      <c r="P342" s="17" t="s">
        <v>730</v>
      </c>
      <c r="Q342" s="17" t="s">
        <v>731</v>
      </c>
      <c r="R342" s="17" t="s">
        <v>732</v>
      </c>
      <c r="S342" s="17" t="s">
        <v>936</v>
      </c>
    </row>
    <row r="343" spans="1:20" x14ac:dyDescent="0.25">
      <c r="A343" s="14">
        <v>334</v>
      </c>
      <c r="B343" s="14">
        <v>3530201</v>
      </c>
      <c r="C343" s="14" t="str">
        <f>IF(ISERR(FIND("-",tab_Geral[[#This Row],[Municípios]],1)),"","Têm Hifen")</f>
        <v/>
      </c>
      <c r="D343" s="14" t="str">
        <f>IF(tab_Geral[[#This Row],[Informação 3]]&lt;&gt;"","","Não Registrado")</f>
        <v/>
      </c>
      <c r="E343" s="14" t="str">
        <f>IF(tab_Geral[[#This Row],[Municípios]]=tab_Geral[[#This Row],[Informação 1]],"","Não!, Erro!")</f>
        <v/>
      </c>
      <c r="F343" s="14" t="str">
        <f>IF(tab_Geral[[#This Row],[Municípios]]=tab_Geral[[#This Row],[Município]],"","Não!, Erro!")</f>
        <v/>
      </c>
      <c r="G343" s="14" t="str">
        <f>VLOOKUP(tab_Geral[[#This Row],[GeoCodigo]],tab_CETESB[],2,FALSE)</f>
        <v>Mirante do Paranapanema</v>
      </c>
      <c r="H343" s="14" t="str">
        <f>VLOOKUP(tab_Geral[[#This Row],[Informação 3]],tab_AgênciaAmbiental,10,FALSE)</f>
        <v>29</v>
      </c>
      <c r="I343" s="14" t="s">
        <v>341</v>
      </c>
      <c r="J343" s="18" t="s">
        <v>341</v>
      </c>
      <c r="K343" s="17"/>
      <c r="L343" s="17" t="s">
        <v>1910</v>
      </c>
      <c r="M343" s="17" t="s">
        <v>707</v>
      </c>
      <c r="N343" s="17" t="s">
        <v>708</v>
      </c>
      <c r="O343" s="17" t="s">
        <v>709</v>
      </c>
      <c r="P343" s="17" t="s">
        <v>710</v>
      </c>
      <c r="Q343" s="17" t="s">
        <v>711</v>
      </c>
      <c r="R343" s="17" t="s">
        <v>686</v>
      </c>
      <c r="S343" s="17" t="s">
        <v>712</v>
      </c>
      <c r="T343" s="15"/>
    </row>
    <row r="344" spans="1:20" x14ac:dyDescent="0.25">
      <c r="A344" s="14">
        <v>335</v>
      </c>
      <c r="B344" s="14">
        <v>3530300</v>
      </c>
      <c r="C344" s="14" t="str">
        <f>IF(ISERR(FIND("-",tab_Geral[[#This Row],[Municípios]],1)),"","Têm Hifen")</f>
        <v/>
      </c>
      <c r="D344" s="14" t="str">
        <f>IF(tab_Geral[[#This Row],[Informação 3]]&lt;&gt;"","","Não Registrado")</f>
        <v/>
      </c>
      <c r="E344" s="14" t="str">
        <f>IF(tab_Geral[[#This Row],[Municípios]]=tab_Geral[[#This Row],[Informação 1]],"","Não!, Erro!")</f>
        <v/>
      </c>
      <c r="F344" s="14" t="str">
        <f>IF(tab_Geral[[#This Row],[Municípios]]=tab_Geral[[#This Row],[Município]],"","Não!, Erro!")</f>
        <v/>
      </c>
      <c r="G344" s="14" t="str">
        <f>VLOOKUP(tab_Geral[[#This Row],[GeoCodigo]],tab_CETESB[],2,FALSE)</f>
        <v>Mirassol</v>
      </c>
      <c r="H344" s="14" t="str">
        <f>VLOOKUP(tab_Geral[[#This Row],[Informação 3]],tab_AgênciaAmbiental,10,FALSE)</f>
        <v>36</v>
      </c>
      <c r="I344" s="14" t="s">
        <v>342</v>
      </c>
      <c r="J344" s="18" t="s">
        <v>342</v>
      </c>
      <c r="K344" s="17"/>
      <c r="L344" s="17" t="s">
        <v>1917</v>
      </c>
      <c r="M344" s="17" t="s">
        <v>663</v>
      </c>
      <c r="N344" s="17" t="s">
        <v>664</v>
      </c>
      <c r="O344" s="17" t="s">
        <v>665</v>
      </c>
      <c r="P344" s="17" t="s">
        <v>666</v>
      </c>
      <c r="Q344" s="17" t="s">
        <v>667</v>
      </c>
      <c r="R344" s="17" t="s">
        <v>668</v>
      </c>
      <c r="S344" s="17" t="s">
        <v>938</v>
      </c>
    </row>
    <row r="345" spans="1:20" x14ac:dyDescent="0.25">
      <c r="A345" s="14">
        <v>336</v>
      </c>
      <c r="B345" s="14">
        <v>3530409</v>
      </c>
      <c r="C345" s="14" t="str">
        <f>IF(ISERR(FIND("-",tab_Geral[[#This Row],[Municípios]],1)),"","Têm Hifen")</f>
        <v/>
      </c>
      <c r="D345" s="14" t="str">
        <f>IF(tab_Geral[[#This Row],[Informação 3]]&lt;&gt;"","","Não Registrado")</f>
        <v/>
      </c>
      <c r="E345" s="14" t="str">
        <f>IF(tab_Geral[[#This Row],[Municípios]]=tab_Geral[[#This Row],[Informação 1]],"","Não!, Erro!")</f>
        <v/>
      </c>
      <c r="F345" s="14" t="str">
        <f>IF(tab_Geral[[#This Row],[Municípios]]=tab_Geral[[#This Row],[Município]],"","Não!, Erro!")</f>
        <v/>
      </c>
      <c r="G345" s="14" t="str">
        <f>VLOOKUP(tab_Geral[[#This Row],[GeoCodigo]],tab_CETESB[],2,FALSE)</f>
        <v>Mirassolândia</v>
      </c>
      <c r="H345" s="14" t="str">
        <f>VLOOKUP(tab_Geral[[#This Row],[Informação 3]],tab_AgênciaAmbiental,10,FALSE)</f>
        <v>36</v>
      </c>
      <c r="I345" s="14" t="s">
        <v>343</v>
      </c>
      <c r="J345" s="18" t="s">
        <v>343</v>
      </c>
      <c r="K345" s="17"/>
      <c r="L345" s="17" t="s">
        <v>1917</v>
      </c>
      <c r="M345" s="17" t="s">
        <v>663</v>
      </c>
      <c r="N345" s="17" t="s">
        <v>664</v>
      </c>
      <c r="O345" s="17" t="s">
        <v>665</v>
      </c>
      <c r="P345" s="17" t="s">
        <v>666</v>
      </c>
      <c r="Q345" s="17" t="s">
        <v>667</v>
      </c>
      <c r="R345" s="17" t="s">
        <v>668</v>
      </c>
      <c r="S345" s="17" t="s">
        <v>938</v>
      </c>
    </row>
    <row r="346" spans="1:20" x14ac:dyDescent="0.25">
      <c r="A346" s="14">
        <v>337</v>
      </c>
      <c r="B346" s="14">
        <v>3530508</v>
      </c>
      <c r="C346" s="14" t="str">
        <f>IF(ISERR(FIND("-",tab_Geral[[#This Row],[Municípios]],1)),"","Têm Hifen")</f>
        <v/>
      </c>
      <c r="D346" s="14" t="str">
        <f>IF(tab_Geral[[#This Row],[Informação 3]]&lt;&gt;"","","Não Registrado")</f>
        <v/>
      </c>
      <c r="E346" s="14" t="str">
        <f>IF(tab_Geral[[#This Row],[Municípios]]=tab_Geral[[#This Row],[Informação 1]],"","Não!, Erro!")</f>
        <v/>
      </c>
      <c r="F346" s="14" t="str">
        <f>IF(tab_Geral[[#This Row],[Municípios]]=tab_Geral[[#This Row],[Município]],"","Não!, Erro!")</f>
        <v/>
      </c>
      <c r="G346" s="14" t="str">
        <f>VLOOKUP(tab_Geral[[#This Row],[GeoCodigo]],tab_CETESB[],2,FALSE)</f>
        <v>Mococa</v>
      </c>
      <c r="H346" s="14" t="str">
        <f>VLOOKUP(tab_Geral[[#This Row],[Informação 3]],tab_AgênciaAmbiental,10,FALSE)</f>
        <v>35</v>
      </c>
      <c r="I346" s="14" t="s">
        <v>344</v>
      </c>
      <c r="J346" s="18" t="s">
        <v>344</v>
      </c>
      <c r="K346" s="17"/>
      <c r="L346" s="17" t="s">
        <v>1916</v>
      </c>
      <c r="M346" s="17" t="s">
        <v>676</v>
      </c>
      <c r="N346" s="17" t="s">
        <v>657</v>
      </c>
      <c r="O346" s="17" t="s">
        <v>677</v>
      </c>
      <c r="P346" s="17" t="s">
        <v>678</v>
      </c>
      <c r="Q346" s="17" t="s">
        <v>679</v>
      </c>
      <c r="R346" s="17" t="s">
        <v>680</v>
      </c>
      <c r="S346" s="17" t="s">
        <v>937</v>
      </c>
    </row>
    <row r="347" spans="1:20" x14ac:dyDescent="0.25">
      <c r="A347" s="14">
        <v>338</v>
      </c>
      <c r="B347" s="14">
        <v>3530706</v>
      </c>
      <c r="C347" s="14" t="str">
        <f>IF(ISERR(FIND("-",tab_Geral[[#This Row],[Municípios]],1)),"","Têm Hifen")</f>
        <v/>
      </c>
      <c r="D347" s="14" t="str">
        <f>IF(tab_Geral[[#This Row],[Informação 3]]&lt;&gt;"","","Não Registrado")</f>
        <v/>
      </c>
      <c r="E347" s="14" t="str">
        <f>IF(tab_Geral[[#This Row],[Municípios]]=tab_Geral[[#This Row],[Informação 1]],"","Não!, Erro!")</f>
        <v/>
      </c>
      <c r="F347" s="14" t="str">
        <f>IF(tab_Geral[[#This Row],[Municípios]]=tab_Geral[[#This Row],[Município]],"","Não!, Erro!")</f>
        <v/>
      </c>
      <c r="G347" s="14" t="str">
        <f>VLOOKUP(tab_Geral[[#This Row],[GeoCodigo]],tab_CETESB[],2,FALSE)</f>
        <v>Mogi Guaçu</v>
      </c>
      <c r="H347" s="14" t="str">
        <f>VLOOKUP(tab_Geral[[#This Row],[Informação 3]],tab_AgênciaAmbiental,10,FALSE)</f>
        <v>25</v>
      </c>
      <c r="I347" s="14" t="s">
        <v>346</v>
      </c>
      <c r="J347" s="18" t="s">
        <v>346</v>
      </c>
      <c r="K347" s="17"/>
      <c r="L347" s="17" t="s">
        <v>1906</v>
      </c>
      <c r="M347" s="17" t="s">
        <v>669</v>
      </c>
      <c r="N347" s="17" t="s">
        <v>670</v>
      </c>
      <c r="O347" s="17" t="s">
        <v>671</v>
      </c>
      <c r="P347" s="17" t="s">
        <v>672</v>
      </c>
      <c r="Q347" s="17" t="s">
        <v>673</v>
      </c>
      <c r="R347" s="17" t="s">
        <v>674</v>
      </c>
      <c r="S347" s="17" t="s">
        <v>675</v>
      </c>
      <c r="T347" s="15"/>
    </row>
    <row r="348" spans="1:20" x14ac:dyDescent="0.25">
      <c r="A348" s="14">
        <v>634</v>
      </c>
      <c r="B348" s="14">
        <v>3530607</v>
      </c>
      <c r="C348" s="14" t="str">
        <f>IF(ISERR(FIND("-",tab_Geral[[#This Row],[Municípios]],1)),"","Têm Hifen")</f>
        <v/>
      </c>
      <c r="D348" s="14" t="str">
        <f>IF(tab_Geral[[#This Row],[Informação 3]]&lt;&gt;"","","Não Registrado")</f>
        <v/>
      </c>
      <c r="E348" s="14" t="str">
        <f>IF(tab_Geral[[#This Row],[Municípios]]=tab_Geral[[#This Row],[Informação 1]],"","Não!, Erro!")</f>
        <v/>
      </c>
      <c r="F348" s="14" t="str">
        <f>IF(tab_Geral[[#This Row],[Municípios]]=tab_Geral[[#This Row],[Município]],"","Não!, Erro!")</f>
        <v>Não!, Erro!</v>
      </c>
      <c r="G348" s="14" t="str">
        <f>VLOOKUP(tab_Geral[[#This Row],[GeoCodigo]],tab_CETESB[],2,FALSE)</f>
        <v>Moji das Cruzes</v>
      </c>
      <c r="H348" s="14" t="str">
        <f>VLOOKUP(tab_Geral[[#This Row],[Informação 3]],tab_AgênciaAmbiental,10,FALSE)</f>
        <v>24</v>
      </c>
      <c r="I348" s="14" t="s">
        <v>345</v>
      </c>
      <c r="J348" s="18" t="s">
        <v>345</v>
      </c>
      <c r="K348" s="17"/>
      <c r="L348" s="17" t="s">
        <v>1905</v>
      </c>
      <c r="M348" s="17" t="s">
        <v>871</v>
      </c>
      <c r="N348" s="17" t="s">
        <v>872</v>
      </c>
      <c r="O348" s="17" t="s">
        <v>873</v>
      </c>
      <c r="P348" s="17" t="s">
        <v>874</v>
      </c>
      <c r="Q348" s="17" t="s">
        <v>875</v>
      </c>
      <c r="R348" s="17" t="s">
        <v>686</v>
      </c>
      <c r="S348" s="17" t="s">
        <v>876</v>
      </c>
      <c r="T348" s="15"/>
    </row>
    <row r="349" spans="1:20" x14ac:dyDescent="0.25">
      <c r="A349" s="14">
        <v>645</v>
      </c>
      <c r="B349" s="14">
        <v>3530805</v>
      </c>
      <c r="C349" s="14" t="str">
        <f>IF(ISERR(FIND("-",tab_Geral[[#This Row],[Municípios]],1)),"","Têm Hifen")</f>
        <v>Têm Hifen</v>
      </c>
      <c r="D349" s="14" t="str">
        <f>IF(tab_Geral[[#This Row],[Informação 3]]&lt;&gt;"","","Não Registrado")</f>
        <v/>
      </c>
      <c r="E349" s="14" t="str">
        <f>IF(tab_Geral[[#This Row],[Municípios]]=tab_Geral[[#This Row],[Informação 1]],"","Não!, Erro!")</f>
        <v/>
      </c>
      <c r="F349" s="14" t="str">
        <f>IF(tab_Geral[[#This Row],[Municípios]]=tab_Geral[[#This Row],[Município]],"","Não!, Erro!")</f>
        <v>Não!, Erro!</v>
      </c>
      <c r="G349" s="14" t="str">
        <f>VLOOKUP(tab_Geral[[#This Row],[GeoCodigo]],tab_CETESB[],2,FALSE)</f>
        <v>Moji-Mirim</v>
      </c>
      <c r="H349" s="14" t="str">
        <f>VLOOKUP(tab_Geral[[#This Row],[Informação 3]],tab_AgênciaAmbiental,10,FALSE)</f>
        <v>25</v>
      </c>
      <c r="I349" s="14" t="s">
        <v>347</v>
      </c>
      <c r="J349" s="20" t="s">
        <v>347</v>
      </c>
      <c r="K349" s="17"/>
      <c r="L349" s="17" t="s">
        <v>1906</v>
      </c>
      <c r="M349" s="17" t="s">
        <v>669</v>
      </c>
      <c r="N349" s="17" t="s">
        <v>670</v>
      </c>
      <c r="O349" s="17" t="s">
        <v>671</v>
      </c>
      <c r="P349" s="17" t="s">
        <v>672</v>
      </c>
      <c r="Q349" s="17" t="s">
        <v>673</v>
      </c>
      <c r="R349" s="17" t="s">
        <v>674</v>
      </c>
      <c r="S349" s="19" t="s">
        <v>675</v>
      </c>
      <c r="T349" s="15"/>
    </row>
    <row r="350" spans="1:20" x14ac:dyDescent="0.25">
      <c r="A350" s="14">
        <v>339</v>
      </c>
      <c r="B350" s="14">
        <v>3530904</v>
      </c>
      <c r="C350" s="14" t="str">
        <f>IF(ISERR(FIND("-",tab_Geral[[#This Row],[Municípios]],1)),"","Têm Hifen")</f>
        <v/>
      </c>
      <c r="D350" s="14" t="str">
        <f>IF(tab_Geral[[#This Row],[Informação 3]]&lt;&gt;"","","Não Registrado")</f>
        <v/>
      </c>
      <c r="E350" s="14" t="str">
        <f>IF(tab_Geral[[#This Row],[Municípios]]=tab_Geral[[#This Row],[Informação 1]],"","Não!, Erro!")</f>
        <v/>
      </c>
      <c r="F350" s="14" t="str">
        <f>IF(tab_Geral[[#This Row],[Municípios]]=tab_Geral[[#This Row],[Município]],"","Não!, Erro!")</f>
        <v/>
      </c>
      <c r="G350" s="14" t="str">
        <f>VLOOKUP(tab_Geral[[#This Row],[GeoCodigo]],tab_CETESB[],2,FALSE)</f>
        <v>Mombuca</v>
      </c>
      <c r="H350" s="14" t="str">
        <f>VLOOKUP(tab_Geral[[#This Row],[Informação 3]],tab_AgênciaAmbiental,10,FALSE)</f>
        <v>10</v>
      </c>
      <c r="I350" s="14" t="s">
        <v>348</v>
      </c>
      <c r="J350" s="18" t="s">
        <v>348</v>
      </c>
      <c r="K350" s="17"/>
      <c r="L350" s="17" t="s">
        <v>1891</v>
      </c>
      <c r="M350" s="17" t="s">
        <v>898</v>
      </c>
      <c r="N350" s="17" t="s">
        <v>899</v>
      </c>
      <c r="O350" s="17" t="s">
        <v>900</v>
      </c>
      <c r="P350" s="17" t="s">
        <v>901</v>
      </c>
      <c r="Q350" s="17" t="s">
        <v>902</v>
      </c>
      <c r="R350" s="17" t="s">
        <v>903</v>
      </c>
      <c r="S350" s="17" t="s">
        <v>904</v>
      </c>
      <c r="T350" s="15"/>
    </row>
    <row r="351" spans="1:20" x14ac:dyDescent="0.25">
      <c r="A351" s="14">
        <v>340</v>
      </c>
      <c r="B351" s="14">
        <v>3531001</v>
      </c>
      <c r="C351" s="14" t="str">
        <f>IF(ISERR(FIND("-",tab_Geral[[#This Row],[Municípios]],1)),"","Têm Hifen")</f>
        <v/>
      </c>
      <c r="D351" s="14" t="str">
        <f>IF(tab_Geral[[#This Row],[Informação 3]]&lt;&gt;"","","Não Registrado")</f>
        <v/>
      </c>
      <c r="E351" s="14" t="str">
        <f>IF(tab_Geral[[#This Row],[Municípios]]=tab_Geral[[#This Row],[Informação 1]],"","Não!, Erro!")</f>
        <v/>
      </c>
      <c r="F351" s="14" t="str">
        <f>IF(tab_Geral[[#This Row],[Municípios]]=tab_Geral[[#This Row],[Município]],"","Não!, Erro!")</f>
        <v/>
      </c>
      <c r="G351" s="14" t="str">
        <f>VLOOKUP(tab_Geral[[#This Row],[GeoCodigo]],tab_CETESB[],2,FALSE)</f>
        <v>Monções</v>
      </c>
      <c r="H351" s="14" t="str">
        <f>VLOOKUP(tab_Geral[[#This Row],[Informação 3]],tab_AgênciaAmbiental,10,FALSE)</f>
        <v>41</v>
      </c>
      <c r="I351" s="14" t="s">
        <v>349</v>
      </c>
      <c r="J351" s="18" t="s">
        <v>349</v>
      </c>
      <c r="K351" s="17"/>
      <c r="L351" s="17" t="s">
        <v>1922</v>
      </c>
      <c r="M351" s="17" t="s">
        <v>739</v>
      </c>
      <c r="N351" s="17" t="s">
        <v>740</v>
      </c>
      <c r="O351" s="17" t="s">
        <v>741</v>
      </c>
      <c r="P351" s="17" t="s">
        <v>742</v>
      </c>
      <c r="Q351" s="17" t="s">
        <v>743</v>
      </c>
      <c r="R351" s="17" t="s">
        <v>744</v>
      </c>
      <c r="S351" s="17" t="s">
        <v>745</v>
      </c>
      <c r="T351" s="15"/>
    </row>
    <row r="352" spans="1:20" x14ac:dyDescent="0.25">
      <c r="A352" s="14">
        <v>341</v>
      </c>
      <c r="B352" s="14">
        <v>3531100</v>
      </c>
      <c r="C352" s="14" t="str">
        <f>IF(ISERR(FIND("-",tab_Geral[[#This Row],[Municípios]],1)),"","Têm Hifen")</f>
        <v/>
      </c>
      <c r="D352" s="14" t="str">
        <f>IF(tab_Geral[[#This Row],[Informação 3]]&lt;&gt;"","","Não Registrado")</f>
        <v/>
      </c>
      <c r="E352" s="14" t="str">
        <f>IF(tab_Geral[[#This Row],[Municípios]]=tab_Geral[[#This Row],[Informação 1]],"","Não!, Erro!")</f>
        <v/>
      </c>
      <c r="F352" s="14" t="str">
        <f>IF(tab_Geral[[#This Row],[Municípios]]=tab_Geral[[#This Row],[Município]],"","Não!, Erro!")</f>
        <v/>
      </c>
      <c r="G352" s="14" t="str">
        <f>VLOOKUP(tab_Geral[[#This Row],[GeoCodigo]],tab_CETESB[],2,FALSE)</f>
        <v>Mongaguá</v>
      </c>
      <c r="H352" s="14" t="str">
        <f>VLOOKUP(tab_Geral[[#This Row],[Informação 3]],tab_AgênciaAmbiental,10,FALSE)</f>
        <v>33</v>
      </c>
      <c r="I352" s="14" t="s">
        <v>350</v>
      </c>
      <c r="J352" s="18" t="s">
        <v>350</v>
      </c>
      <c r="K352" s="17"/>
      <c r="L352" s="17" t="s">
        <v>1914</v>
      </c>
      <c r="M352" s="17" t="s">
        <v>926</v>
      </c>
      <c r="N352" s="17" t="s">
        <v>927</v>
      </c>
      <c r="O352" s="17" t="s">
        <v>928</v>
      </c>
      <c r="P352" s="17" t="s">
        <v>929</v>
      </c>
      <c r="Q352" s="17" t="s">
        <v>930</v>
      </c>
      <c r="R352" s="17" t="s">
        <v>931</v>
      </c>
      <c r="S352" s="17" t="s">
        <v>932</v>
      </c>
      <c r="T352" s="15"/>
    </row>
    <row r="353" spans="1:20" x14ac:dyDescent="0.25">
      <c r="A353" s="14">
        <v>342</v>
      </c>
      <c r="B353" s="14">
        <v>3531209</v>
      </c>
      <c r="C353" s="14" t="str">
        <f>IF(ISERR(FIND("-",tab_Geral[[#This Row],[Municípios]],1)),"","Têm Hifen")</f>
        <v/>
      </c>
      <c r="D353" s="14" t="str">
        <f>IF(tab_Geral[[#This Row],[Informação 3]]&lt;&gt;"","","Não Registrado")</f>
        <v/>
      </c>
      <c r="E353" s="14" t="str">
        <f>IF(tab_Geral[[#This Row],[Municípios]]=tab_Geral[[#This Row],[Informação 1]],"","Não!, Erro!")</f>
        <v/>
      </c>
      <c r="F353" s="14" t="str">
        <f>IF(tab_Geral[[#This Row],[Municípios]]=tab_Geral[[#This Row],[Município]],"","Não!, Erro!")</f>
        <v/>
      </c>
      <c r="G353" s="14" t="str">
        <f>VLOOKUP(tab_Geral[[#This Row],[GeoCodigo]],tab_CETESB[],2,FALSE)</f>
        <v>Monte Alegre do Sul</v>
      </c>
      <c r="H353" s="14" t="str">
        <f>VLOOKUP(tab_Geral[[#This Row],[Informação 3]],tab_AgênciaAmbiental,10,FALSE)</f>
        <v>27</v>
      </c>
      <c r="I353" s="14" t="s">
        <v>351</v>
      </c>
      <c r="J353" s="18" t="s">
        <v>351</v>
      </c>
      <c r="K353" s="17"/>
      <c r="L353" s="17" t="s">
        <v>1908</v>
      </c>
      <c r="M353" s="17" t="s">
        <v>767</v>
      </c>
      <c r="N353" s="17" t="s">
        <v>768</v>
      </c>
      <c r="O353" s="17" t="s">
        <v>769</v>
      </c>
      <c r="P353" s="17" t="s">
        <v>770</v>
      </c>
      <c r="Q353" s="17" t="s">
        <v>771</v>
      </c>
      <c r="R353" s="17" t="s">
        <v>772</v>
      </c>
      <c r="S353" s="17" t="s">
        <v>773</v>
      </c>
      <c r="T353" s="15"/>
    </row>
    <row r="354" spans="1:20" x14ac:dyDescent="0.25">
      <c r="A354" s="14">
        <v>343</v>
      </c>
      <c r="B354" s="14">
        <v>3531308</v>
      </c>
      <c r="C354" s="14" t="str">
        <f>IF(ISERR(FIND("-",tab_Geral[[#This Row],[Municípios]],1)),"","Têm Hifen")</f>
        <v/>
      </c>
      <c r="D354" s="14" t="str">
        <f>IF(tab_Geral[[#This Row],[Informação 3]]&lt;&gt;"","","Não Registrado")</f>
        <v/>
      </c>
      <c r="E354" s="14" t="str">
        <f>IF(tab_Geral[[#This Row],[Municípios]]=tab_Geral[[#This Row],[Informação 1]],"","Não!, Erro!")</f>
        <v/>
      </c>
      <c r="F354" s="14" t="str">
        <f>IF(tab_Geral[[#This Row],[Municípios]]=tab_Geral[[#This Row],[Município]],"","Não!, Erro!")</f>
        <v/>
      </c>
      <c r="G354" s="14" t="str">
        <f>VLOOKUP(tab_Geral[[#This Row],[GeoCodigo]],tab_CETESB[],2,FALSE)</f>
        <v>Monte Alto</v>
      </c>
      <c r="H354" s="14" t="str">
        <f>VLOOKUP(tab_Geral[[#This Row],[Informação 3]],tab_AgênciaAmbiental,10,FALSE)</f>
        <v>19</v>
      </c>
      <c r="I354" s="14" t="s">
        <v>352</v>
      </c>
      <c r="J354" s="18" t="s">
        <v>352</v>
      </c>
      <c r="K354" s="17"/>
      <c r="L354" s="17" t="s">
        <v>1900</v>
      </c>
      <c r="M354" s="17" t="s">
        <v>850</v>
      </c>
      <c r="N354" s="17" t="s">
        <v>851</v>
      </c>
      <c r="O354" s="17" t="s">
        <v>852</v>
      </c>
      <c r="P354" s="17" t="s">
        <v>853</v>
      </c>
      <c r="Q354" s="17" t="s">
        <v>854</v>
      </c>
      <c r="R354" s="17" t="s">
        <v>855</v>
      </c>
      <c r="S354" s="17" t="s">
        <v>856</v>
      </c>
      <c r="T354" s="15"/>
    </row>
    <row r="355" spans="1:20" x14ac:dyDescent="0.25">
      <c r="A355" s="14">
        <v>344</v>
      </c>
      <c r="B355" s="14">
        <v>3531407</v>
      </c>
      <c r="C355" s="14" t="str">
        <f>IF(ISERR(FIND("-",tab_Geral[[#This Row],[Municípios]],1)),"","Têm Hifen")</f>
        <v/>
      </c>
      <c r="D355" s="14" t="str">
        <f>IF(tab_Geral[[#This Row],[Informação 3]]&lt;&gt;"","","Não Registrado")</f>
        <v/>
      </c>
      <c r="E355" s="14" t="str">
        <f>IF(tab_Geral[[#This Row],[Municípios]]=tab_Geral[[#This Row],[Informação 1]],"","Não!, Erro!")</f>
        <v/>
      </c>
      <c r="F355" s="14" t="str">
        <f>IF(tab_Geral[[#This Row],[Municípios]]=tab_Geral[[#This Row],[Município]],"","Não!, Erro!")</f>
        <v/>
      </c>
      <c r="G355" s="14" t="str">
        <f>VLOOKUP(tab_Geral[[#This Row],[GeoCodigo]],tab_CETESB[],2,FALSE)</f>
        <v>Monte Aprazível</v>
      </c>
      <c r="H355" s="14" t="str">
        <f>VLOOKUP(tab_Geral[[#This Row],[Informação 3]],tab_AgênciaAmbiental,10,FALSE)</f>
        <v>41</v>
      </c>
      <c r="I355" s="14" t="s">
        <v>353</v>
      </c>
      <c r="J355" s="18" t="s">
        <v>353</v>
      </c>
      <c r="K355" s="17"/>
      <c r="L355" s="17" t="s">
        <v>1922</v>
      </c>
      <c r="M355" s="17" t="s">
        <v>739</v>
      </c>
      <c r="N355" s="17" t="s">
        <v>740</v>
      </c>
      <c r="O355" s="17" t="s">
        <v>741</v>
      </c>
      <c r="P355" s="17" t="s">
        <v>742</v>
      </c>
      <c r="Q355" s="17" t="s">
        <v>743</v>
      </c>
      <c r="R355" s="17" t="s">
        <v>744</v>
      </c>
      <c r="S355" s="17" t="s">
        <v>745</v>
      </c>
      <c r="T355" s="15"/>
    </row>
    <row r="356" spans="1:20" x14ac:dyDescent="0.25">
      <c r="A356" s="14">
        <v>345</v>
      </c>
      <c r="B356" s="14">
        <v>3531506</v>
      </c>
      <c r="C356" s="14" t="str">
        <f>IF(ISERR(FIND("-",tab_Geral[[#This Row],[Municípios]],1)),"","Têm Hifen")</f>
        <v/>
      </c>
      <c r="D356" s="14" t="str">
        <f>IF(tab_Geral[[#This Row],[Informação 3]]&lt;&gt;"","","Não Registrado")</f>
        <v/>
      </c>
      <c r="E356" s="14" t="str">
        <f>IF(tab_Geral[[#This Row],[Municípios]]=tab_Geral[[#This Row],[Informação 1]],"","Não!, Erro!")</f>
        <v/>
      </c>
      <c r="F356" s="14" t="str">
        <f>IF(tab_Geral[[#This Row],[Municípios]]=tab_Geral[[#This Row],[Município]],"","Não!, Erro!")</f>
        <v/>
      </c>
      <c r="G356" s="14" t="str">
        <f>VLOOKUP(tab_Geral[[#This Row],[GeoCodigo]],tab_CETESB[],2,FALSE)</f>
        <v>Monte Azul Paulista</v>
      </c>
      <c r="H356" s="14" t="str">
        <f>VLOOKUP(tab_Geral[[#This Row],[Informação 3]],tab_AgênciaAmbiental,10,FALSE)</f>
        <v>7</v>
      </c>
      <c r="I356" s="14" t="s">
        <v>354</v>
      </c>
      <c r="J356" s="18" t="s">
        <v>354</v>
      </c>
      <c r="K356" s="17"/>
      <c r="L356" s="17" t="s">
        <v>1888</v>
      </c>
      <c r="M356" s="17" t="s">
        <v>713</v>
      </c>
      <c r="N356" s="17" t="s">
        <v>714</v>
      </c>
      <c r="O356" s="17" t="s">
        <v>715</v>
      </c>
      <c r="P356" s="17" t="s">
        <v>716</v>
      </c>
      <c r="Q356" s="17" t="s">
        <v>717</v>
      </c>
      <c r="R356" s="17" t="s">
        <v>718</v>
      </c>
      <c r="S356" s="17" t="s">
        <v>719</v>
      </c>
      <c r="T356" s="15"/>
    </row>
    <row r="357" spans="1:20" x14ac:dyDescent="0.25">
      <c r="A357" s="14">
        <v>346</v>
      </c>
      <c r="B357" s="14">
        <v>3531605</v>
      </c>
      <c r="C357" s="14" t="str">
        <f>IF(ISERR(FIND("-",tab_Geral[[#This Row],[Municípios]],1)),"","Têm Hifen")</f>
        <v/>
      </c>
      <c r="D357" s="14" t="str">
        <f>IF(tab_Geral[[#This Row],[Informação 3]]&lt;&gt;"","","Não Registrado")</f>
        <v/>
      </c>
      <c r="E357" s="14" t="str">
        <f>IF(tab_Geral[[#This Row],[Municípios]]=tab_Geral[[#This Row],[Informação 1]],"","Não!, Erro!")</f>
        <v/>
      </c>
      <c r="F357" s="14" t="str">
        <f>IF(tab_Geral[[#This Row],[Municípios]]=tab_Geral[[#This Row],[Município]],"","Não!, Erro!")</f>
        <v/>
      </c>
      <c r="G357" s="14" t="str">
        <f>VLOOKUP(tab_Geral[[#This Row],[GeoCodigo]],tab_CETESB[],2,FALSE)</f>
        <v>Monte Castelo</v>
      </c>
      <c r="H357" s="14" t="str">
        <f>VLOOKUP(tab_Geral[[#This Row],[Informação 3]],tab_AgênciaAmbiental,10,FALSE)</f>
        <v>13</v>
      </c>
      <c r="I357" s="14" t="s">
        <v>355</v>
      </c>
      <c r="J357" s="18" t="s">
        <v>355</v>
      </c>
      <c r="K357" s="17"/>
      <c r="L357" s="17" t="s">
        <v>1894</v>
      </c>
      <c r="M357" s="17" t="s">
        <v>656</v>
      </c>
      <c r="N357" s="17" t="s">
        <v>657</v>
      </c>
      <c r="O357" s="17" t="s">
        <v>658</v>
      </c>
      <c r="P357" s="17" t="s">
        <v>659</v>
      </c>
      <c r="Q357" s="17" t="s">
        <v>660</v>
      </c>
      <c r="R357" s="17" t="s">
        <v>661</v>
      </c>
      <c r="S357" s="17" t="s">
        <v>662</v>
      </c>
      <c r="T357" s="15"/>
    </row>
    <row r="358" spans="1:20" x14ac:dyDescent="0.25">
      <c r="A358" s="14">
        <v>347</v>
      </c>
      <c r="B358" s="14">
        <v>3531803</v>
      </c>
      <c r="C358" s="14" t="str">
        <f>IF(ISERR(FIND("-",tab_Geral[[#This Row],[Municípios]],1)),"","Têm Hifen")</f>
        <v/>
      </c>
      <c r="D358" s="14" t="str">
        <f>IF(tab_Geral[[#This Row],[Informação 3]]&lt;&gt;"","","Não Registrado")</f>
        <v/>
      </c>
      <c r="E358" s="14" t="str">
        <f>IF(tab_Geral[[#This Row],[Municípios]]=tab_Geral[[#This Row],[Informação 1]],"","Não!, Erro!")</f>
        <v/>
      </c>
      <c r="F358" s="14" t="str">
        <f>IF(tab_Geral[[#This Row],[Municípios]]=tab_Geral[[#This Row],[Município]],"","Não!, Erro!")</f>
        <v/>
      </c>
      <c r="G358" s="14" t="str">
        <f>VLOOKUP(tab_Geral[[#This Row],[GeoCodigo]],tab_CETESB[],2,FALSE)</f>
        <v>Monte Mor</v>
      </c>
      <c r="H358" s="14" t="str">
        <f>VLOOKUP(tab_Geral[[#This Row],[Informação 3]],tab_AgênciaAmbiental,10,FALSE)</f>
        <v>10</v>
      </c>
      <c r="I358" s="14" t="s">
        <v>356</v>
      </c>
      <c r="J358" s="18" t="s">
        <v>356</v>
      </c>
      <c r="K358" s="17"/>
      <c r="L358" s="17" t="s">
        <v>1891</v>
      </c>
      <c r="M358" s="17" t="s">
        <v>898</v>
      </c>
      <c r="N358" s="17" t="s">
        <v>899</v>
      </c>
      <c r="O358" s="17" t="s">
        <v>900</v>
      </c>
      <c r="P358" s="17" t="s">
        <v>901</v>
      </c>
      <c r="Q358" s="17" t="s">
        <v>902</v>
      </c>
      <c r="R358" s="17" t="s">
        <v>903</v>
      </c>
      <c r="S358" s="17" t="s">
        <v>904</v>
      </c>
      <c r="T358" s="15"/>
    </row>
    <row r="359" spans="1:20" x14ac:dyDescent="0.25">
      <c r="A359" s="14">
        <v>348</v>
      </c>
      <c r="B359" s="14">
        <v>3531704</v>
      </c>
      <c r="C359" s="14" t="str">
        <f>IF(ISERR(FIND("-",tab_Geral[[#This Row],[Municípios]],1)),"","Têm Hifen")</f>
        <v/>
      </c>
      <c r="D359" s="14" t="str">
        <f>IF(tab_Geral[[#This Row],[Informação 3]]&lt;&gt;"","","Não Registrado")</f>
        <v/>
      </c>
      <c r="E359" s="14" t="str">
        <f>IF(tab_Geral[[#This Row],[Municípios]]=tab_Geral[[#This Row],[Informação 1]],"","Não!, Erro!")</f>
        <v/>
      </c>
      <c r="F359" s="14" t="str">
        <f>IF(tab_Geral[[#This Row],[Municípios]]=tab_Geral[[#This Row],[Município]],"","Não!, Erro!")</f>
        <v/>
      </c>
      <c r="G359" s="14" t="str">
        <f>VLOOKUP(tab_Geral[[#This Row],[GeoCodigo]],tab_CETESB[],2,FALSE)</f>
        <v>Monteiro Lobato</v>
      </c>
      <c r="H359" s="14" t="str">
        <f>VLOOKUP(tab_Geral[[#This Row],[Informação 3]],tab_AgênciaAmbiental,10,FALSE)</f>
        <v>37</v>
      </c>
      <c r="I359" s="14" t="s">
        <v>357</v>
      </c>
      <c r="J359" s="18" t="s">
        <v>357</v>
      </c>
      <c r="K359" s="17"/>
      <c r="L359" s="17" t="s">
        <v>1918</v>
      </c>
      <c r="M359" s="17" t="s">
        <v>891</v>
      </c>
      <c r="N359" s="17" t="s">
        <v>892</v>
      </c>
      <c r="O359" s="17" t="s">
        <v>893</v>
      </c>
      <c r="P359" s="17" t="s">
        <v>894</v>
      </c>
      <c r="Q359" s="17" t="s">
        <v>895</v>
      </c>
      <c r="R359" s="17" t="s">
        <v>896</v>
      </c>
      <c r="S359" s="17" t="s">
        <v>897</v>
      </c>
      <c r="T359" s="15"/>
    </row>
    <row r="360" spans="1:20" x14ac:dyDescent="0.25">
      <c r="A360" s="14">
        <v>349</v>
      </c>
      <c r="B360" s="14">
        <v>3531902</v>
      </c>
      <c r="C360" s="14" t="str">
        <f>IF(ISERR(FIND("-",tab_Geral[[#This Row],[Municípios]],1)),"","Têm Hifen")</f>
        <v/>
      </c>
      <c r="D360" s="14" t="str">
        <f>IF(tab_Geral[[#This Row],[Informação 3]]&lt;&gt;"","","Não Registrado")</f>
        <v/>
      </c>
      <c r="E360" s="14" t="str">
        <f>IF(tab_Geral[[#This Row],[Municípios]]=tab_Geral[[#This Row],[Informação 1]],"","Não!, Erro!")</f>
        <v/>
      </c>
      <c r="F360" s="14" t="str">
        <f>IF(tab_Geral[[#This Row],[Municípios]]=tab_Geral[[#This Row],[Município]],"","Não!, Erro!")</f>
        <v/>
      </c>
      <c r="G360" s="14" t="str">
        <f>VLOOKUP(tab_Geral[[#This Row],[GeoCodigo]],tab_CETESB[],2,FALSE)</f>
        <v>Morro Agudo</v>
      </c>
      <c r="H360" s="14" t="str">
        <f>VLOOKUP(tab_Geral[[#This Row],[Informação 3]],tab_AgênciaAmbiental,10,FALSE)</f>
        <v>31</v>
      </c>
      <c r="I360" s="14" t="s">
        <v>358</v>
      </c>
      <c r="J360" s="18" t="s">
        <v>358</v>
      </c>
      <c r="K360" s="17"/>
      <c r="L360" s="17" t="s">
        <v>1912</v>
      </c>
      <c r="M360" s="17" t="s">
        <v>720</v>
      </c>
      <c r="N360" s="17" t="s">
        <v>721</v>
      </c>
      <c r="O360" s="17" t="s">
        <v>722</v>
      </c>
      <c r="P360" s="17" t="s">
        <v>723</v>
      </c>
      <c r="Q360" s="17" t="s">
        <v>724</v>
      </c>
      <c r="R360" s="17" t="s">
        <v>725</v>
      </c>
      <c r="S360" s="17" t="s">
        <v>726</v>
      </c>
      <c r="T360" s="15"/>
    </row>
    <row r="361" spans="1:20" x14ac:dyDescent="0.25">
      <c r="A361" s="14">
        <v>350</v>
      </c>
      <c r="B361" s="14">
        <v>3532009</v>
      </c>
      <c r="C361" s="14" t="str">
        <f>IF(ISERR(FIND("-",tab_Geral[[#This Row],[Municípios]],1)),"","Têm Hifen")</f>
        <v/>
      </c>
      <c r="D361" s="14" t="str">
        <f>IF(tab_Geral[[#This Row],[Informação 3]]&lt;&gt;"","","Não Registrado")</f>
        <v/>
      </c>
      <c r="E361" s="14" t="str">
        <f>IF(tab_Geral[[#This Row],[Municípios]]=tab_Geral[[#This Row],[Informação 1]],"","Não!, Erro!")</f>
        <v/>
      </c>
      <c r="F361" s="14" t="str">
        <f>IF(tab_Geral[[#This Row],[Municípios]]=tab_Geral[[#This Row],[Município]],"","Não!, Erro!")</f>
        <v/>
      </c>
      <c r="G361" s="14" t="str">
        <f>VLOOKUP(tab_Geral[[#This Row],[GeoCodigo]],tab_CETESB[],2,FALSE)</f>
        <v>Morungaba</v>
      </c>
      <c r="H361" s="14" t="str">
        <f>VLOOKUP(tab_Geral[[#This Row],[Informação 3]],tab_AgênciaAmbiental,10,FALSE)</f>
        <v>27</v>
      </c>
      <c r="I361" s="14" t="s">
        <v>359</v>
      </c>
      <c r="J361" s="18" t="s">
        <v>359</v>
      </c>
      <c r="K361" s="17"/>
      <c r="L361" s="17" t="s">
        <v>1908</v>
      </c>
      <c r="M361" s="17" t="s">
        <v>767</v>
      </c>
      <c r="N361" s="17" t="s">
        <v>768</v>
      </c>
      <c r="O361" s="17" t="s">
        <v>769</v>
      </c>
      <c r="P361" s="17" t="s">
        <v>770</v>
      </c>
      <c r="Q361" s="17" t="s">
        <v>771</v>
      </c>
      <c r="R361" s="17" t="s">
        <v>772</v>
      </c>
      <c r="S361" s="17" t="s">
        <v>773</v>
      </c>
      <c r="T361" s="15"/>
    </row>
    <row r="362" spans="1:20" x14ac:dyDescent="0.25">
      <c r="A362" s="14">
        <v>351</v>
      </c>
      <c r="B362" s="14">
        <v>3532058</v>
      </c>
      <c r="C362" s="14" t="str">
        <f>IF(ISERR(FIND("-",tab_Geral[[#This Row],[Municípios]],1)),"","Têm Hifen")</f>
        <v/>
      </c>
      <c r="D362" s="14" t="str">
        <f>IF(tab_Geral[[#This Row],[Informação 3]]&lt;&gt;"","","Não Registrado")</f>
        <v/>
      </c>
      <c r="E362" s="14" t="str">
        <f>IF(tab_Geral[[#This Row],[Municípios]]=tab_Geral[[#This Row],[Informação 1]],"","Não!, Erro!")</f>
        <v/>
      </c>
      <c r="F362" s="14" t="str">
        <f>IF(tab_Geral[[#This Row],[Municípios]]=tab_Geral[[#This Row],[Município]],"","Não!, Erro!")</f>
        <v/>
      </c>
      <c r="G362" s="14" t="str">
        <f>VLOOKUP(tab_Geral[[#This Row],[GeoCodigo]],tab_CETESB[],2,FALSE)</f>
        <v>Motuca</v>
      </c>
      <c r="H362" s="14" t="str">
        <f>VLOOKUP(tab_Geral[[#This Row],[Informação 3]],tab_AgênciaAmbiental,10,FALSE)</f>
        <v>3</v>
      </c>
      <c r="I362" s="14" t="s">
        <v>360</v>
      </c>
      <c r="J362" s="18" t="s">
        <v>360</v>
      </c>
      <c r="K362" s="17"/>
      <c r="L362" s="17" t="s">
        <v>1884</v>
      </c>
      <c r="M362" s="17" t="s">
        <v>760</v>
      </c>
      <c r="N362" s="17" t="s">
        <v>761</v>
      </c>
      <c r="O362" s="17" t="s">
        <v>762</v>
      </c>
      <c r="P362" s="17" t="s">
        <v>763</v>
      </c>
      <c r="Q362" s="17" t="s">
        <v>764</v>
      </c>
      <c r="R362" s="17" t="s">
        <v>765</v>
      </c>
      <c r="S362" s="17" t="s">
        <v>766</v>
      </c>
      <c r="T362" s="15"/>
    </row>
    <row r="363" spans="1:20" x14ac:dyDescent="0.25">
      <c r="A363" s="14">
        <v>352</v>
      </c>
      <c r="B363" s="14">
        <v>3532108</v>
      </c>
      <c r="C363" s="14" t="str">
        <f>IF(ISERR(FIND("-",tab_Geral[[#This Row],[Municípios]],1)),"","Têm Hifen")</f>
        <v/>
      </c>
      <c r="D363" s="14" t="str">
        <f>IF(tab_Geral[[#This Row],[Informação 3]]&lt;&gt;"","","Não Registrado")</f>
        <v/>
      </c>
      <c r="E363" s="14" t="str">
        <f>IF(tab_Geral[[#This Row],[Municípios]]=tab_Geral[[#This Row],[Informação 1]],"","Não!, Erro!")</f>
        <v/>
      </c>
      <c r="F363" s="14" t="str">
        <f>IF(tab_Geral[[#This Row],[Municípios]]=tab_Geral[[#This Row],[Município]],"","Não!, Erro!")</f>
        <v/>
      </c>
      <c r="G363" s="14" t="str">
        <f>VLOOKUP(tab_Geral[[#This Row],[GeoCodigo]],tab_CETESB[],2,FALSE)</f>
        <v>Murutinga do Sul</v>
      </c>
      <c r="H363" s="14" t="str">
        <f>VLOOKUP(tab_Geral[[#This Row],[Informação 3]],tab_AgênciaAmbiental,10,FALSE)</f>
        <v>13</v>
      </c>
      <c r="I363" s="14" t="s">
        <v>361</v>
      </c>
      <c r="J363" s="18" t="s">
        <v>361</v>
      </c>
      <c r="K363" s="17"/>
      <c r="L363" s="17" t="s">
        <v>1894</v>
      </c>
      <c r="M363" s="17" t="s">
        <v>656</v>
      </c>
      <c r="N363" s="17" t="s">
        <v>657</v>
      </c>
      <c r="O363" s="17" t="s">
        <v>658</v>
      </c>
      <c r="P363" s="17" t="s">
        <v>659</v>
      </c>
      <c r="Q363" s="17" t="s">
        <v>660</v>
      </c>
      <c r="R363" s="17" t="s">
        <v>661</v>
      </c>
      <c r="S363" s="17" t="s">
        <v>662</v>
      </c>
      <c r="T363" s="15"/>
    </row>
    <row r="364" spans="1:20" x14ac:dyDescent="0.25">
      <c r="A364" s="14">
        <v>353</v>
      </c>
      <c r="B364" s="14">
        <v>3532157</v>
      </c>
      <c r="C364" s="14" t="str">
        <f>IF(ISERR(FIND("-",tab_Geral[[#This Row],[Municípios]],1)),"","Têm Hifen")</f>
        <v/>
      </c>
      <c r="D364" s="14" t="str">
        <f>IF(tab_Geral[[#This Row],[Informação 3]]&lt;&gt;"","","Não Registrado")</f>
        <v/>
      </c>
      <c r="E364" s="14" t="str">
        <f>IF(tab_Geral[[#This Row],[Municípios]]=tab_Geral[[#This Row],[Informação 1]],"","Não!, Erro!")</f>
        <v/>
      </c>
      <c r="F364" s="14" t="str">
        <f>IF(tab_Geral[[#This Row],[Municípios]]=tab_Geral[[#This Row],[Município]],"","Não!, Erro!")</f>
        <v/>
      </c>
      <c r="G364" s="14" t="str">
        <f>VLOOKUP(tab_Geral[[#This Row],[GeoCodigo]],tab_CETESB[],2,FALSE)</f>
        <v>Nantes</v>
      </c>
      <c r="H364" s="14" t="str">
        <f>VLOOKUP(tab_Geral[[#This Row],[Informação 3]],tab_AgênciaAmbiental,10,FALSE)</f>
        <v>29</v>
      </c>
      <c r="I364" s="14" t="s">
        <v>362</v>
      </c>
      <c r="J364" s="18" t="s">
        <v>362</v>
      </c>
      <c r="K364" s="17"/>
      <c r="L364" s="17" t="s">
        <v>1910</v>
      </c>
      <c r="M364" s="17" t="s">
        <v>707</v>
      </c>
      <c r="N364" s="17" t="s">
        <v>708</v>
      </c>
      <c r="O364" s="17" t="s">
        <v>709</v>
      </c>
      <c r="P364" s="17" t="s">
        <v>710</v>
      </c>
      <c r="Q364" s="17" t="s">
        <v>711</v>
      </c>
      <c r="R364" s="17" t="s">
        <v>686</v>
      </c>
      <c r="S364" s="17" t="s">
        <v>712</v>
      </c>
      <c r="T364" s="15"/>
    </row>
    <row r="365" spans="1:20" x14ac:dyDescent="0.25">
      <c r="A365" s="14">
        <v>354</v>
      </c>
      <c r="B365" s="14">
        <v>3532207</v>
      </c>
      <c r="C365" s="14" t="str">
        <f>IF(ISERR(FIND("-",tab_Geral[[#This Row],[Municípios]],1)),"","Têm Hifen")</f>
        <v/>
      </c>
      <c r="D365" s="14" t="str">
        <f>IF(tab_Geral[[#This Row],[Informação 3]]&lt;&gt;"","","Não Registrado")</f>
        <v/>
      </c>
      <c r="E365" s="14" t="str">
        <f>IF(tab_Geral[[#This Row],[Municípios]]=tab_Geral[[#This Row],[Informação 1]],"","Não!, Erro!")</f>
        <v/>
      </c>
      <c r="F365" s="14" t="str">
        <f>IF(tab_Geral[[#This Row],[Municípios]]=tab_Geral[[#This Row],[Município]],"","Não!, Erro!")</f>
        <v/>
      </c>
      <c r="G365" s="14" t="str">
        <f>VLOOKUP(tab_Geral[[#This Row],[GeoCodigo]],tab_CETESB[],2,FALSE)</f>
        <v>Narandiba</v>
      </c>
      <c r="H365" s="14" t="str">
        <f>VLOOKUP(tab_Geral[[#This Row],[Informação 3]],tab_AgênciaAmbiental,10,FALSE)</f>
        <v>29</v>
      </c>
      <c r="I365" s="14" t="s">
        <v>363</v>
      </c>
      <c r="J365" s="18" t="s">
        <v>363</v>
      </c>
      <c r="K365" s="17"/>
      <c r="L365" s="17" t="s">
        <v>1910</v>
      </c>
      <c r="M365" s="17" t="s">
        <v>707</v>
      </c>
      <c r="N365" s="17" t="s">
        <v>708</v>
      </c>
      <c r="O365" s="17" t="s">
        <v>709</v>
      </c>
      <c r="P365" s="17" t="s">
        <v>710</v>
      </c>
      <c r="Q365" s="17" t="s">
        <v>711</v>
      </c>
      <c r="R365" s="17" t="s">
        <v>686</v>
      </c>
      <c r="S365" s="17" t="s">
        <v>712</v>
      </c>
      <c r="T365" s="15"/>
    </row>
    <row r="366" spans="1:20" x14ac:dyDescent="0.25">
      <c r="A366" s="14">
        <v>355</v>
      </c>
      <c r="B366" s="14">
        <v>3532306</v>
      </c>
      <c r="C366" s="14" t="str">
        <f>IF(ISERR(FIND("-",tab_Geral[[#This Row],[Municípios]],1)),"","Têm Hifen")</f>
        <v/>
      </c>
      <c r="D366" s="14" t="str">
        <f>IF(tab_Geral[[#This Row],[Informação 3]]&lt;&gt;"","","Não Registrado")</f>
        <v/>
      </c>
      <c r="E366" s="14" t="str">
        <f>IF(tab_Geral[[#This Row],[Municípios]]=tab_Geral[[#This Row],[Informação 1]],"","Não!, Erro!")</f>
        <v/>
      </c>
      <c r="F366" s="14" t="str">
        <f>IF(tab_Geral[[#This Row],[Municípios]]=tab_Geral[[#This Row],[Município]],"","Não!, Erro!")</f>
        <v/>
      </c>
      <c r="G366" s="14" t="str">
        <f>VLOOKUP(tab_Geral[[#This Row],[GeoCodigo]],tab_CETESB[],2,FALSE)</f>
        <v>Natividade da Serra</v>
      </c>
      <c r="H366" s="14" t="str">
        <f>VLOOKUP(tab_Geral[[#This Row],[Informação 3]],tab_AgênciaAmbiental,10,FALSE)</f>
        <v>40</v>
      </c>
      <c r="I366" s="14" t="s">
        <v>364</v>
      </c>
      <c r="J366" s="18" t="s">
        <v>364</v>
      </c>
      <c r="K366" s="17"/>
      <c r="L366" s="17" t="s">
        <v>1921</v>
      </c>
      <c r="M366" s="17" t="s">
        <v>781</v>
      </c>
      <c r="N366" s="17" t="s">
        <v>782</v>
      </c>
      <c r="O366" s="17" t="s">
        <v>783</v>
      </c>
      <c r="P366" s="17" t="s">
        <v>784</v>
      </c>
      <c r="Q366" s="17" t="s">
        <v>785</v>
      </c>
      <c r="R366" s="17" t="s">
        <v>786</v>
      </c>
      <c r="S366" s="17" t="s">
        <v>787</v>
      </c>
      <c r="T366" s="15"/>
    </row>
    <row r="367" spans="1:20" x14ac:dyDescent="0.25">
      <c r="A367" s="14">
        <v>356</v>
      </c>
      <c r="B367" s="14">
        <v>3532405</v>
      </c>
      <c r="C367" s="14" t="str">
        <f>IF(ISERR(FIND("-",tab_Geral[[#This Row],[Municípios]],1)),"","Têm Hifen")</f>
        <v/>
      </c>
      <c r="D367" s="14" t="str">
        <f>IF(tab_Geral[[#This Row],[Informação 3]]&lt;&gt;"","","Não Registrado")</f>
        <v/>
      </c>
      <c r="E367" s="14" t="str">
        <f>IF(tab_Geral[[#This Row],[Municípios]]=tab_Geral[[#This Row],[Informação 1]],"","Não!, Erro!")</f>
        <v/>
      </c>
      <c r="F367" s="14" t="str">
        <f>IF(tab_Geral[[#This Row],[Municípios]]=tab_Geral[[#This Row],[Município]],"","Não!, Erro!")</f>
        <v/>
      </c>
      <c r="G367" s="14" t="str">
        <f>VLOOKUP(tab_Geral[[#This Row],[GeoCodigo]],tab_CETESB[],2,FALSE)</f>
        <v>Nazaré Paulista</v>
      </c>
      <c r="H367" s="14" t="str">
        <f>VLOOKUP(tab_Geral[[#This Row],[Informação 3]],tab_AgênciaAmbiental,10,FALSE)</f>
        <v>5</v>
      </c>
      <c r="I367" s="14" t="s">
        <v>365</v>
      </c>
      <c r="J367" s="18" t="s">
        <v>365</v>
      </c>
      <c r="K367" s="17"/>
      <c r="L367" s="17" t="s">
        <v>1886</v>
      </c>
      <c r="M367" s="17" t="s">
        <v>837</v>
      </c>
      <c r="N367" s="17" t="s">
        <v>657</v>
      </c>
      <c r="O367" s="17" t="s">
        <v>838</v>
      </c>
      <c r="P367" s="17" t="s">
        <v>839</v>
      </c>
      <c r="Q367" s="17" t="s">
        <v>840</v>
      </c>
      <c r="R367" s="17" t="s">
        <v>841</v>
      </c>
      <c r="S367" s="17" t="s">
        <v>842</v>
      </c>
      <c r="T367" s="15"/>
    </row>
    <row r="368" spans="1:20" x14ac:dyDescent="0.25">
      <c r="A368" s="14">
        <v>357</v>
      </c>
      <c r="B368" s="14">
        <v>3532504</v>
      </c>
      <c r="C368" s="14" t="str">
        <f>IF(ISERR(FIND("-",tab_Geral[[#This Row],[Municípios]],1)),"","Têm Hifen")</f>
        <v/>
      </c>
      <c r="D368" s="14" t="str">
        <f>IF(tab_Geral[[#This Row],[Informação 3]]&lt;&gt;"","","Não Registrado")</f>
        <v/>
      </c>
      <c r="E368" s="14" t="str">
        <f>IF(tab_Geral[[#This Row],[Municípios]]=tab_Geral[[#This Row],[Informação 1]],"","Não!, Erro!")</f>
        <v/>
      </c>
      <c r="F368" s="14" t="str">
        <f>IF(tab_Geral[[#This Row],[Municípios]]=tab_Geral[[#This Row],[Município]],"","Não!, Erro!")</f>
        <v/>
      </c>
      <c r="G368" s="14" t="str">
        <f>VLOOKUP(tab_Geral[[#This Row],[GeoCodigo]],tab_CETESB[],2,FALSE)</f>
        <v>Neves Paulista</v>
      </c>
      <c r="H368" s="14" t="str">
        <f>VLOOKUP(tab_Geral[[#This Row],[Informação 3]],tab_AgênciaAmbiental,10,FALSE)</f>
        <v>36</v>
      </c>
      <c r="I368" s="14" t="s">
        <v>366</v>
      </c>
      <c r="J368" s="18" t="s">
        <v>366</v>
      </c>
      <c r="K368" s="17"/>
      <c r="L368" s="17" t="s">
        <v>1917</v>
      </c>
      <c r="M368" s="17" t="s">
        <v>663</v>
      </c>
      <c r="N368" s="17" t="s">
        <v>664</v>
      </c>
      <c r="O368" s="17" t="s">
        <v>665</v>
      </c>
      <c r="P368" s="17" t="s">
        <v>666</v>
      </c>
      <c r="Q368" s="17" t="s">
        <v>667</v>
      </c>
      <c r="R368" s="17" t="s">
        <v>668</v>
      </c>
      <c r="S368" s="17" t="s">
        <v>938</v>
      </c>
    </row>
    <row r="369" spans="1:20" x14ac:dyDescent="0.25">
      <c r="A369" s="14">
        <v>358</v>
      </c>
      <c r="B369" s="14">
        <v>3532603</v>
      </c>
      <c r="C369" s="14" t="str">
        <f>IF(ISERR(FIND("-",tab_Geral[[#This Row],[Municípios]],1)),"","Têm Hifen")</f>
        <v/>
      </c>
      <c r="D369" s="14" t="str">
        <f>IF(tab_Geral[[#This Row],[Informação 3]]&lt;&gt;"","","Não Registrado")</f>
        <v/>
      </c>
      <c r="E369" s="14" t="str">
        <f>IF(tab_Geral[[#This Row],[Municípios]]=tab_Geral[[#This Row],[Informação 1]],"","Não!, Erro!")</f>
        <v/>
      </c>
      <c r="F369" s="14" t="str">
        <f>IF(tab_Geral[[#This Row],[Municípios]]=tab_Geral[[#This Row],[Município]],"","Não!, Erro!")</f>
        <v/>
      </c>
      <c r="G369" s="14" t="str">
        <f>VLOOKUP(tab_Geral[[#This Row],[GeoCodigo]],tab_CETESB[],2,FALSE)</f>
        <v>Nhandeara</v>
      </c>
      <c r="H369" s="14" t="str">
        <f>VLOOKUP(tab_Geral[[#This Row],[Informação 3]],tab_AgênciaAmbiental,10,FALSE)</f>
        <v>41</v>
      </c>
      <c r="I369" s="14" t="s">
        <v>367</v>
      </c>
      <c r="J369" s="18" t="s">
        <v>367</v>
      </c>
      <c r="K369" s="17"/>
      <c r="L369" s="17" t="s">
        <v>1922</v>
      </c>
      <c r="M369" s="17" t="s">
        <v>739</v>
      </c>
      <c r="N369" s="17" t="s">
        <v>740</v>
      </c>
      <c r="O369" s="17" t="s">
        <v>741</v>
      </c>
      <c r="P369" s="17" t="s">
        <v>742</v>
      </c>
      <c r="Q369" s="17" t="s">
        <v>743</v>
      </c>
      <c r="R369" s="17" t="s">
        <v>744</v>
      </c>
      <c r="S369" s="17" t="s">
        <v>745</v>
      </c>
      <c r="T369" s="15"/>
    </row>
    <row r="370" spans="1:20" x14ac:dyDescent="0.25">
      <c r="A370" s="14">
        <v>359</v>
      </c>
      <c r="B370" s="14">
        <v>3532702</v>
      </c>
      <c r="C370" s="14" t="str">
        <f>IF(ISERR(FIND("-",tab_Geral[[#This Row],[Municípios]],1)),"","Têm Hifen")</f>
        <v/>
      </c>
      <c r="D370" s="14" t="str">
        <f>IF(tab_Geral[[#This Row],[Informação 3]]&lt;&gt;"","","Não Registrado")</f>
        <v/>
      </c>
      <c r="E370" s="14" t="str">
        <f>IF(tab_Geral[[#This Row],[Municípios]]=tab_Geral[[#This Row],[Informação 1]],"","Não!, Erro!")</f>
        <v/>
      </c>
      <c r="F370" s="14" t="str">
        <f>IF(tab_Geral[[#This Row],[Municípios]]=tab_Geral[[#This Row],[Município]],"","Não!, Erro!")</f>
        <v/>
      </c>
      <c r="G370" s="14" t="str">
        <f>VLOOKUP(tab_Geral[[#This Row],[GeoCodigo]],tab_CETESB[],2,FALSE)</f>
        <v>Nipoã</v>
      </c>
      <c r="H370" s="14" t="str">
        <f>VLOOKUP(tab_Geral[[#This Row],[Informação 3]],tab_AgênciaAmbiental,10,FALSE)</f>
        <v>36</v>
      </c>
      <c r="I370" s="14" t="s">
        <v>368</v>
      </c>
      <c r="J370" s="18" t="s">
        <v>368</v>
      </c>
      <c r="K370" s="17"/>
      <c r="L370" s="17" t="s">
        <v>1917</v>
      </c>
      <c r="M370" s="17" t="s">
        <v>663</v>
      </c>
      <c r="N370" s="17" t="s">
        <v>664</v>
      </c>
      <c r="O370" s="17" t="s">
        <v>665</v>
      </c>
      <c r="P370" s="17" t="s">
        <v>666</v>
      </c>
      <c r="Q370" s="17" t="s">
        <v>667</v>
      </c>
      <c r="R370" s="17" t="s">
        <v>668</v>
      </c>
      <c r="S370" s="17" t="s">
        <v>938</v>
      </c>
    </row>
    <row r="371" spans="1:20" x14ac:dyDescent="0.25">
      <c r="A371" s="14">
        <v>360</v>
      </c>
      <c r="B371" s="14">
        <v>3532801</v>
      </c>
      <c r="C371" s="14" t="str">
        <f>IF(ISERR(FIND("-",tab_Geral[[#This Row],[Municípios]],1)),"","Têm Hifen")</f>
        <v/>
      </c>
      <c r="D371" s="14" t="str">
        <f>IF(tab_Geral[[#This Row],[Informação 3]]&lt;&gt;"","","Não Registrado")</f>
        <v/>
      </c>
      <c r="E371" s="14" t="str">
        <f>IF(tab_Geral[[#This Row],[Municípios]]=tab_Geral[[#This Row],[Informação 1]],"","Não!, Erro!")</f>
        <v/>
      </c>
      <c r="F371" s="14" t="str">
        <f>IF(tab_Geral[[#This Row],[Municípios]]=tab_Geral[[#This Row],[Município]],"","Não!, Erro!")</f>
        <v/>
      </c>
      <c r="G371" s="14" t="str">
        <f>VLOOKUP(tab_Geral[[#This Row],[GeoCodigo]],tab_CETESB[],2,FALSE)</f>
        <v>Nova Aliança</v>
      </c>
      <c r="H371" s="14" t="str">
        <f>VLOOKUP(tab_Geral[[#This Row],[Informação 3]],tab_AgênciaAmbiental,10,FALSE)</f>
        <v>36</v>
      </c>
      <c r="I371" s="14" t="s">
        <v>369</v>
      </c>
      <c r="J371" s="18" t="s">
        <v>369</v>
      </c>
      <c r="K371" s="17"/>
      <c r="L371" s="17" t="s">
        <v>1917</v>
      </c>
      <c r="M371" s="17" t="s">
        <v>663</v>
      </c>
      <c r="N371" s="17" t="s">
        <v>664</v>
      </c>
      <c r="O371" s="17" t="s">
        <v>665</v>
      </c>
      <c r="P371" s="17" t="s">
        <v>666</v>
      </c>
      <c r="Q371" s="17" t="s">
        <v>667</v>
      </c>
      <c r="R371" s="17" t="s">
        <v>668</v>
      </c>
      <c r="S371" s="17" t="s">
        <v>938</v>
      </c>
    </row>
    <row r="372" spans="1:20" x14ac:dyDescent="0.25">
      <c r="A372" s="14">
        <v>361</v>
      </c>
      <c r="B372" s="14">
        <v>3532827</v>
      </c>
      <c r="C372" s="14" t="str">
        <f>IF(ISERR(FIND("-",tab_Geral[[#This Row],[Municípios]],1)),"","Têm Hifen")</f>
        <v/>
      </c>
      <c r="D372" s="14" t="str">
        <f>IF(tab_Geral[[#This Row],[Informação 3]]&lt;&gt;"","","Não Registrado")</f>
        <v/>
      </c>
      <c r="E372" s="14" t="str">
        <f>IF(tab_Geral[[#This Row],[Municípios]]=tab_Geral[[#This Row],[Informação 1]],"","Não!, Erro!")</f>
        <v/>
      </c>
      <c r="F372" s="14" t="str">
        <f>IF(tab_Geral[[#This Row],[Municípios]]=tab_Geral[[#This Row],[Município]],"","Não!, Erro!")</f>
        <v/>
      </c>
      <c r="G372" s="14" t="str">
        <f>VLOOKUP(tab_Geral[[#This Row],[GeoCodigo]],tab_CETESB[],2,FALSE)</f>
        <v>Nova Campina</v>
      </c>
      <c r="H372" s="14" t="str">
        <f>VLOOKUP(tab_Geral[[#This Row],[Informação 3]],tab_AgênciaAmbiental,10,FALSE)</f>
        <v>11</v>
      </c>
      <c r="I372" s="14" t="s">
        <v>370</v>
      </c>
      <c r="J372" s="18" t="s">
        <v>370</v>
      </c>
      <c r="K372" s="17"/>
      <c r="L372" s="17" t="s">
        <v>1892</v>
      </c>
      <c r="M372" s="17" t="s">
        <v>795</v>
      </c>
      <c r="N372" s="17" t="s">
        <v>796</v>
      </c>
      <c r="O372" s="17" t="s">
        <v>797</v>
      </c>
      <c r="P372" s="17" t="s">
        <v>798</v>
      </c>
      <c r="Q372" s="17" t="s">
        <v>799</v>
      </c>
      <c r="R372" s="17" t="s">
        <v>800</v>
      </c>
      <c r="S372" s="17" t="s">
        <v>801</v>
      </c>
      <c r="T372" s="15"/>
    </row>
    <row r="373" spans="1:20" x14ac:dyDescent="0.25">
      <c r="A373" s="14">
        <v>362</v>
      </c>
      <c r="B373" s="14">
        <v>3532843</v>
      </c>
      <c r="C373" s="14" t="str">
        <f>IF(ISERR(FIND("-",tab_Geral[[#This Row],[Municípios]],1)),"","Têm Hifen")</f>
        <v/>
      </c>
      <c r="D373" s="14" t="str">
        <f>IF(tab_Geral[[#This Row],[Informação 3]]&lt;&gt;"","","Não Registrado")</f>
        <v/>
      </c>
      <c r="E373" s="14" t="str">
        <f>IF(tab_Geral[[#This Row],[Municípios]]=tab_Geral[[#This Row],[Informação 1]],"","Não!, Erro!")</f>
        <v/>
      </c>
      <c r="F373" s="14" t="str">
        <f>IF(tab_Geral[[#This Row],[Municípios]]=tab_Geral[[#This Row],[Município]],"","Não!, Erro!")</f>
        <v/>
      </c>
      <c r="G373" s="14" t="str">
        <f>VLOOKUP(tab_Geral[[#This Row],[GeoCodigo]],tab_CETESB[],2,FALSE)</f>
        <v>Nova Canaã Paulista</v>
      </c>
      <c r="H373" s="14" t="str">
        <f>VLOOKUP(tab_Geral[[#This Row],[Informação 3]],tab_AgênciaAmbiental,10,FALSE)</f>
        <v>20</v>
      </c>
      <c r="I373" s="14" t="s">
        <v>371</v>
      </c>
      <c r="J373" s="18" t="s">
        <v>371</v>
      </c>
      <c r="K373" s="17"/>
      <c r="L373" s="17" t="s">
        <v>1901</v>
      </c>
      <c r="M373" s="17" t="s">
        <v>788</v>
      </c>
      <c r="N373" s="17" t="s">
        <v>789</v>
      </c>
      <c r="O373" s="17" t="s">
        <v>790</v>
      </c>
      <c r="P373" s="17" t="s">
        <v>791</v>
      </c>
      <c r="Q373" s="17" t="s">
        <v>792</v>
      </c>
      <c r="R373" s="17" t="s">
        <v>793</v>
      </c>
      <c r="S373" s="17" t="s">
        <v>794</v>
      </c>
      <c r="T373" s="15"/>
    </row>
    <row r="374" spans="1:20" x14ac:dyDescent="0.25">
      <c r="A374" s="14">
        <v>363</v>
      </c>
      <c r="B374" s="14">
        <v>3532868</v>
      </c>
      <c r="C374" s="14" t="str">
        <f>IF(ISERR(FIND("-",tab_Geral[[#This Row],[Municípios]],1)),"","Têm Hifen")</f>
        <v/>
      </c>
      <c r="D374" s="14" t="str">
        <f>IF(tab_Geral[[#This Row],[Informação 3]]&lt;&gt;"","","Não Registrado")</f>
        <v/>
      </c>
      <c r="E374" s="14" t="str">
        <f>IF(tab_Geral[[#This Row],[Municípios]]=tab_Geral[[#This Row],[Informação 1]],"","Não!, Erro!")</f>
        <v/>
      </c>
      <c r="F374" s="14" t="str">
        <f>IF(tab_Geral[[#This Row],[Municípios]]=tab_Geral[[#This Row],[Município]],"","Não!, Erro!")</f>
        <v/>
      </c>
      <c r="G374" s="14" t="str">
        <f>VLOOKUP(tab_Geral[[#This Row],[GeoCodigo]],tab_CETESB[],2,FALSE)</f>
        <v>Nova Castilho</v>
      </c>
      <c r="H374" s="14" t="str">
        <f>VLOOKUP(tab_Geral[[#This Row],[Informação 3]],tab_AgênciaAmbiental,10,FALSE)</f>
        <v>41</v>
      </c>
      <c r="I374" s="14" t="s">
        <v>372</v>
      </c>
      <c r="J374" s="18" t="s">
        <v>372</v>
      </c>
      <c r="K374" s="17"/>
      <c r="L374" s="17" t="s">
        <v>1922</v>
      </c>
      <c r="M374" s="17" t="s">
        <v>739</v>
      </c>
      <c r="N374" s="17" t="s">
        <v>740</v>
      </c>
      <c r="O374" s="17" t="s">
        <v>741</v>
      </c>
      <c r="P374" s="17" t="s">
        <v>742</v>
      </c>
      <c r="Q374" s="17" t="s">
        <v>743</v>
      </c>
      <c r="R374" s="17" t="s">
        <v>744</v>
      </c>
      <c r="S374" s="17" t="s">
        <v>745</v>
      </c>
      <c r="T374" s="15"/>
    </row>
    <row r="375" spans="1:20" x14ac:dyDescent="0.25">
      <c r="A375" s="14">
        <v>364</v>
      </c>
      <c r="B375" s="14">
        <v>3532900</v>
      </c>
      <c r="C375" s="14" t="str">
        <f>IF(ISERR(FIND("-",tab_Geral[[#This Row],[Municípios]],1)),"","Têm Hifen")</f>
        <v/>
      </c>
      <c r="D375" s="14" t="str">
        <f>IF(tab_Geral[[#This Row],[Informação 3]]&lt;&gt;"","","Não Registrado")</f>
        <v/>
      </c>
      <c r="E375" s="14" t="str">
        <f>IF(tab_Geral[[#This Row],[Municípios]]=tab_Geral[[#This Row],[Informação 1]],"","Não!, Erro!")</f>
        <v/>
      </c>
      <c r="F375" s="14" t="str">
        <f>IF(tab_Geral[[#This Row],[Municípios]]=tab_Geral[[#This Row],[Município]],"","Não!, Erro!")</f>
        <v/>
      </c>
      <c r="G375" s="14" t="str">
        <f>VLOOKUP(tab_Geral[[#This Row],[GeoCodigo]],tab_CETESB[],2,FALSE)</f>
        <v>Nova Europa</v>
      </c>
      <c r="H375" s="14" t="str">
        <f>VLOOKUP(tab_Geral[[#This Row],[Informação 3]],tab_AgênciaAmbiental,10,FALSE)</f>
        <v>3</v>
      </c>
      <c r="I375" s="14" t="s">
        <v>373</v>
      </c>
      <c r="J375" s="18" t="s">
        <v>373</v>
      </c>
      <c r="K375" s="17"/>
      <c r="L375" s="17" t="s">
        <v>1884</v>
      </c>
      <c r="M375" s="17" t="s">
        <v>760</v>
      </c>
      <c r="N375" s="17" t="s">
        <v>761</v>
      </c>
      <c r="O375" s="17" t="s">
        <v>762</v>
      </c>
      <c r="P375" s="17" t="s">
        <v>763</v>
      </c>
      <c r="Q375" s="17" t="s">
        <v>764</v>
      </c>
      <c r="R375" s="17" t="s">
        <v>765</v>
      </c>
      <c r="S375" s="17" t="s">
        <v>766</v>
      </c>
      <c r="T375" s="15"/>
    </row>
    <row r="376" spans="1:20" x14ac:dyDescent="0.25">
      <c r="A376" s="14">
        <v>365</v>
      </c>
      <c r="B376" s="14">
        <v>3533007</v>
      </c>
      <c r="C376" s="14" t="str">
        <f>IF(ISERR(FIND("-",tab_Geral[[#This Row],[Municípios]],1)),"","Têm Hifen")</f>
        <v/>
      </c>
      <c r="D376" s="14" t="str">
        <f>IF(tab_Geral[[#This Row],[Informação 3]]&lt;&gt;"","","Não Registrado")</f>
        <v/>
      </c>
      <c r="E376" s="14" t="str">
        <f>IF(tab_Geral[[#This Row],[Municípios]]=tab_Geral[[#This Row],[Informação 1]],"","Não!, Erro!")</f>
        <v/>
      </c>
      <c r="F376" s="14" t="str">
        <f>IF(tab_Geral[[#This Row],[Municípios]]=tab_Geral[[#This Row],[Município]],"","Não!, Erro!")</f>
        <v/>
      </c>
      <c r="G376" s="14" t="str">
        <f>VLOOKUP(tab_Geral[[#This Row],[GeoCodigo]],tab_CETESB[],2,FALSE)</f>
        <v>Nova Granada</v>
      </c>
      <c r="H376" s="14" t="str">
        <f>VLOOKUP(tab_Geral[[#This Row],[Informação 3]],tab_AgênciaAmbiental,10,FALSE)</f>
        <v>36</v>
      </c>
      <c r="I376" s="14" t="s">
        <v>374</v>
      </c>
      <c r="J376" s="18" t="s">
        <v>374</v>
      </c>
      <c r="K376" s="17"/>
      <c r="L376" s="17" t="s">
        <v>1917</v>
      </c>
      <c r="M376" s="17" t="s">
        <v>663</v>
      </c>
      <c r="N376" s="17" t="s">
        <v>664</v>
      </c>
      <c r="O376" s="17" t="s">
        <v>665</v>
      </c>
      <c r="P376" s="17" t="s">
        <v>666</v>
      </c>
      <c r="Q376" s="17" t="s">
        <v>667</v>
      </c>
      <c r="R376" s="17" t="s">
        <v>668</v>
      </c>
      <c r="S376" s="17" t="s">
        <v>938</v>
      </c>
    </row>
    <row r="377" spans="1:20" x14ac:dyDescent="0.25">
      <c r="A377" s="14">
        <v>366</v>
      </c>
      <c r="B377" s="14">
        <v>3533106</v>
      </c>
      <c r="C377" s="14" t="str">
        <f>IF(ISERR(FIND("-",tab_Geral[[#This Row],[Municípios]],1)),"","Têm Hifen")</f>
        <v/>
      </c>
      <c r="D377" s="14" t="str">
        <f>IF(tab_Geral[[#This Row],[Informação 3]]&lt;&gt;"","","Não Registrado")</f>
        <v/>
      </c>
      <c r="E377" s="14" t="str">
        <f>IF(tab_Geral[[#This Row],[Municípios]]=tab_Geral[[#This Row],[Informação 1]],"","Não!, Erro!")</f>
        <v/>
      </c>
      <c r="F377" s="14" t="str">
        <f>IF(tab_Geral[[#This Row],[Municípios]]=tab_Geral[[#This Row],[Município]],"","Não!, Erro!")</f>
        <v/>
      </c>
      <c r="G377" s="14" t="str">
        <f>VLOOKUP(tab_Geral[[#This Row],[GeoCodigo]],tab_CETESB[],2,FALSE)</f>
        <v>Nova Guataporanga</v>
      </c>
      <c r="H377" s="14" t="str">
        <f>VLOOKUP(tab_Geral[[#This Row],[Informação 3]],tab_AgênciaAmbiental,10,FALSE)</f>
        <v>13</v>
      </c>
      <c r="I377" s="14" t="s">
        <v>375</v>
      </c>
      <c r="J377" s="18" t="s">
        <v>375</v>
      </c>
      <c r="K377" s="17"/>
      <c r="L377" s="17" t="s">
        <v>1894</v>
      </c>
      <c r="M377" s="17" t="s">
        <v>656</v>
      </c>
      <c r="N377" s="17" t="s">
        <v>657</v>
      </c>
      <c r="O377" s="17" t="s">
        <v>658</v>
      </c>
      <c r="P377" s="17" t="s">
        <v>659</v>
      </c>
      <c r="Q377" s="17" t="s">
        <v>660</v>
      </c>
      <c r="R377" s="17" t="s">
        <v>661</v>
      </c>
      <c r="S377" s="17" t="s">
        <v>662</v>
      </c>
      <c r="T377" s="15"/>
    </row>
    <row r="378" spans="1:20" x14ac:dyDescent="0.25">
      <c r="A378" s="14">
        <v>367</v>
      </c>
      <c r="B378" s="14">
        <v>3533205</v>
      </c>
      <c r="C378" s="14" t="str">
        <f>IF(ISERR(FIND("-",tab_Geral[[#This Row],[Municípios]],1)),"","Têm Hifen")</f>
        <v/>
      </c>
      <c r="D378" s="14" t="str">
        <f>IF(tab_Geral[[#This Row],[Informação 3]]&lt;&gt;"","","Não Registrado")</f>
        <v/>
      </c>
      <c r="E378" s="14" t="str">
        <f>IF(tab_Geral[[#This Row],[Municípios]]=tab_Geral[[#This Row],[Informação 1]],"","Não!, Erro!")</f>
        <v/>
      </c>
      <c r="F378" s="14" t="str">
        <f>IF(tab_Geral[[#This Row],[Municípios]]=tab_Geral[[#This Row],[Município]],"","Não!, Erro!")</f>
        <v/>
      </c>
      <c r="G378" s="14" t="str">
        <f>VLOOKUP(tab_Geral[[#This Row],[GeoCodigo]],tab_CETESB[],2,FALSE)</f>
        <v>Nova Independência</v>
      </c>
      <c r="H378" s="14" t="str">
        <f>VLOOKUP(tab_Geral[[#This Row],[Informação 3]],tab_AgênciaAmbiental,10,FALSE)</f>
        <v>13</v>
      </c>
      <c r="I378" s="14" t="s">
        <v>376</v>
      </c>
      <c r="J378" s="18" t="s">
        <v>376</v>
      </c>
      <c r="K378" s="17"/>
      <c r="L378" s="17" t="s">
        <v>1894</v>
      </c>
      <c r="M378" s="17" t="s">
        <v>656</v>
      </c>
      <c r="N378" s="17" t="s">
        <v>657</v>
      </c>
      <c r="O378" s="17" t="s">
        <v>658</v>
      </c>
      <c r="P378" s="17" t="s">
        <v>659</v>
      </c>
      <c r="Q378" s="17" t="s">
        <v>660</v>
      </c>
      <c r="R378" s="17" t="s">
        <v>661</v>
      </c>
      <c r="S378" s="17" t="s">
        <v>662</v>
      </c>
      <c r="T378" s="15"/>
    </row>
    <row r="379" spans="1:20" x14ac:dyDescent="0.25">
      <c r="A379" s="14">
        <v>368</v>
      </c>
      <c r="B379" s="14">
        <v>3533304</v>
      </c>
      <c r="C379" s="14" t="str">
        <f>IF(ISERR(FIND("-",tab_Geral[[#This Row],[Municípios]],1)),"","Têm Hifen")</f>
        <v/>
      </c>
      <c r="D379" s="14" t="str">
        <f>IF(tab_Geral[[#This Row],[Informação 3]]&lt;&gt;"","","Não Registrado")</f>
        <v/>
      </c>
      <c r="E379" s="14" t="str">
        <f>IF(tab_Geral[[#This Row],[Municípios]]=tab_Geral[[#This Row],[Informação 1]],"","Não!, Erro!")</f>
        <v/>
      </c>
      <c r="F379" s="14" t="str">
        <f>IF(tab_Geral[[#This Row],[Municípios]]=tab_Geral[[#This Row],[Município]],"","Não!, Erro!")</f>
        <v/>
      </c>
      <c r="G379" s="14" t="str">
        <f>VLOOKUP(tab_Geral[[#This Row],[GeoCodigo]],tab_CETESB[],2,FALSE)</f>
        <v>Nova Luzitânia</v>
      </c>
      <c r="H379" s="14" t="str">
        <f>VLOOKUP(tab_Geral[[#This Row],[Informação 3]],tab_AgênciaAmbiental,10,FALSE)</f>
        <v>2</v>
      </c>
      <c r="I379" s="14" t="s">
        <v>377</v>
      </c>
      <c r="J379" s="18" t="s">
        <v>377</v>
      </c>
      <c r="K379" s="17"/>
      <c r="L379" s="17" t="s">
        <v>1883</v>
      </c>
      <c r="M379" s="17" t="s">
        <v>727</v>
      </c>
      <c r="N379" s="17" t="s">
        <v>728</v>
      </c>
      <c r="O379" s="17" t="s">
        <v>729</v>
      </c>
      <c r="P379" s="17" t="s">
        <v>730</v>
      </c>
      <c r="Q379" s="17" t="s">
        <v>731</v>
      </c>
      <c r="R379" s="17" t="s">
        <v>732</v>
      </c>
      <c r="S379" s="17" t="s">
        <v>936</v>
      </c>
    </row>
    <row r="380" spans="1:20" x14ac:dyDescent="0.25">
      <c r="A380" s="14">
        <v>369</v>
      </c>
      <c r="B380" s="14">
        <v>3533403</v>
      </c>
      <c r="C380" s="14" t="str">
        <f>IF(ISERR(FIND("-",tab_Geral[[#This Row],[Municípios]],1)),"","Têm Hifen")</f>
        <v/>
      </c>
      <c r="D380" s="14" t="str">
        <f>IF(tab_Geral[[#This Row],[Informação 3]]&lt;&gt;"","","Não Registrado")</f>
        <v/>
      </c>
      <c r="E380" s="14" t="str">
        <f>IF(tab_Geral[[#This Row],[Municípios]]=tab_Geral[[#This Row],[Informação 1]],"","Não!, Erro!")</f>
        <v/>
      </c>
      <c r="F380" s="14" t="str">
        <f>IF(tab_Geral[[#This Row],[Municípios]]=tab_Geral[[#This Row],[Município]],"","Não!, Erro!")</f>
        <v/>
      </c>
      <c r="G380" s="14" t="str">
        <f>VLOOKUP(tab_Geral[[#This Row],[GeoCodigo]],tab_CETESB[],2,FALSE)</f>
        <v>Nova Odessa</v>
      </c>
      <c r="H380" s="14" t="str">
        <f>VLOOKUP(tab_Geral[[#This Row],[Informação 3]],tab_AgênciaAmbiental,10,FALSE)</f>
        <v>1</v>
      </c>
      <c r="I380" s="14" t="s">
        <v>378</v>
      </c>
      <c r="J380" s="18" t="s">
        <v>378</v>
      </c>
      <c r="K380" s="17"/>
      <c r="L380" s="17" t="s">
        <v>1882</v>
      </c>
      <c r="M380" s="17" t="s">
        <v>753</v>
      </c>
      <c r="N380" s="17" t="s">
        <v>754</v>
      </c>
      <c r="O380" s="17" t="s">
        <v>755</v>
      </c>
      <c r="P380" s="17" t="s">
        <v>756</v>
      </c>
      <c r="Q380" s="17" t="s">
        <v>757</v>
      </c>
      <c r="R380" s="17" t="s">
        <v>758</v>
      </c>
      <c r="S380" s="17" t="s">
        <v>759</v>
      </c>
      <c r="T380" s="15"/>
    </row>
    <row r="381" spans="1:20" x14ac:dyDescent="0.25">
      <c r="A381" s="14">
        <v>370</v>
      </c>
      <c r="B381" s="14">
        <v>3533254</v>
      </c>
      <c r="C381" s="14" t="str">
        <f>IF(ISERR(FIND("-",tab_Geral[[#This Row],[Municípios]],1)),"","Têm Hifen")</f>
        <v/>
      </c>
      <c r="D381" s="14" t="str">
        <f>IF(tab_Geral[[#This Row],[Informação 3]]&lt;&gt;"","","Não Registrado")</f>
        <v/>
      </c>
      <c r="E381" s="14" t="str">
        <f>IF(tab_Geral[[#This Row],[Municípios]]=tab_Geral[[#This Row],[Informação 1]],"","Não!, Erro!")</f>
        <v/>
      </c>
      <c r="F381" s="14" t="str">
        <f>IF(tab_Geral[[#This Row],[Municípios]]=tab_Geral[[#This Row],[Município]],"","Não!, Erro!")</f>
        <v/>
      </c>
      <c r="G381" s="14" t="str">
        <f>VLOOKUP(tab_Geral[[#This Row],[GeoCodigo]],tab_CETESB[],2,FALSE)</f>
        <v>Novais</v>
      </c>
      <c r="H381" s="14" t="str">
        <f>VLOOKUP(tab_Geral[[#This Row],[Informação 3]],tab_AgênciaAmbiental,10,FALSE)</f>
        <v>36</v>
      </c>
      <c r="I381" s="14" t="s">
        <v>379</v>
      </c>
      <c r="J381" s="18" t="s">
        <v>379</v>
      </c>
      <c r="K381" s="17"/>
      <c r="L381" s="17" t="s">
        <v>1917</v>
      </c>
      <c r="M381" s="17" t="s">
        <v>663</v>
      </c>
      <c r="N381" s="17" t="s">
        <v>664</v>
      </c>
      <c r="O381" s="17" t="s">
        <v>665</v>
      </c>
      <c r="P381" s="17" t="s">
        <v>666</v>
      </c>
      <c r="Q381" s="17" t="s">
        <v>667</v>
      </c>
      <c r="R381" s="17" t="s">
        <v>668</v>
      </c>
      <c r="S381" s="17" t="s">
        <v>938</v>
      </c>
    </row>
    <row r="382" spans="1:20" x14ac:dyDescent="0.25">
      <c r="A382" s="14">
        <v>371</v>
      </c>
      <c r="B382" s="14">
        <v>3533502</v>
      </c>
      <c r="C382" s="14" t="str">
        <f>IF(ISERR(FIND("-",tab_Geral[[#This Row],[Municípios]],1)),"","Têm Hifen")</f>
        <v/>
      </c>
      <c r="D382" s="14" t="str">
        <f>IF(tab_Geral[[#This Row],[Informação 3]]&lt;&gt;"","","Não Registrado")</f>
        <v/>
      </c>
      <c r="E382" s="14" t="str">
        <f>IF(tab_Geral[[#This Row],[Municípios]]=tab_Geral[[#This Row],[Informação 1]],"","Não!, Erro!")</f>
        <v/>
      </c>
      <c r="F382" s="14" t="str">
        <f>IF(tab_Geral[[#This Row],[Municípios]]=tab_Geral[[#This Row],[Município]],"","Não!, Erro!")</f>
        <v/>
      </c>
      <c r="G382" s="14" t="str">
        <f>VLOOKUP(tab_Geral[[#This Row],[GeoCodigo]],tab_CETESB[],2,FALSE)</f>
        <v>Novo Horizonte</v>
      </c>
      <c r="H382" s="14" t="str">
        <f>VLOOKUP(tab_Geral[[#This Row],[Informação 3]],tab_AgênciaAmbiental,10,FALSE)</f>
        <v>36</v>
      </c>
      <c r="I382" s="14" t="s">
        <v>380</v>
      </c>
      <c r="J382" s="18" t="s">
        <v>380</v>
      </c>
      <c r="K382" s="17"/>
      <c r="L382" s="17" t="s">
        <v>1917</v>
      </c>
      <c r="M382" s="17" t="s">
        <v>663</v>
      </c>
      <c r="N382" s="17" t="s">
        <v>664</v>
      </c>
      <c r="O382" s="17" t="s">
        <v>665</v>
      </c>
      <c r="P382" s="17" t="s">
        <v>666</v>
      </c>
      <c r="Q382" s="17" t="s">
        <v>667</v>
      </c>
      <c r="R382" s="17" t="s">
        <v>668</v>
      </c>
      <c r="S382" s="17" t="s">
        <v>938</v>
      </c>
    </row>
    <row r="383" spans="1:20" x14ac:dyDescent="0.25">
      <c r="A383" s="14">
        <v>372</v>
      </c>
      <c r="B383" s="14">
        <v>3533601</v>
      </c>
      <c r="C383" s="14" t="str">
        <f>IF(ISERR(FIND("-",tab_Geral[[#This Row],[Municípios]],1)),"","Têm Hifen")</f>
        <v/>
      </c>
      <c r="D383" s="14" t="str">
        <f>IF(tab_Geral[[#This Row],[Informação 3]]&lt;&gt;"","","Não Registrado")</f>
        <v/>
      </c>
      <c r="E383" s="14" t="str">
        <f>IF(tab_Geral[[#This Row],[Municípios]]=tab_Geral[[#This Row],[Informação 1]],"","Não!, Erro!")</f>
        <v/>
      </c>
      <c r="F383" s="14" t="str">
        <f>IF(tab_Geral[[#This Row],[Municípios]]=tab_Geral[[#This Row],[Município]],"","Não!, Erro!")</f>
        <v/>
      </c>
      <c r="G383" s="14" t="str">
        <f>VLOOKUP(tab_Geral[[#This Row],[GeoCodigo]],tab_CETESB[],2,FALSE)</f>
        <v>Nuporanga</v>
      </c>
      <c r="H383" s="14" t="str">
        <f>VLOOKUP(tab_Geral[[#This Row],[Informação 3]],tab_AgênciaAmbiental,10,FALSE)</f>
        <v>31</v>
      </c>
      <c r="I383" s="14" t="s">
        <v>381</v>
      </c>
      <c r="J383" s="18" t="s">
        <v>381</v>
      </c>
      <c r="K383" s="17"/>
      <c r="L383" s="17" t="s">
        <v>1912</v>
      </c>
      <c r="M383" s="17" t="s">
        <v>720</v>
      </c>
      <c r="N383" s="17" t="s">
        <v>721</v>
      </c>
      <c r="O383" s="17" t="s">
        <v>722</v>
      </c>
      <c r="P383" s="17" t="s">
        <v>723</v>
      </c>
      <c r="Q383" s="17" t="s">
        <v>724</v>
      </c>
      <c r="R383" s="17" t="s">
        <v>725</v>
      </c>
      <c r="S383" s="17" t="s">
        <v>726</v>
      </c>
      <c r="T383" s="15"/>
    </row>
    <row r="384" spans="1:20" x14ac:dyDescent="0.25">
      <c r="A384" s="14">
        <v>373</v>
      </c>
      <c r="B384" s="14">
        <v>3533700</v>
      </c>
      <c r="C384" s="14" t="str">
        <f>IF(ISERR(FIND("-",tab_Geral[[#This Row],[Municípios]],1)),"","Têm Hifen")</f>
        <v/>
      </c>
      <c r="D384" s="14" t="str">
        <f>IF(tab_Geral[[#This Row],[Informação 3]]&lt;&gt;"","","Não Registrado")</f>
        <v/>
      </c>
      <c r="E384" s="14" t="str">
        <f>IF(tab_Geral[[#This Row],[Municípios]]=tab_Geral[[#This Row],[Informação 1]],"","Não!, Erro!")</f>
        <v/>
      </c>
      <c r="F384" s="14" t="str">
        <f>IF(tab_Geral[[#This Row],[Municípios]]=tab_Geral[[#This Row],[Município]],"","Não!, Erro!")</f>
        <v/>
      </c>
      <c r="G384" s="14" t="str">
        <f>VLOOKUP(tab_Geral[[#This Row],[GeoCodigo]],tab_CETESB[],2,FALSE)</f>
        <v>Ocauçu</v>
      </c>
      <c r="H384" s="14" t="str">
        <f>VLOOKUP(tab_Geral[[#This Row],[Informação 3]],tab_AgênciaAmbiental,10,FALSE)</f>
        <v>4</v>
      </c>
      <c r="I384" s="14" t="s">
        <v>382</v>
      </c>
      <c r="J384" s="18" t="s">
        <v>382</v>
      </c>
      <c r="K384" s="17"/>
      <c r="L384" s="17" t="s">
        <v>1885</v>
      </c>
      <c r="M384" s="17" t="s">
        <v>830</v>
      </c>
      <c r="N384" s="17" t="s">
        <v>831</v>
      </c>
      <c r="O384" s="17" t="s">
        <v>832</v>
      </c>
      <c r="P384" s="17" t="s">
        <v>833</v>
      </c>
      <c r="Q384" s="17" t="s">
        <v>834</v>
      </c>
      <c r="R384" s="17" t="s">
        <v>835</v>
      </c>
      <c r="S384" s="17" t="s">
        <v>836</v>
      </c>
      <c r="T384" s="15"/>
    </row>
    <row r="385" spans="1:20" x14ac:dyDescent="0.25">
      <c r="A385" s="14">
        <v>374</v>
      </c>
      <c r="B385" s="14">
        <v>3533809</v>
      </c>
      <c r="C385" s="14" t="str">
        <f>IF(ISERR(FIND("-",tab_Geral[[#This Row],[Municípios]],1)),"","Têm Hifen")</f>
        <v/>
      </c>
      <c r="D385" s="14" t="str">
        <f>IF(tab_Geral[[#This Row],[Informação 3]]&lt;&gt;"","","Não Registrado")</f>
        <v/>
      </c>
      <c r="E385" s="14" t="str">
        <f>IF(tab_Geral[[#This Row],[Municípios]]=tab_Geral[[#This Row],[Informação 1]],"","Não!, Erro!")</f>
        <v/>
      </c>
      <c r="F385" s="14" t="str">
        <f>IF(tab_Geral[[#This Row],[Municípios]]=tab_Geral[[#This Row],[Município]],"","Não!, Erro!")</f>
        <v/>
      </c>
      <c r="G385" s="14" t="str">
        <f>VLOOKUP(tab_Geral[[#This Row],[GeoCodigo]],tab_CETESB[],2,FALSE)</f>
        <v>Óleo</v>
      </c>
      <c r="H385" s="14" t="str">
        <f>VLOOKUP(tab_Geral[[#This Row],[Informação 3]],tab_AgênciaAmbiental,10,FALSE)</f>
        <v>4</v>
      </c>
      <c r="I385" s="14" t="s">
        <v>383</v>
      </c>
      <c r="J385" s="18" t="s">
        <v>383</v>
      </c>
      <c r="K385" s="17"/>
      <c r="L385" s="17" t="s">
        <v>1885</v>
      </c>
      <c r="M385" s="17" t="s">
        <v>830</v>
      </c>
      <c r="N385" s="17" t="s">
        <v>831</v>
      </c>
      <c r="O385" s="17" t="s">
        <v>832</v>
      </c>
      <c r="P385" s="17" t="s">
        <v>833</v>
      </c>
      <c r="Q385" s="17" t="s">
        <v>834</v>
      </c>
      <c r="R385" s="17" t="s">
        <v>835</v>
      </c>
      <c r="S385" s="17" t="s">
        <v>836</v>
      </c>
      <c r="T385" s="15"/>
    </row>
    <row r="386" spans="1:20" x14ac:dyDescent="0.25">
      <c r="A386" s="14">
        <v>375</v>
      </c>
      <c r="B386" s="14">
        <v>3533908</v>
      </c>
      <c r="C386" s="14" t="str">
        <f>IF(ISERR(FIND("-",tab_Geral[[#This Row],[Municípios]],1)),"","Têm Hifen")</f>
        <v/>
      </c>
      <c r="D386" s="14" t="str">
        <f>IF(tab_Geral[[#This Row],[Informação 3]]&lt;&gt;"","","Não Registrado")</f>
        <v/>
      </c>
      <c r="E386" s="14" t="str">
        <f>IF(tab_Geral[[#This Row],[Municípios]]=tab_Geral[[#This Row],[Informação 1]],"","Não!, Erro!")</f>
        <v/>
      </c>
      <c r="F386" s="14" t="str">
        <f>IF(tab_Geral[[#This Row],[Municípios]]=tab_Geral[[#This Row],[Município]],"","Não!, Erro!")</f>
        <v/>
      </c>
      <c r="G386" s="14" t="str">
        <f>VLOOKUP(tab_Geral[[#This Row],[GeoCodigo]],tab_CETESB[],2,FALSE)</f>
        <v>Olímpia</v>
      </c>
      <c r="H386" s="14" t="str">
        <f>VLOOKUP(tab_Geral[[#This Row],[Informação 3]],tab_AgênciaAmbiental,10,FALSE)</f>
        <v>7</v>
      </c>
      <c r="I386" s="14" t="s">
        <v>384</v>
      </c>
      <c r="J386" s="18" t="s">
        <v>384</v>
      </c>
      <c r="K386" s="17"/>
      <c r="L386" s="17" t="s">
        <v>1888</v>
      </c>
      <c r="M386" s="17" t="s">
        <v>713</v>
      </c>
      <c r="N386" s="17" t="s">
        <v>714</v>
      </c>
      <c r="O386" s="17" t="s">
        <v>715</v>
      </c>
      <c r="P386" s="17" t="s">
        <v>716</v>
      </c>
      <c r="Q386" s="17" t="s">
        <v>717</v>
      </c>
      <c r="R386" s="17" t="s">
        <v>718</v>
      </c>
      <c r="S386" s="17" t="s">
        <v>719</v>
      </c>
      <c r="T386" s="15"/>
    </row>
    <row r="387" spans="1:20" x14ac:dyDescent="0.25">
      <c r="A387" s="14">
        <v>376</v>
      </c>
      <c r="B387" s="14">
        <v>3534005</v>
      </c>
      <c r="C387" s="14" t="str">
        <f>IF(ISERR(FIND("-",tab_Geral[[#This Row],[Municípios]],1)),"","Têm Hifen")</f>
        <v/>
      </c>
      <c r="D387" s="14" t="str">
        <f>IF(tab_Geral[[#This Row],[Informação 3]]&lt;&gt;"","","Não Registrado")</f>
        <v/>
      </c>
      <c r="E387" s="14" t="str">
        <f>IF(tab_Geral[[#This Row],[Municípios]]=tab_Geral[[#This Row],[Informação 1]],"","Não!, Erro!")</f>
        <v/>
      </c>
      <c r="F387" s="14" t="str">
        <f>IF(tab_Geral[[#This Row],[Municípios]]=tab_Geral[[#This Row],[Município]],"","Não!, Erro!")</f>
        <v/>
      </c>
      <c r="G387" s="14" t="str">
        <f>VLOOKUP(tab_Geral[[#This Row],[GeoCodigo]],tab_CETESB[],2,FALSE)</f>
        <v>Onda Verde</v>
      </c>
      <c r="H387" s="14" t="str">
        <f>VLOOKUP(tab_Geral[[#This Row],[Informação 3]],tab_AgênciaAmbiental,10,FALSE)</f>
        <v>36</v>
      </c>
      <c r="I387" s="14" t="s">
        <v>385</v>
      </c>
      <c r="J387" s="18" t="s">
        <v>385</v>
      </c>
      <c r="K387" s="17"/>
      <c r="L387" s="17" t="s">
        <v>1917</v>
      </c>
      <c r="M387" s="17" t="s">
        <v>663</v>
      </c>
      <c r="N387" s="17" t="s">
        <v>664</v>
      </c>
      <c r="O387" s="17" t="s">
        <v>665</v>
      </c>
      <c r="P387" s="17" t="s">
        <v>666</v>
      </c>
      <c r="Q387" s="17" t="s">
        <v>667</v>
      </c>
      <c r="R387" s="17" t="s">
        <v>668</v>
      </c>
      <c r="S387" s="17" t="s">
        <v>938</v>
      </c>
    </row>
    <row r="388" spans="1:20" x14ac:dyDescent="0.25">
      <c r="A388" s="14">
        <v>377</v>
      </c>
      <c r="B388" s="14">
        <v>3534104</v>
      </c>
      <c r="C388" s="14" t="str">
        <f>IF(ISERR(FIND("-",tab_Geral[[#This Row],[Municípios]],1)),"","Têm Hifen")</f>
        <v/>
      </c>
      <c r="D388" s="14" t="str">
        <f>IF(tab_Geral[[#This Row],[Informação 3]]&lt;&gt;"","","Não Registrado")</f>
        <v/>
      </c>
      <c r="E388" s="14" t="str">
        <f>IF(tab_Geral[[#This Row],[Municípios]]=tab_Geral[[#This Row],[Informação 1]],"","Não!, Erro!")</f>
        <v/>
      </c>
      <c r="F388" s="14" t="str">
        <f>IF(tab_Geral[[#This Row],[Municípios]]=tab_Geral[[#This Row],[Município]],"","Não!, Erro!")</f>
        <v/>
      </c>
      <c r="G388" s="14" t="str">
        <f>VLOOKUP(tab_Geral[[#This Row],[GeoCodigo]],tab_CETESB[],2,FALSE)</f>
        <v>Oriente</v>
      </c>
      <c r="H388" s="14" t="str">
        <f>VLOOKUP(tab_Geral[[#This Row],[Informação 3]],tab_AgênciaAmbiental,10,FALSE)</f>
        <v>23</v>
      </c>
      <c r="I388" s="14" t="s">
        <v>386</v>
      </c>
      <c r="J388" s="18" t="s">
        <v>386</v>
      </c>
      <c r="K388" s="17"/>
      <c r="L388" s="17" t="s">
        <v>1904</v>
      </c>
      <c r="M388" s="17" t="s">
        <v>746</v>
      </c>
      <c r="N388" s="17" t="s">
        <v>747</v>
      </c>
      <c r="O388" s="17" t="s">
        <v>748</v>
      </c>
      <c r="P388" s="17" t="s">
        <v>749</v>
      </c>
      <c r="Q388" s="17" t="s">
        <v>750</v>
      </c>
      <c r="R388" s="17" t="s">
        <v>751</v>
      </c>
      <c r="S388" s="17" t="s">
        <v>752</v>
      </c>
      <c r="T388" s="15"/>
    </row>
    <row r="389" spans="1:20" x14ac:dyDescent="0.25">
      <c r="A389" s="14">
        <v>378</v>
      </c>
      <c r="B389" s="14">
        <v>3534203</v>
      </c>
      <c r="C389" s="14" t="str">
        <f>IF(ISERR(FIND("-",tab_Geral[[#This Row],[Municípios]],1)),"","Têm Hifen")</f>
        <v/>
      </c>
      <c r="D389" s="14" t="str">
        <f>IF(tab_Geral[[#This Row],[Informação 3]]&lt;&gt;"","","Não Registrado")</f>
        <v/>
      </c>
      <c r="E389" s="14" t="str">
        <f>IF(tab_Geral[[#This Row],[Municípios]]=tab_Geral[[#This Row],[Informação 1]],"","Não!, Erro!")</f>
        <v/>
      </c>
      <c r="F389" s="14" t="str">
        <f>IF(tab_Geral[[#This Row],[Municípios]]=tab_Geral[[#This Row],[Município]],"","Não!, Erro!")</f>
        <v/>
      </c>
      <c r="G389" s="14" t="str">
        <f>VLOOKUP(tab_Geral[[#This Row],[GeoCodigo]],tab_CETESB[],2,FALSE)</f>
        <v>Orindiúva</v>
      </c>
      <c r="H389" s="14" t="str">
        <f>VLOOKUP(tab_Geral[[#This Row],[Informação 3]],tab_AgênciaAmbiental,10,FALSE)</f>
        <v>41</v>
      </c>
      <c r="I389" s="14" t="s">
        <v>387</v>
      </c>
      <c r="J389" s="18" t="s">
        <v>387</v>
      </c>
      <c r="K389" s="17"/>
      <c r="L389" s="17" t="s">
        <v>1922</v>
      </c>
      <c r="M389" s="17" t="s">
        <v>739</v>
      </c>
      <c r="N389" s="17" t="s">
        <v>740</v>
      </c>
      <c r="O389" s="17" t="s">
        <v>741</v>
      </c>
      <c r="P389" s="17" t="s">
        <v>742</v>
      </c>
      <c r="Q389" s="17" t="s">
        <v>743</v>
      </c>
      <c r="R389" s="17" t="s">
        <v>744</v>
      </c>
      <c r="S389" s="17" t="s">
        <v>745</v>
      </c>
      <c r="T389" s="15"/>
    </row>
    <row r="390" spans="1:20" x14ac:dyDescent="0.25">
      <c r="A390" s="14">
        <v>379</v>
      </c>
      <c r="B390" s="14">
        <v>3534302</v>
      </c>
      <c r="C390" s="14" t="str">
        <f>IF(ISERR(FIND("-",tab_Geral[[#This Row],[Municípios]],1)),"","Têm Hifen")</f>
        <v/>
      </c>
      <c r="D390" s="14" t="str">
        <f>IF(tab_Geral[[#This Row],[Informação 3]]&lt;&gt;"","","Não Registrado")</f>
        <v/>
      </c>
      <c r="E390" s="14" t="str">
        <f>IF(tab_Geral[[#This Row],[Municípios]]=tab_Geral[[#This Row],[Informação 1]],"","Não!, Erro!")</f>
        <v/>
      </c>
      <c r="F390" s="14" t="str">
        <f>IF(tab_Geral[[#This Row],[Municípios]]=tab_Geral[[#This Row],[Município]],"","Não!, Erro!")</f>
        <v/>
      </c>
      <c r="G390" s="14" t="str">
        <f>VLOOKUP(tab_Geral[[#This Row],[GeoCodigo]],tab_CETESB[],2,FALSE)</f>
        <v>Orlândia</v>
      </c>
      <c r="H390" s="14" t="str">
        <f>VLOOKUP(tab_Geral[[#This Row],[Informação 3]],tab_AgênciaAmbiental,10,FALSE)</f>
        <v>31</v>
      </c>
      <c r="I390" s="14" t="s">
        <v>388</v>
      </c>
      <c r="J390" s="18" t="s">
        <v>388</v>
      </c>
      <c r="K390" s="17"/>
      <c r="L390" s="17" t="s">
        <v>1912</v>
      </c>
      <c r="M390" s="17" t="s">
        <v>720</v>
      </c>
      <c r="N390" s="17" t="s">
        <v>721</v>
      </c>
      <c r="O390" s="17" t="s">
        <v>722</v>
      </c>
      <c r="P390" s="17" t="s">
        <v>723</v>
      </c>
      <c r="Q390" s="17" t="s">
        <v>724</v>
      </c>
      <c r="R390" s="17" t="s">
        <v>725</v>
      </c>
      <c r="S390" s="17" t="s">
        <v>726</v>
      </c>
      <c r="T390" s="15"/>
    </row>
    <row r="391" spans="1:20" x14ac:dyDescent="0.25">
      <c r="A391" s="14">
        <v>380</v>
      </c>
      <c r="B391" s="14">
        <v>3534401</v>
      </c>
      <c r="C391" s="14" t="str">
        <f>IF(ISERR(FIND("-",tab_Geral[[#This Row],[Municípios]],1)),"","Têm Hifen")</f>
        <v/>
      </c>
      <c r="D391" s="14" t="str">
        <f>IF(tab_Geral[[#This Row],[Informação 3]]&lt;&gt;"","","Não Registrado")</f>
        <v/>
      </c>
      <c r="E391" s="14" t="str">
        <f>IF(tab_Geral[[#This Row],[Municípios]]=tab_Geral[[#This Row],[Informação 1]],"","Não!, Erro!")</f>
        <v/>
      </c>
      <c r="F391" s="14" t="str">
        <f>IF(tab_Geral[[#This Row],[Municípios]]=tab_Geral[[#This Row],[Município]],"","Não!, Erro!")</f>
        <v/>
      </c>
      <c r="G391" s="14" t="str">
        <f>VLOOKUP(tab_Geral[[#This Row],[GeoCodigo]],tab_CETESB[],2,FALSE)</f>
        <v>Osasco</v>
      </c>
      <c r="H391" s="14" t="str">
        <f>VLOOKUP(tab_Geral[[#This Row],[Informação 3]],tab_AgênciaAmbiental,10,FALSE)</f>
        <v>26</v>
      </c>
      <c r="I391" s="14" t="s">
        <v>389</v>
      </c>
      <c r="J391" s="18" t="s">
        <v>389</v>
      </c>
      <c r="K391" s="17"/>
      <c r="L391" s="17" t="s">
        <v>1907</v>
      </c>
      <c r="M391" s="17" t="s">
        <v>857</v>
      </c>
      <c r="N391" s="17" t="s">
        <v>858</v>
      </c>
      <c r="O391" s="17" t="s">
        <v>859</v>
      </c>
      <c r="P391" s="17" t="s">
        <v>860</v>
      </c>
      <c r="Q391" s="17" t="s">
        <v>861</v>
      </c>
      <c r="R391" s="17" t="s">
        <v>862</v>
      </c>
      <c r="S391" s="17" t="s">
        <v>863</v>
      </c>
      <c r="T391" s="15"/>
    </row>
    <row r="392" spans="1:20" x14ac:dyDescent="0.25">
      <c r="A392" s="14">
        <v>381</v>
      </c>
      <c r="B392" s="14">
        <v>3534500</v>
      </c>
      <c r="C392" s="14" t="str">
        <f>IF(ISERR(FIND("-",tab_Geral[[#This Row],[Municípios]],1)),"","Têm Hifen")</f>
        <v/>
      </c>
      <c r="D392" s="14" t="str">
        <f>IF(tab_Geral[[#This Row],[Informação 3]]&lt;&gt;"","","Não Registrado")</f>
        <v/>
      </c>
      <c r="E392" s="14" t="str">
        <f>IF(tab_Geral[[#This Row],[Municípios]]=tab_Geral[[#This Row],[Informação 1]],"","Não!, Erro!")</f>
        <v/>
      </c>
      <c r="F392" s="14" t="str">
        <f>IF(tab_Geral[[#This Row],[Municípios]]=tab_Geral[[#This Row],[Município]],"","Não!, Erro!")</f>
        <v/>
      </c>
      <c r="G392" s="14" t="str">
        <f>VLOOKUP(tab_Geral[[#This Row],[GeoCodigo]],tab_CETESB[],2,FALSE)</f>
        <v>Oscar Bressane</v>
      </c>
      <c r="H392" s="14" t="str">
        <f>VLOOKUP(tab_Geral[[#This Row],[Informação 3]],tab_AgênciaAmbiental,10,FALSE)</f>
        <v>4</v>
      </c>
      <c r="I392" s="14" t="s">
        <v>390</v>
      </c>
      <c r="J392" s="18" t="s">
        <v>390</v>
      </c>
      <c r="K392" s="17"/>
      <c r="L392" s="17" t="s">
        <v>1885</v>
      </c>
      <c r="M392" s="17" t="s">
        <v>830</v>
      </c>
      <c r="N392" s="17" t="s">
        <v>831</v>
      </c>
      <c r="O392" s="17" t="s">
        <v>832</v>
      </c>
      <c r="P392" s="17" t="s">
        <v>833</v>
      </c>
      <c r="Q392" s="17" t="s">
        <v>834</v>
      </c>
      <c r="R392" s="17" t="s">
        <v>835</v>
      </c>
      <c r="S392" s="17" t="s">
        <v>836</v>
      </c>
      <c r="T392" s="15"/>
    </row>
    <row r="393" spans="1:20" x14ac:dyDescent="0.25">
      <c r="A393" s="14">
        <v>382</v>
      </c>
      <c r="B393" s="14">
        <v>3534609</v>
      </c>
      <c r="C393" s="14" t="str">
        <f>IF(ISERR(FIND("-",tab_Geral[[#This Row],[Municípios]],1)),"","Têm Hifen")</f>
        <v/>
      </c>
      <c r="D393" s="14" t="str">
        <f>IF(tab_Geral[[#This Row],[Informação 3]]&lt;&gt;"","","Não Registrado")</f>
        <v/>
      </c>
      <c r="E393" s="14" t="str">
        <f>IF(tab_Geral[[#This Row],[Municípios]]=tab_Geral[[#This Row],[Informação 1]],"","Não!, Erro!")</f>
        <v/>
      </c>
      <c r="F393" s="14" t="str">
        <f>IF(tab_Geral[[#This Row],[Municípios]]=tab_Geral[[#This Row],[Município]],"","Não!, Erro!")</f>
        <v/>
      </c>
      <c r="G393" s="14" t="str">
        <f>VLOOKUP(tab_Geral[[#This Row],[GeoCodigo]],tab_CETESB[],2,FALSE)</f>
        <v>Osvaldo Cruz</v>
      </c>
      <c r="H393" s="14" t="str">
        <f>VLOOKUP(tab_Geral[[#This Row],[Informação 3]],tab_AgênciaAmbiental,10,FALSE)</f>
        <v>13</v>
      </c>
      <c r="I393" s="14" t="s">
        <v>391</v>
      </c>
      <c r="J393" s="18" t="s">
        <v>391</v>
      </c>
      <c r="K393" s="17"/>
      <c r="L393" s="17" t="s">
        <v>1894</v>
      </c>
      <c r="M393" s="17" t="s">
        <v>656</v>
      </c>
      <c r="N393" s="17" t="s">
        <v>657</v>
      </c>
      <c r="O393" s="17" t="s">
        <v>658</v>
      </c>
      <c r="P393" s="17" t="s">
        <v>659</v>
      </c>
      <c r="Q393" s="17" t="s">
        <v>660</v>
      </c>
      <c r="R393" s="17" t="s">
        <v>661</v>
      </c>
      <c r="S393" s="17" t="s">
        <v>662</v>
      </c>
      <c r="T393" s="15"/>
    </row>
    <row r="394" spans="1:20" x14ac:dyDescent="0.25">
      <c r="A394" s="14">
        <v>383</v>
      </c>
      <c r="B394" s="14">
        <v>3534708</v>
      </c>
      <c r="C394" s="14" t="str">
        <f>IF(ISERR(FIND("-",tab_Geral[[#This Row],[Municípios]],1)),"","Têm Hifen")</f>
        <v/>
      </c>
      <c r="D394" s="14" t="str">
        <f>IF(tab_Geral[[#This Row],[Informação 3]]&lt;&gt;"","","Não Registrado")</f>
        <v/>
      </c>
      <c r="E394" s="14" t="str">
        <f>IF(tab_Geral[[#This Row],[Municípios]]=tab_Geral[[#This Row],[Informação 1]],"","Não!, Erro!")</f>
        <v/>
      </c>
      <c r="F394" s="14" t="str">
        <f>IF(tab_Geral[[#This Row],[Municípios]]=tab_Geral[[#This Row],[Município]],"","Não!, Erro!")</f>
        <v/>
      </c>
      <c r="G394" s="14" t="str">
        <f>VLOOKUP(tab_Geral[[#This Row],[GeoCodigo]],tab_CETESB[],2,FALSE)</f>
        <v>Ourinhos</v>
      </c>
      <c r="H394" s="14" t="str">
        <f>VLOOKUP(tab_Geral[[#This Row],[Informação 3]],tab_AgênciaAmbiental,10,FALSE)</f>
        <v>4</v>
      </c>
      <c r="I394" s="14" t="s">
        <v>392</v>
      </c>
      <c r="J394" s="18" t="s">
        <v>392</v>
      </c>
      <c r="K394" s="17"/>
      <c r="L394" s="17" t="s">
        <v>1885</v>
      </c>
      <c r="M394" s="17" t="s">
        <v>830</v>
      </c>
      <c r="N394" s="17" t="s">
        <v>831</v>
      </c>
      <c r="O394" s="17" t="s">
        <v>832</v>
      </c>
      <c r="P394" s="17" t="s">
        <v>833</v>
      </c>
      <c r="Q394" s="17" t="s">
        <v>834</v>
      </c>
      <c r="R394" s="17" t="s">
        <v>835</v>
      </c>
      <c r="S394" s="17" t="s">
        <v>836</v>
      </c>
      <c r="T394" s="15"/>
    </row>
    <row r="395" spans="1:20" x14ac:dyDescent="0.25">
      <c r="A395" s="14">
        <v>384</v>
      </c>
      <c r="B395" s="14">
        <v>3534807</v>
      </c>
      <c r="C395" s="14" t="str">
        <f>IF(ISERR(FIND("-",tab_Geral[[#This Row],[Municípios]],1)),"","Têm Hifen")</f>
        <v/>
      </c>
      <c r="D395" s="14" t="str">
        <f>IF(tab_Geral[[#This Row],[Informação 3]]&lt;&gt;"","","Não Registrado")</f>
        <v/>
      </c>
      <c r="E395" s="14" t="str">
        <f>IF(tab_Geral[[#This Row],[Municípios]]=tab_Geral[[#This Row],[Informação 1]],"","Não!, Erro!")</f>
        <v/>
      </c>
      <c r="F395" s="14" t="str">
        <f>IF(tab_Geral[[#This Row],[Municípios]]=tab_Geral[[#This Row],[Município]],"","Não!, Erro!")</f>
        <v/>
      </c>
      <c r="G395" s="14" t="str">
        <f>VLOOKUP(tab_Geral[[#This Row],[GeoCodigo]],tab_CETESB[],2,FALSE)</f>
        <v>Ouro Verde</v>
      </c>
      <c r="H395" s="14" t="str">
        <f>VLOOKUP(tab_Geral[[#This Row],[Informação 3]],tab_AgênciaAmbiental,10,FALSE)</f>
        <v>13</v>
      </c>
      <c r="I395" s="14" t="s">
        <v>393</v>
      </c>
      <c r="J395" s="18" t="s">
        <v>393</v>
      </c>
      <c r="K395" s="17"/>
      <c r="L395" s="17" t="s">
        <v>1894</v>
      </c>
      <c r="M395" s="17" t="s">
        <v>656</v>
      </c>
      <c r="N395" s="17" t="s">
        <v>657</v>
      </c>
      <c r="O395" s="17" t="s">
        <v>658</v>
      </c>
      <c r="P395" s="17" t="s">
        <v>659</v>
      </c>
      <c r="Q395" s="17" t="s">
        <v>660</v>
      </c>
      <c r="R395" s="17" t="s">
        <v>661</v>
      </c>
      <c r="S395" s="17" t="s">
        <v>662</v>
      </c>
      <c r="T395" s="15"/>
    </row>
    <row r="396" spans="1:20" x14ac:dyDescent="0.25">
      <c r="A396" s="14">
        <v>385</v>
      </c>
      <c r="B396" s="14">
        <v>3534757</v>
      </c>
      <c r="C396" s="14" t="str">
        <f>IF(ISERR(FIND("-",tab_Geral[[#This Row],[Municípios]],1)),"","Têm Hifen")</f>
        <v/>
      </c>
      <c r="D396" s="14" t="str">
        <f>IF(tab_Geral[[#This Row],[Informação 3]]&lt;&gt;"","","Não Registrado")</f>
        <v/>
      </c>
      <c r="E396" s="14" t="str">
        <f>IF(tab_Geral[[#This Row],[Municípios]]=tab_Geral[[#This Row],[Informação 1]],"","Não!, Erro!")</f>
        <v/>
      </c>
      <c r="F396" s="14" t="str">
        <f>IF(tab_Geral[[#This Row],[Municípios]]=tab_Geral[[#This Row],[Município]],"","Não!, Erro!")</f>
        <v/>
      </c>
      <c r="G396" s="14" t="str">
        <f>VLOOKUP(tab_Geral[[#This Row],[GeoCodigo]],tab_CETESB[],2,FALSE)</f>
        <v>Ouroeste</v>
      </c>
      <c r="H396" s="14" t="str">
        <f>VLOOKUP(tab_Geral[[#This Row],[Informação 3]],tab_AgênciaAmbiental,10,FALSE)</f>
        <v>20</v>
      </c>
      <c r="I396" s="14" t="s">
        <v>394</v>
      </c>
      <c r="J396" s="18" t="s">
        <v>394</v>
      </c>
      <c r="K396" s="17"/>
      <c r="L396" s="17" t="s">
        <v>1901</v>
      </c>
      <c r="M396" s="17" t="s">
        <v>788</v>
      </c>
      <c r="N396" s="17" t="s">
        <v>789</v>
      </c>
      <c r="O396" s="17" t="s">
        <v>790</v>
      </c>
      <c r="P396" s="17" t="s">
        <v>791</v>
      </c>
      <c r="Q396" s="17" t="s">
        <v>792</v>
      </c>
      <c r="R396" s="17" t="s">
        <v>793</v>
      </c>
      <c r="S396" s="17" t="s">
        <v>794</v>
      </c>
      <c r="T396" s="15"/>
    </row>
    <row r="397" spans="1:20" x14ac:dyDescent="0.25">
      <c r="A397" s="14">
        <v>386</v>
      </c>
      <c r="B397" s="14">
        <v>3534906</v>
      </c>
      <c r="C397" s="14" t="str">
        <f>IF(ISERR(FIND("-",tab_Geral[[#This Row],[Municípios]],1)),"","Têm Hifen")</f>
        <v/>
      </c>
      <c r="D397" s="14" t="str">
        <f>IF(tab_Geral[[#This Row],[Informação 3]]&lt;&gt;"","","Não Registrado")</f>
        <v/>
      </c>
      <c r="E397" s="14" t="str">
        <f>IF(tab_Geral[[#This Row],[Municípios]]=tab_Geral[[#This Row],[Informação 1]],"","Não!, Erro!")</f>
        <v/>
      </c>
      <c r="F397" s="14" t="str">
        <f>IF(tab_Geral[[#This Row],[Municípios]]=tab_Geral[[#This Row],[Município]],"","Não!, Erro!")</f>
        <v/>
      </c>
      <c r="G397" s="14" t="str">
        <f>VLOOKUP(tab_Geral[[#This Row],[GeoCodigo]],tab_CETESB[],2,FALSE)</f>
        <v>Pacaembu</v>
      </c>
      <c r="H397" s="14" t="str">
        <f>VLOOKUP(tab_Geral[[#This Row],[Informação 3]],tab_AgênciaAmbiental,10,FALSE)</f>
        <v>13</v>
      </c>
      <c r="I397" s="14" t="s">
        <v>395</v>
      </c>
      <c r="J397" s="18" t="s">
        <v>395</v>
      </c>
      <c r="K397" s="17"/>
      <c r="L397" s="17" t="s">
        <v>1894</v>
      </c>
      <c r="M397" s="17" t="s">
        <v>656</v>
      </c>
      <c r="N397" s="17" t="s">
        <v>657</v>
      </c>
      <c r="O397" s="17" t="s">
        <v>658</v>
      </c>
      <c r="P397" s="17" t="s">
        <v>659</v>
      </c>
      <c r="Q397" s="17" t="s">
        <v>660</v>
      </c>
      <c r="R397" s="17" t="s">
        <v>661</v>
      </c>
      <c r="S397" s="17" t="s">
        <v>662</v>
      </c>
      <c r="T397" s="15"/>
    </row>
    <row r="398" spans="1:20" x14ac:dyDescent="0.25">
      <c r="A398" s="14">
        <v>387</v>
      </c>
      <c r="B398" s="14">
        <v>3535002</v>
      </c>
      <c r="C398" s="14" t="str">
        <f>IF(ISERR(FIND("-",tab_Geral[[#This Row],[Municípios]],1)),"","Têm Hifen")</f>
        <v/>
      </c>
      <c r="D398" s="14" t="str">
        <f>IF(tab_Geral[[#This Row],[Informação 3]]&lt;&gt;"","","Não Registrado")</f>
        <v/>
      </c>
      <c r="E398" s="14" t="str">
        <f>IF(tab_Geral[[#This Row],[Municípios]]=tab_Geral[[#This Row],[Informação 1]],"","Não!, Erro!")</f>
        <v/>
      </c>
      <c r="F398" s="14" t="str">
        <f>IF(tab_Geral[[#This Row],[Municípios]]=tab_Geral[[#This Row],[Município]],"","Não!, Erro!")</f>
        <v/>
      </c>
      <c r="G398" s="14" t="str">
        <f>VLOOKUP(tab_Geral[[#This Row],[GeoCodigo]],tab_CETESB[],2,FALSE)</f>
        <v>Palestina</v>
      </c>
      <c r="H398" s="14" t="str">
        <f>VLOOKUP(tab_Geral[[#This Row],[Informação 3]],tab_AgênciaAmbiental,10,FALSE)</f>
        <v>36</v>
      </c>
      <c r="I398" s="14" t="s">
        <v>396</v>
      </c>
      <c r="J398" s="18" t="s">
        <v>396</v>
      </c>
      <c r="K398" s="17"/>
      <c r="L398" s="17" t="s">
        <v>1917</v>
      </c>
      <c r="M398" s="17" t="s">
        <v>663</v>
      </c>
      <c r="N398" s="17" t="s">
        <v>664</v>
      </c>
      <c r="O398" s="17" t="s">
        <v>665</v>
      </c>
      <c r="P398" s="17" t="s">
        <v>666</v>
      </c>
      <c r="Q398" s="17" t="s">
        <v>667</v>
      </c>
      <c r="R398" s="17" t="s">
        <v>668</v>
      </c>
      <c r="S398" s="17" t="s">
        <v>938</v>
      </c>
    </row>
    <row r="399" spans="1:20" x14ac:dyDescent="0.25">
      <c r="A399" s="14">
        <v>388</v>
      </c>
      <c r="B399" s="14">
        <v>3535101</v>
      </c>
      <c r="C399" s="14" t="str">
        <f>IF(ISERR(FIND("-",tab_Geral[[#This Row],[Municípios]],1)),"","Têm Hifen")</f>
        <v/>
      </c>
      <c r="D399" s="14" t="str">
        <f>IF(tab_Geral[[#This Row],[Informação 3]]&lt;&gt;"","","Não Registrado")</f>
        <v/>
      </c>
      <c r="E399" s="14" t="str">
        <f>IF(tab_Geral[[#This Row],[Municípios]]=tab_Geral[[#This Row],[Informação 1]],"","Não!, Erro!")</f>
        <v/>
      </c>
      <c r="F399" s="14" t="str">
        <f>IF(tab_Geral[[#This Row],[Municípios]]=tab_Geral[[#This Row],[Município]],"","Não!, Erro!")</f>
        <v/>
      </c>
      <c r="G399" s="14" t="str">
        <f>VLOOKUP(tab_Geral[[#This Row],[GeoCodigo]],tab_CETESB[],2,FALSE)</f>
        <v>Palmares Paulista</v>
      </c>
      <c r="H399" s="14" t="str">
        <f>VLOOKUP(tab_Geral[[#This Row],[Informação 3]],tab_AgênciaAmbiental,10,FALSE)</f>
        <v>36</v>
      </c>
      <c r="I399" s="14" t="s">
        <v>397</v>
      </c>
      <c r="J399" s="18" t="s">
        <v>397</v>
      </c>
      <c r="K399" s="17"/>
      <c r="L399" s="17" t="s">
        <v>1917</v>
      </c>
      <c r="M399" s="17" t="s">
        <v>663</v>
      </c>
      <c r="N399" s="17" t="s">
        <v>664</v>
      </c>
      <c r="O399" s="17" t="s">
        <v>665</v>
      </c>
      <c r="P399" s="17" t="s">
        <v>666</v>
      </c>
      <c r="Q399" s="17" t="s">
        <v>667</v>
      </c>
      <c r="R399" s="17" t="s">
        <v>668</v>
      </c>
      <c r="S399" s="17" t="s">
        <v>938</v>
      </c>
    </row>
    <row r="400" spans="1:20" x14ac:dyDescent="0.25">
      <c r="A400" s="14">
        <v>635</v>
      </c>
      <c r="B400" s="14">
        <v>3535200</v>
      </c>
      <c r="C400" s="14" t="str">
        <f>IF(ISERR(FIND("-",tab_Geral[[#This Row],[Municípios]],1)),"","Têm Hifen")</f>
        <v/>
      </c>
      <c r="D400" s="14" t="str">
        <f>IF(tab_Geral[[#This Row],[Informação 3]]&lt;&gt;"","","Não Registrado")</f>
        <v/>
      </c>
      <c r="E400" s="14" t="str">
        <f>IF(tab_Geral[[#This Row],[Municípios]]=tab_Geral[[#This Row],[Informação 1]],"","Não!, Erro!")</f>
        <v/>
      </c>
      <c r="F400" s="14" t="str">
        <f>IF(tab_Geral[[#This Row],[Municípios]]=tab_Geral[[#This Row],[Município]],"","Não!, Erro!")</f>
        <v>Não!, Erro!</v>
      </c>
      <c r="G400" s="14" t="str">
        <f>VLOOKUP(tab_Geral[[#This Row],[GeoCodigo]],tab_CETESB[],2,FALSE)</f>
        <v>Palmeira d'Oeste</v>
      </c>
      <c r="H400" s="14" t="str">
        <f>VLOOKUP(tab_Geral[[#This Row],[Informação 3]],tab_AgênciaAmbiental,10,FALSE)</f>
        <v>20</v>
      </c>
      <c r="I400" s="14" t="s">
        <v>398</v>
      </c>
      <c r="J400" s="18" t="s">
        <v>398</v>
      </c>
      <c r="K400" s="17"/>
      <c r="L400" s="17" t="s">
        <v>1901</v>
      </c>
      <c r="M400" s="17" t="s">
        <v>788</v>
      </c>
      <c r="N400" s="17" t="s">
        <v>789</v>
      </c>
      <c r="O400" s="17" t="s">
        <v>790</v>
      </c>
      <c r="P400" s="17" t="s">
        <v>791</v>
      </c>
      <c r="Q400" s="17" t="s">
        <v>792</v>
      </c>
      <c r="R400" s="17" t="s">
        <v>793</v>
      </c>
      <c r="S400" s="17" t="s">
        <v>794</v>
      </c>
      <c r="T400" s="15"/>
    </row>
    <row r="401" spans="1:20" x14ac:dyDescent="0.25">
      <c r="A401" s="14">
        <v>389</v>
      </c>
      <c r="B401" s="14">
        <v>3535309</v>
      </c>
      <c r="C401" s="14" t="str">
        <f>IF(ISERR(FIND("-",tab_Geral[[#This Row],[Municípios]],1)),"","Têm Hifen")</f>
        <v/>
      </c>
      <c r="D401" s="14" t="str">
        <f>IF(tab_Geral[[#This Row],[Informação 3]]&lt;&gt;"","","Não Registrado")</f>
        <v/>
      </c>
      <c r="E401" s="14" t="str">
        <f>IF(tab_Geral[[#This Row],[Municípios]]=tab_Geral[[#This Row],[Informação 1]],"","Não!, Erro!")</f>
        <v/>
      </c>
      <c r="F401" s="14" t="str">
        <f>IF(tab_Geral[[#This Row],[Municípios]]=tab_Geral[[#This Row],[Município]],"","Não!, Erro!")</f>
        <v/>
      </c>
      <c r="G401" s="14" t="str">
        <f>VLOOKUP(tab_Geral[[#This Row],[GeoCodigo]],tab_CETESB[],2,FALSE)</f>
        <v>Palmital</v>
      </c>
      <c r="H401" s="14" t="str">
        <f>VLOOKUP(tab_Geral[[#This Row],[Informação 3]],tab_AgênciaAmbiental,10,FALSE)</f>
        <v>4</v>
      </c>
      <c r="I401" s="14" t="s">
        <v>399</v>
      </c>
      <c r="J401" s="18" t="s">
        <v>399</v>
      </c>
      <c r="K401" s="17"/>
      <c r="L401" s="17" t="s">
        <v>1885</v>
      </c>
      <c r="M401" s="17" t="s">
        <v>830</v>
      </c>
      <c r="N401" s="17" t="s">
        <v>831</v>
      </c>
      <c r="O401" s="17" t="s">
        <v>832</v>
      </c>
      <c r="P401" s="17" t="s">
        <v>833</v>
      </c>
      <c r="Q401" s="17" t="s">
        <v>834</v>
      </c>
      <c r="R401" s="17" t="s">
        <v>835</v>
      </c>
      <c r="S401" s="17" t="s">
        <v>836</v>
      </c>
      <c r="T401" s="15"/>
    </row>
    <row r="402" spans="1:20" x14ac:dyDescent="0.25">
      <c r="A402" s="14">
        <v>390</v>
      </c>
      <c r="B402" s="14">
        <v>3535408</v>
      </c>
      <c r="C402" s="14" t="str">
        <f>IF(ISERR(FIND("-",tab_Geral[[#This Row],[Municípios]],1)),"","Têm Hifen")</f>
        <v/>
      </c>
      <c r="D402" s="14" t="str">
        <f>IF(tab_Geral[[#This Row],[Informação 3]]&lt;&gt;"","","Não Registrado")</f>
        <v/>
      </c>
      <c r="E402" s="14" t="str">
        <f>IF(tab_Geral[[#This Row],[Municípios]]=tab_Geral[[#This Row],[Informação 1]],"","Não!, Erro!")</f>
        <v/>
      </c>
      <c r="F402" s="14" t="str">
        <f>IF(tab_Geral[[#This Row],[Municípios]]=tab_Geral[[#This Row],[Município]],"","Não!, Erro!")</f>
        <v/>
      </c>
      <c r="G402" s="14" t="str">
        <f>VLOOKUP(tab_Geral[[#This Row],[GeoCodigo]],tab_CETESB[],2,FALSE)</f>
        <v>Panorama</v>
      </c>
      <c r="H402" s="14" t="str">
        <f>VLOOKUP(tab_Geral[[#This Row],[Informação 3]],tab_AgênciaAmbiental,10,FALSE)</f>
        <v>13</v>
      </c>
      <c r="I402" s="14" t="s">
        <v>400</v>
      </c>
      <c r="J402" s="18" t="s">
        <v>400</v>
      </c>
      <c r="K402" s="17"/>
      <c r="L402" s="17" t="s">
        <v>1894</v>
      </c>
      <c r="M402" s="17" t="s">
        <v>656</v>
      </c>
      <c r="N402" s="17" t="s">
        <v>657</v>
      </c>
      <c r="O402" s="17" t="s">
        <v>658</v>
      </c>
      <c r="P402" s="17" t="s">
        <v>659</v>
      </c>
      <c r="Q402" s="17" t="s">
        <v>660</v>
      </c>
      <c r="R402" s="17" t="s">
        <v>661</v>
      </c>
      <c r="S402" s="17" t="s">
        <v>662</v>
      </c>
      <c r="T402" s="15"/>
    </row>
    <row r="403" spans="1:20" x14ac:dyDescent="0.25">
      <c r="A403" s="14">
        <v>391</v>
      </c>
      <c r="B403" s="14">
        <v>3535507</v>
      </c>
      <c r="C403" s="14" t="str">
        <f>IF(ISERR(FIND("-",tab_Geral[[#This Row],[Municípios]],1)),"","Têm Hifen")</f>
        <v/>
      </c>
      <c r="D403" s="14" t="str">
        <f>IF(tab_Geral[[#This Row],[Informação 3]]&lt;&gt;"","","Não Registrado")</f>
        <v/>
      </c>
      <c r="E403" s="14" t="str">
        <f>IF(tab_Geral[[#This Row],[Municípios]]=tab_Geral[[#This Row],[Informação 1]],"","Não!, Erro!")</f>
        <v/>
      </c>
      <c r="F403" s="14" t="str">
        <f>IF(tab_Geral[[#This Row],[Municípios]]=tab_Geral[[#This Row],[Município]],"","Não!, Erro!")</f>
        <v/>
      </c>
      <c r="G403" s="14" t="str">
        <f>VLOOKUP(tab_Geral[[#This Row],[GeoCodigo]],tab_CETESB[],2,FALSE)</f>
        <v>Paraguaçu Paulista</v>
      </c>
      <c r="H403" s="14" t="str">
        <f>VLOOKUP(tab_Geral[[#This Row],[Informação 3]],tab_AgênciaAmbiental,10,FALSE)</f>
        <v>4</v>
      </c>
      <c r="I403" s="14" t="s">
        <v>401</v>
      </c>
      <c r="J403" s="18" t="s">
        <v>401</v>
      </c>
      <c r="K403" s="17"/>
      <c r="L403" s="17" t="s">
        <v>1885</v>
      </c>
      <c r="M403" s="17" t="s">
        <v>830</v>
      </c>
      <c r="N403" s="17" t="s">
        <v>831</v>
      </c>
      <c r="O403" s="17" t="s">
        <v>832</v>
      </c>
      <c r="P403" s="17" t="s">
        <v>833</v>
      </c>
      <c r="Q403" s="17" t="s">
        <v>834</v>
      </c>
      <c r="R403" s="17" t="s">
        <v>835</v>
      </c>
      <c r="S403" s="17" t="s">
        <v>836</v>
      </c>
      <c r="T403" s="15"/>
    </row>
    <row r="404" spans="1:20" x14ac:dyDescent="0.25">
      <c r="A404" s="14">
        <v>392</v>
      </c>
      <c r="B404" s="14">
        <v>3535606</v>
      </c>
      <c r="C404" s="14" t="str">
        <f>IF(ISERR(FIND("-",tab_Geral[[#This Row],[Municípios]],1)),"","Têm Hifen")</f>
        <v/>
      </c>
      <c r="D404" s="14" t="str">
        <f>IF(tab_Geral[[#This Row],[Informação 3]]&lt;&gt;"","","Não Registrado")</f>
        <v/>
      </c>
      <c r="E404" s="14" t="str">
        <f>IF(tab_Geral[[#This Row],[Municípios]]=tab_Geral[[#This Row],[Informação 1]],"","Não!, Erro!")</f>
        <v/>
      </c>
      <c r="F404" s="14" t="str">
        <f>IF(tab_Geral[[#This Row],[Municípios]]=tab_Geral[[#This Row],[Município]],"","Não!, Erro!")</f>
        <v/>
      </c>
      <c r="G404" s="14" t="str">
        <f>VLOOKUP(tab_Geral[[#This Row],[GeoCodigo]],tab_CETESB[],2,FALSE)</f>
        <v>Paraibuna</v>
      </c>
      <c r="H404" s="14" t="str">
        <f>VLOOKUP(tab_Geral[[#This Row],[Informação 3]],tab_AgênciaAmbiental,10,FALSE)</f>
        <v>37</v>
      </c>
      <c r="I404" s="14" t="s">
        <v>402</v>
      </c>
      <c r="J404" s="18" t="s">
        <v>402</v>
      </c>
      <c r="K404" s="17"/>
      <c r="L404" s="17" t="s">
        <v>1918</v>
      </c>
      <c r="M404" s="17" t="s">
        <v>891</v>
      </c>
      <c r="N404" s="17" t="s">
        <v>892</v>
      </c>
      <c r="O404" s="17" t="s">
        <v>893</v>
      </c>
      <c r="P404" s="17" t="s">
        <v>894</v>
      </c>
      <c r="Q404" s="17" t="s">
        <v>895</v>
      </c>
      <c r="R404" s="17" t="s">
        <v>896</v>
      </c>
      <c r="S404" s="17" t="s">
        <v>897</v>
      </c>
      <c r="T404" s="15"/>
    </row>
    <row r="405" spans="1:20" x14ac:dyDescent="0.25">
      <c r="A405" s="14">
        <v>393</v>
      </c>
      <c r="B405" s="14">
        <v>3535705</v>
      </c>
      <c r="C405" s="14" t="str">
        <f>IF(ISERR(FIND("-",tab_Geral[[#This Row],[Municípios]],1)),"","Têm Hifen")</f>
        <v/>
      </c>
      <c r="D405" s="14" t="str">
        <f>IF(tab_Geral[[#This Row],[Informação 3]]&lt;&gt;"","","Não Registrado")</f>
        <v/>
      </c>
      <c r="E405" s="14" t="str">
        <f>IF(tab_Geral[[#This Row],[Municípios]]=tab_Geral[[#This Row],[Informação 1]],"","Não!, Erro!")</f>
        <v/>
      </c>
      <c r="F405" s="14" t="str">
        <f>IF(tab_Geral[[#This Row],[Municípios]]=tab_Geral[[#This Row],[Município]],"","Não!, Erro!")</f>
        <v/>
      </c>
      <c r="G405" s="14" t="str">
        <f>VLOOKUP(tab_Geral[[#This Row],[GeoCodigo]],tab_CETESB[],2,FALSE)</f>
        <v>Paraíso</v>
      </c>
      <c r="H405" s="14" t="str">
        <f>VLOOKUP(tab_Geral[[#This Row],[Informação 3]],tab_AgênciaAmbiental,10,FALSE)</f>
        <v>36</v>
      </c>
      <c r="I405" s="14" t="s">
        <v>403</v>
      </c>
      <c r="J405" s="18" t="s">
        <v>403</v>
      </c>
      <c r="K405" s="17"/>
      <c r="L405" s="17" t="s">
        <v>1917</v>
      </c>
      <c r="M405" s="17" t="s">
        <v>663</v>
      </c>
      <c r="N405" s="17" t="s">
        <v>664</v>
      </c>
      <c r="O405" s="17" t="s">
        <v>665</v>
      </c>
      <c r="P405" s="17" t="s">
        <v>666</v>
      </c>
      <c r="Q405" s="17" t="s">
        <v>667</v>
      </c>
      <c r="R405" s="17" t="s">
        <v>668</v>
      </c>
      <c r="S405" s="17" t="s">
        <v>938</v>
      </c>
    </row>
    <row r="406" spans="1:20" x14ac:dyDescent="0.25">
      <c r="A406" s="14">
        <v>394</v>
      </c>
      <c r="B406" s="14">
        <v>3535804</v>
      </c>
      <c r="C406" s="14" t="str">
        <f>IF(ISERR(FIND("-",tab_Geral[[#This Row],[Municípios]],1)),"","Têm Hifen")</f>
        <v/>
      </c>
      <c r="D406" s="14" t="str">
        <f>IF(tab_Geral[[#This Row],[Informação 3]]&lt;&gt;"","","Não Registrado")</f>
        <v/>
      </c>
      <c r="E406" s="14" t="str">
        <f>IF(tab_Geral[[#This Row],[Municípios]]=tab_Geral[[#This Row],[Informação 1]],"","Não!, Erro!")</f>
        <v/>
      </c>
      <c r="F406" s="14" t="str">
        <f>IF(tab_Geral[[#This Row],[Municípios]]=tab_Geral[[#This Row],[Município]],"","Não!, Erro!")</f>
        <v/>
      </c>
      <c r="G406" s="14" t="str">
        <f>VLOOKUP(tab_Geral[[#This Row],[GeoCodigo]],tab_CETESB[],2,FALSE)</f>
        <v>Paranapanema</v>
      </c>
      <c r="H406" s="14" t="str">
        <f>VLOOKUP(tab_Geral[[#This Row],[Informação 3]],tab_AgênciaAmbiental,10,FALSE)</f>
        <v>6</v>
      </c>
      <c r="I406" s="14" t="s">
        <v>404</v>
      </c>
      <c r="J406" s="18" t="s">
        <v>404</v>
      </c>
      <c r="K406" s="17"/>
      <c r="L406" s="17" t="s">
        <v>1887</v>
      </c>
      <c r="M406" s="17" t="s">
        <v>681</v>
      </c>
      <c r="N406" s="17" t="s">
        <v>682</v>
      </c>
      <c r="O406" s="17" t="s">
        <v>683</v>
      </c>
      <c r="P406" s="17" t="s">
        <v>684</v>
      </c>
      <c r="Q406" s="17" t="s">
        <v>685</v>
      </c>
      <c r="R406" s="17" t="s">
        <v>686</v>
      </c>
      <c r="S406" s="17" t="s">
        <v>687</v>
      </c>
      <c r="T406" s="15"/>
    </row>
    <row r="407" spans="1:20" x14ac:dyDescent="0.25">
      <c r="A407" s="14">
        <v>395</v>
      </c>
      <c r="B407" s="14">
        <v>3535903</v>
      </c>
      <c r="C407" s="14" t="str">
        <f>IF(ISERR(FIND("-",tab_Geral[[#This Row],[Municípios]],1)),"","Têm Hifen")</f>
        <v/>
      </c>
      <c r="D407" s="14" t="str">
        <f>IF(tab_Geral[[#This Row],[Informação 3]]&lt;&gt;"","","Não Registrado")</f>
        <v/>
      </c>
      <c r="E407" s="14" t="str">
        <f>IF(tab_Geral[[#This Row],[Municípios]]=tab_Geral[[#This Row],[Informação 1]],"","Não!, Erro!")</f>
        <v/>
      </c>
      <c r="F407" s="14" t="str">
        <f>IF(tab_Geral[[#This Row],[Municípios]]=tab_Geral[[#This Row],[Município]],"","Não!, Erro!")</f>
        <v/>
      </c>
      <c r="G407" s="14" t="str">
        <f>VLOOKUP(tab_Geral[[#This Row],[GeoCodigo]],tab_CETESB[],2,FALSE)</f>
        <v>Paranapuã</v>
      </c>
      <c r="H407" s="14" t="str">
        <f>VLOOKUP(tab_Geral[[#This Row],[Informação 3]],tab_AgênciaAmbiental,10,FALSE)</f>
        <v>20</v>
      </c>
      <c r="I407" s="14" t="s">
        <v>405</v>
      </c>
      <c r="J407" s="18" t="s">
        <v>405</v>
      </c>
      <c r="K407" s="17"/>
      <c r="L407" s="17" t="s">
        <v>1901</v>
      </c>
      <c r="M407" s="17" t="s">
        <v>788</v>
      </c>
      <c r="N407" s="17" t="s">
        <v>789</v>
      </c>
      <c r="O407" s="17" t="s">
        <v>790</v>
      </c>
      <c r="P407" s="17" t="s">
        <v>791</v>
      </c>
      <c r="Q407" s="17" t="s">
        <v>792</v>
      </c>
      <c r="R407" s="17" t="s">
        <v>793</v>
      </c>
      <c r="S407" s="17" t="s">
        <v>794</v>
      </c>
      <c r="T407" s="15"/>
    </row>
    <row r="408" spans="1:20" x14ac:dyDescent="0.25">
      <c r="A408" s="14">
        <v>396</v>
      </c>
      <c r="B408" s="14">
        <v>3536000</v>
      </c>
      <c r="C408" s="14" t="str">
        <f>IF(ISERR(FIND("-",tab_Geral[[#This Row],[Municípios]],1)),"","Têm Hifen")</f>
        <v/>
      </c>
      <c r="D408" s="14" t="str">
        <f>IF(tab_Geral[[#This Row],[Informação 3]]&lt;&gt;"","","Não Registrado")</f>
        <v/>
      </c>
      <c r="E408" s="14" t="str">
        <f>IF(tab_Geral[[#This Row],[Municípios]]=tab_Geral[[#This Row],[Informação 1]],"","Não!, Erro!")</f>
        <v/>
      </c>
      <c r="F408" s="14" t="str">
        <f>IF(tab_Geral[[#This Row],[Municípios]]=tab_Geral[[#This Row],[Município]],"","Não!, Erro!")</f>
        <v/>
      </c>
      <c r="G408" s="14" t="str">
        <f>VLOOKUP(tab_Geral[[#This Row],[GeoCodigo]],tab_CETESB[],2,FALSE)</f>
        <v>Parapuã</v>
      </c>
      <c r="H408" s="14" t="str">
        <f>VLOOKUP(tab_Geral[[#This Row],[Informação 3]],tab_AgênciaAmbiental,10,FALSE)</f>
        <v>23</v>
      </c>
      <c r="I408" s="14" t="s">
        <v>406</v>
      </c>
      <c r="J408" s="18" t="s">
        <v>406</v>
      </c>
      <c r="K408" s="17"/>
      <c r="L408" s="17" t="s">
        <v>1904</v>
      </c>
      <c r="M408" s="17" t="s">
        <v>746</v>
      </c>
      <c r="N408" s="17" t="s">
        <v>747</v>
      </c>
      <c r="O408" s="17" t="s">
        <v>748</v>
      </c>
      <c r="P408" s="17" t="s">
        <v>749</v>
      </c>
      <c r="Q408" s="17" t="s">
        <v>750</v>
      </c>
      <c r="R408" s="17" t="s">
        <v>751</v>
      </c>
      <c r="S408" s="17" t="s">
        <v>752</v>
      </c>
      <c r="T408" s="15"/>
    </row>
    <row r="409" spans="1:20" x14ac:dyDescent="0.25">
      <c r="A409" s="14">
        <v>397</v>
      </c>
      <c r="B409" s="14">
        <v>3536109</v>
      </c>
      <c r="C409" s="14" t="str">
        <f>IF(ISERR(FIND("-",tab_Geral[[#This Row],[Municípios]],1)),"","Têm Hifen")</f>
        <v/>
      </c>
      <c r="D409" s="14" t="str">
        <f>IF(tab_Geral[[#This Row],[Informação 3]]&lt;&gt;"","","Não Registrado")</f>
        <v/>
      </c>
      <c r="E409" s="14" t="str">
        <f>IF(tab_Geral[[#This Row],[Municípios]]=tab_Geral[[#This Row],[Informação 1]],"","Não!, Erro!")</f>
        <v/>
      </c>
      <c r="F409" s="14" t="str">
        <f>IF(tab_Geral[[#This Row],[Municípios]]=tab_Geral[[#This Row],[Município]],"","Não!, Erro!")</f>
        <v/>
      </c>
      <c r="G409" s="14" t="str">
        <f>VLOOKUP(tab_Geral[[#This Row],[GeoCodigo]],tab_CETESB[],2,FALSE)</f>
        <v>Pardinho</v>
      </c>
      <c r="H409" s="14" t="str">
        <f>VLOOKUP(tab_Geral[[#This Row],[Informação 3]],tab_AgênciaAmbiental,10,FALSE)</f>
        <v>9</v>
      </c>
      <c r="I409" s="14" t="s">
        <v>407</v>
      </c>
      <c r="J409" s="18" t="s">
        <v>407</v>
      </c>
      <c r="K409" s="17"/>
      <c r="L409" s="17" t="s">
        <v>1890</v>
      </c>
      <c r="M409" s="17" t="s">
        <v>774</v>
      </c>
      <c r="N409" s="17" t="s">
        <v>775</v>
      </c>
      <c r="O409" s="17" t="s">
        <v>776</v>
      </c>
      <c r="P409" s="17" t="s">
        <v>777</v>
      </c>
      <c r="Q409" s="17" t="s">
        <v>778</v>
      </c>
      <c r="R409" s="17" t="s">
        <v>779</v>
      </c>
      <c r="S409" s="17" t="s">
        <v>780</v>
      </c>
      <c r="T409" s="15"/>
    </row>
    <row r="410" spans="1:20" x14ac:dyDescent="0.25">
      <c r="A410" s="14">
        <v>644</v>
      </c>
      <c r="B410" s="14">
        <v>3536208</v>
      </c>
      <c r="C410" s="14" t="str">
        <f>IF(ISERR(FIND("-",tab_Geral[[#This Row],[Municípios]],1)),"","Têm Hifen")</f>
        <v>Têm Hifen</v>
      </c>
      <c r="D410" s="14" t="str">
        <f>IF(tab_Geral[[#This Row],[Informação 3]]&lt;&gt;"","","Não Registrado")</f>
        <v/>
      </c>
      <c r="E410" s="14" t="str">
        <f>IF(tab_Geral[[#This Row],[Municípios]]=tab_Geral[[#This Row],[Informação 1]],"","Não!, Erro!")</f>
        <v/>
      </c>
      <c r="F410" s="14" t="str">
        <f>IF(tab_Geral[[#This Row],[Municípios]]=tab_Geral[[#This Row],[Município]],"","Não!, Erro!")</f>
        <v/>
      </c>
      <c r="G410" s="14" t="str">
        <f>VLOOKUP(tab_Geral[[#This Row],[GeoCodigo]],tab_CETESB[],2,FALSE)</f>
        <v>Pariquera-Açu</v>
      </c>
      <c r="H410" s="14" t="str">
        <f>VLOOKUP(tab_Geral[[#This Row],[Informação 3]],tab_AgênciaAmbiental,10,FALSE)</f>
        <v>30</v>
      </c>
      <c r="I410" s="14" t="s">
        <v>408</v>
      </c>
      <c r="J410" s="18" t="s">
        <v>408</v>
      </c>
      <c r="K410" s="17"/>
      <c r="L410" s="17" t="s">
        <v>1911</v>
      </c>
      <c r="M410" s="17" t="s">
        <v>843</v>
      </c>
      <c r="N410" s="17" t="s">
        <v>844</v>
      </c>
      <c r="O410" s="17" t="s">
        <v>845</v>
      </c>
      <c r="P410" s="17" t="s">
        <v>846</v>
      </c>
      <c r="Q410" s="17" t="s">
        <v>847</v>
      </c>
      <c r="R410" s="17" t="s">
        <v>848</v>
      </c>
      <c r="S410" s="19" t="s">
        <v>849</v>
      </c>
      <c r="T410" s="15"/>
    </row>
    <row r="411" spans="1:20" x14ac:dyDescent="0.25">
      <c r="A411" s="14">
        <v>398</v>
      </c>
      <c r="B411" s="14">
        <v>3536257</v>
      </c>
      <c r="C411" s="14" t="str">
        <f>IF(ISERR(FIND("-",tab_Geral[[#This Row],[Municípios]],1)),"","Têm Hifen")</f>
        <v/>
      </c>
      <c r="D411" s="14" t="str">
        <f>IF(tab_Geral[[#This Row],[Informação 3]]&lt;&gt;"","","Não Registrado")</f>
        <v/>
      </c>
      <c r="E411" s="14" t="str">
        <f>IF(tab_Geral[[#This Row],[Municípios]]=tab_Geral[[#This Row],[Informação 1]],"","Não!, Erro!")</f>
        <v/>
      </c>
      <c r="F411" s="14" t="str">
        <f>IF(tab_Geral[[#This Row],[Municípios]]=tab_Geral[[#This Row],[Município]],"","Não!, Erro!")</f>
        <v/>
      </c>
      <c r="G411" s="14" t="str">
        <f>VLOOKUP(tab_Geral[[#This Row],[GeoCodigo]],tab_CETESB[],2,FALSE)</f>
        <v>Parisi</v>
      </c>
      <c r="H411" s="14" t="str">
        <f>VLOOKUP(tab_Geral[[#This Row],[Informação 3]],tab_AgênciaAmbiental,10,FALSE)</f>
        <v>41</v>
      </c>
      <c r="I411" s="14" t="s">
        <v>409</v>
      </c>
      <c r="J411" s="18" t="s">
        <v>409</v>
      </c>
      <c r="K411" s="17"/>
      <c r="L411" s="17" t="s">
        <v>1922</v>
      </c>
      <c r="M411" s="17" t="s">
        <v>739</v>
      </c>
      <c r="N411" s="17" t="s">
        <v>740</v>
      </c>
      <c r="O411" s="17" t="s">
        <v>741</v>
      </c>
      <c r="P411" s="17" t="s">
        <v>742</v>
      </c>
      <c r="Q411" s="17" t="s">
        <v>743</v>
      </c>
      <c r="R411" s="17" t="s">
        <v>744</v>
      </c>
      <c r="S411" s="17" t="s">
        <v>745</v>
      </c>
      <c r="T411" s="15"/>
    </row>
    <row r="412" spans="1:20" x14ac:dyDescent="0.25">
      <c r="A412" s="14">
        <v>399</v>
      </c>
      <c r="B412" s="14">
        <v>3536307</v>
      </c>
      <c r="C412" s="14" t="str">
        <f>IF(ISERR(FIND("-",tab_Geral[[#This Row],[Municípios]],1)),"","Têm Hifen")</f>
        <v/>
      </c>
      <c r="D412" s="14" t="str">
        <f>IF(tab_Geral[[#This Row],[Informação 3]]&lt;&gt;"","","Não Registrado")</f>
        <v/>
      </c>
      <c r="E412" s="14" t="str">
        <f>IF(tab_Geral[[#This Row],[Municípios]]=tab_Geral[[#This Row],[Informação 1]],"","Não!, Erro!")</f>
        <v/>
      </c>
      <c r="F412" s="14" t="str">
        <f>IF(tab_Geral[[#This Row],[Municípios]]=tab_Geral[[#This Row],[Município]],"","Não!, Erro!")</f>
        <v/>
      </c>
      <c r="G412" s="14" t="str">
        <f>VLOOKUP(tab_Geral[[#This Row],[GeoCodigo]],tab_CETESB[],2,FALSE)</f>
        <v>Patrocínio Paulista</v>
      </c>
      <c r="H412" s="14" t="str">
        <f>VLOOKUP(tab_Geral[[#This Row],[Informação 3]],tab_AgênciaAmbiental,10,FALSE)</f>
        <v>15</v>
      </c>
      <c r="I412" s="14" t="s">
        <v>410</v>
      </c>
      <c r="J412" s="18" t="s">
        <v>410</v>
      </c>
      <c r="K412" s="17"/>
      <c r="L412" s="17" t="s">
        <v>1896</v>
      </c>
      <c r="M412" s="17" t="s">
        <v>809</v>
      </c>
      <c r="N412" s="17" t="s">
        <v>810</v>
      </c>
      <c r="O412" s="17" t="s">
        <v>811</v>
      </c>
      <c r="P412" s="17" t="s">
        <v>812</v>
      </c>
      <c r="Q412" s="17" t="s">
        <v>813</v>
      </c>
      <c r="R412" s="17" t="s">
        <v>814</v>
      </c>
      <c r="S412" s="17" t="s">
        <v>815</v>
      </c>
      <c r="T412" s="15"/>
    </row>
    <row r="413" spans="1:20" x14ac:dyDescent="0.25">
      <c r="A413" s="14">
        <v>400</v>
      </c>
      <c r="B413" s="14">
        <v>3536406</v>
      </c>
      <c r="C413" s="14" t="str">
        <f>IF(ISERR(FIND("-",tab_Geral[[#This Row],[Municípios]],1)),"","Têm Hifen")</f>
        <v/>
      </c>
      <c r="D413" s="14" t="str">
        <f>IF(tab_Geral[[#This Row],[Informação 3]]&lt;&gt;"","","Não Registrado")</f>
        <v/>
      </c>
      <c r="E413" s="14" t="str">
        <f>IF(tab_Geral[[#This Row],[Municípios]]=tab_Geral[[#This Row],[Informação 1]],"","Não!, Erro!")</f>
        <v/>
      </c>
      <c r="F413" s="14" t="str">
        <f>IF(tab_Geral[[#This Row],[Municípios]]=tab_Geral[[#This Row],[Município]],"","Não!, Erro!")</f>
        <v/>
      </c>
      <c r="G413" s="14" t="str">
        <f>VLOOKUP(tab_Geral[[#This Row],[GeoCodigo]],tab_CETESB[],2,FALSE)</f>
        <v>Paulicéia</v>
      </c>
      <c r="H413" s="14" t="str">
        <f>VLOOKUP(tab_Geral[[#This Row],[Informação 3]],tab_AgênciaAmbiental,10,FALSE)</f>
        <v>13</v>
      </c>
      <c r="I413" s="14" t="s">
        <v>411</v>
      </c>
      <c r="J413" s="18" t="s">
        <v>411</v>
      </c>
      <c r="K413" s="17"/>
      <c r="L413" s="17" t="s">
        <v>1894</v>
      </c>
      <c r="M413" s="17" t="s">
        <v>656</v>
      </c>
      <c r="N413" s="17" t="s">
        <v>657</v>
      </c>
      <c r="O413" s="17" t="s">
        <v>658</v>
      </c>
      <c r="P413" s="17" t="s">
        <v>659</v>
      </c>
      <c r="Q413" s="17" t="s">
        <v>660</v>
      </c>
      <c r="R413" s="17" t="s">
        <v>661</v>
      </c>
      <c r="S413" s="17" t="s">
        <v>662</v>
      </c>
      <c r="T413" s="15"/>
    </row>
    <row r="414" spans="1:20" x14ac:dyDescent="0.25">
      <c r="A414" s="14">
        <v>401</v>
      </c>
      <c r="B414" s="14">
        <v>3536505</v>
      </c>
      <c r="C414" s="14" t="str">
        <f>IF(ISERR(FIND("-",tab_Geral[[#This Row],[Municípios]],1)),"","Têm Hifen")</f>
        <v/>
      </c>
      <c r="D414" s="14" t="str">
        <f>IF(tab_Geral[[#This Row],[Informação 3]]&lt;&gt;"","","Não Registrado")</f>
        <v/>
      </c>
      <c r="E414" s="14" t="str">
        <f>IF(tab_Geral[[#This Row],[Municípios]]=tab_Geral[[#This Row],[Informação 1]],"","Não!, Erro!")</f>
        <v/>
      </c>
      <c r="F414" s="14" t="str">
        <f>IF(tab_Geral[[#This Row],[Municípios]]=tab_Geral[[#This Row],[Município]],"","Não!, Erro!")</f>
        <v/>
      </c>
      <c r="G414" s="14" t="str">
        <f>VLOOKUP(tab_Geral[[#This Row],[GeoCodigo]],tab_CETESB[],2,FALSE)</f>
        <v>Paulínia</v>
      </c>
      <c r="H414" s="14" t="str">
        <f>VLOOKUP(tab_Geral[[#This Row],[Informação 3]],tab_AgênciaAmbiental,10,FALSE)</f>
        <v>27</v>
      </c>
      <c r="I414" s="14" t="s">
        <v>412</v>
      </c>
      <c r="J414" s="18" t="s">
        <v>412</v>
      </c>
      <c r="K414" s="17"/>
      <c r="L414" s="17" t="s">
        <v>1908</v>
      </c>
      <c r="M414" s="17" t="s">
        <v>767</v>
      </c>
      <c r="N414" s="17" t="s">
        <v>768</v>
      </c>
      <c r="O414" s="17" t="s">
        <v>769</v>
      </c>
      <c r="P414" s="17" t="s">
        <v>770</v>
      </c>
      <c r="Q414" s="17" t="s">
        <v>771</v>
      </c>
      <c r="R414" s="17" t="s">
        <v>772</v>
      </c>
      <c r="S414" s="17" t="s">
        <v>773</v>
      </c>
      <c r="T414" s="15"/>
    </row>
    <row r="415" spans="1:20" x14ac:dyDescent="0.25">
      <c r="A415" s="14">
        <v>402</v>
      </c>
      <c r="B415" s="14">
        <v>3536570</v>
      </c>
      <c r="C415" s="14" t="str">
        <f>IF(ISERR(FIND("-",tab_Geral[[#This Row],[Municípios]],1)),"","Têm Hifen")</f>
        <v/>
      </c>
      <c r="D415" s="14" t="str">
        <f>IF(tab_Geral[[#This Row],[Informação 3]]&lt;&gt;"","","Não Registrado")</f>
        <v/>
      </c>
      <c r="E415" s="14" t="str">
        <f>IF(tab_Geral[[#This Row],[Municípios]]=tab_Geral[[#This Row],[Informação 1]],"","Não!, Erro!")</f>
        <v/>
      </c>
      <c r="F415" s="14" t="str">
        <f>IF(tab_Geral[[#This Row],[Municípios]]=tab_Geral[[#This Row],[Município]],"","Não!, Erro!")</f>
        <v/>
      </c>
      <c r="G415" s="14" t="str">
        <f>VLOOKUP(tab_Geral[[#This Row],[GeoCodigo]],tab_CETESB[],2,FALSE)</f>
        <v>Paulistânia</v>
      </c>
      <c r="H415" s="14" t="str">
        <f>VLOOKUP(tab_Geral[[#This Row],[Informação 3]],tab_AgênciaAmbiental,10,FALSE)</f>
        <v>8</v>
      </c>
      <c r="I415" s="14" t="s">
        <v>413</v>
      </c>
      <c r="J415" s="18" t="s">
        <v>413</v>
      </c>
      <c r="K415" s="17"/>
      <c r="L415" s="17" t="s">
        <v>1889</v>
      </c>
      <c r="M415" s="17" t="s">
        <v>694</v>
      </c>
      <c r="N415" s="17" t="s">
        <v>695</v>
      </c>
      <c r="O415" s="17" t="s">
        <v>696</v>
      </c>
      <c r="P415" s="17" t="s">
        <v>697</v>
      </c>
      <c r="Q415" s="17" t="s">
        <v>698</v>
      </c>
      <c r="R415" s="17" t="s">
        <v>699</v>
      </c>
      <c r="S415" s="17" t="s">
        <v>700</v>
      </c>
      <c r="T415" s="15"/>
    </row>
    <row r="416" spans="1:20" x14ac:dyDescent="0.25">
      <c r="A416" s="14">
        <v>403</v>
      </c>
      <c r="B416" s="14">
        <v>3536604</v>
      </c>
      <c r="C416" s="14" t="str">
        <f>IF(ISERR(FIND("-",tab_Geral[[#This Row],[Municípios]],1)),"","Têm Hifen")</f>
        <v/>
      </c>
      <c r="D416" s="14" t="str">
        <f>IF(tab_Geral[[#This Row],[Informação 3]]&lt;&gt;"","","Não Registrado")</f>
        <v/>
      </c>
      <c r="E416" s="14" t="str">
        <f>IF(tab_Geral[[#This Row],[Municípios]]=tab_Geral[[#This Row],[Informação 1]],"","Não!, Erro!")</f>
        <v/>
      </c>
      <c r="F416" s="14" t="str">
        <f>IF(tab_Geral[[#This Row],[Municípios]]=tab_Geral[[#This Row],[Município]],"","Não!, Erro!")</f>
        <v/>
      </c>
      <c r="G416" s="14" t="str">
        <f>VLOOKUP(tab_Geral[[#This Row],[GeoCodigo]],tab_CETESB[],2,FALSE)</f>
        <v>Paulo de Faria</v>
      </c>
      <c r="H416" s="14" t="str">
        <f>VLOOKUP(tab_Geral[[#This Row],[Informação 3]],tab_AgênciaAmbiental,10,FALSE)</f>
        <v>41</v>
      </c>
      <c r="I416" s="14" t="s">
        <v>414</v>
      </c>
      <c r="J416" s="18" t="s">
        <v>414</v>
      </c>
      <c r="K416" s="17"/>
      <c r="L416" s="17" t="s">
        <v>1922</v>
      </c>
      <c r="M416" s="17" t="s">
        <v>739</v>
      </c>
      <c r="N416" s="17" t="s">
        <v>740</v>
      </c>
      <c r="O416" s="17" t="s">
        <v>741</v>
      </c>
      <c r="P416" s="17" t="s">
        <v>742</v>
      </c>
      <c r="Q416" s="17" t="s">
        <v>743</v>
      </c>
      <c r="R416" s="17" t="s">
        <v>744</v>
      </c>
      <c r="S416" s="17" t="s">
        <v>745</v>
      </c>
      <c r="T416" s="15"/>
    </row>
    <row r="417" spans="1:20" x14ac:dyDescent="0.25">
      <c r="A417" s="14">
        <v>404</v>
      </c>
      <c r="B417" s="14">
        <v>3536703</v>
      </c>
      <c r="C417" s="14" t="str">
        <f>IF(ISERR(FIND("-",tab_Geral[[#This Row],[Municípios]],1)),"","Têm Hifen")</f>
        <v/>
      </c>
      <c r="D417" s="14" t="str">
        <f>IF(tab_Geral[[#This Row],[Informação 3]]&lt;&gt;"","","Não Registrado")</f>
        <v/>
      </c>
      <c r="E417" s="14" t="str">
        <f>IF(tab_Geral[[#This Row],[Municípios]]=tab_Geral[[#This Row],[Informação 1]],"","Não!, Erro!")</f>
        <v/>
      </c>
      <c r="F417" s="14" t="str">
        <f>IF(tab_Geral[[#This Row],[Municípios]]=tab_Geral[[#This Row],[Município]],"","Não!, Erro!")</f>
        <v/>
      </c>
      <c r="G417" s="14" t="str">
        <f>VLOOKUP(tab_Geral[[#This Row],[GeoCodigo]],tab_CETESB[],2,FALSE)</f>
        <v>Pederneiras</v>
      </c>
      <c r="H417" s="14" t="str">
        <f>VLOOKUP(tab_Geral[[#This Row],[Informação 3]],tab_AgênciaAmbiental,10,FALSE)</f>
        <v>8</v>
      </c>
      <c r="I417" s="14" t="s">
        <v>415</v>
      </c>
      <c r="J417" s="18" t="s">
        <v>415</v>
      </c>
      <c r="K417" s="17"/>
      <c r="L417" s="17" t="s">
        <v>1889</v>
      </c>
      <c r="M417" s="17" t="s">
        <v>694</v>
      </c>
      <c r="N417" s="17" t="s">
        <v>695</v>
      </c>
      <c r="O417" s="17" t="s">
        <v>696</v>
      </c>
      <c r="P417" s="17" t="s">
        <v>697</v>
      </c>
      <c r="Q417" s="17" t="s">
        <v>698</v>
      </c>
      <c r="R417" s="17" t="s">
        <v>699</v>
      </c>
      <c r="S417" s="17" t="s">
        <v>700</v>
      </c>
      <c r="T417" s="15"/>
    </row>
    <row r="418" spans="1:20" x14ac:dyDescent="0.25">
      <c r="A418" s="14">
        <v>405</v>
      </c>
      <c r="B418" s="14">
        <v>3536802</v>
      </c>
      <c r="C418" s="14" t="str">
        <f>IF(ISERR(FIND("-",tab_Geral[[#This Row],[Municípios]],1)),"","Têm Hifen")</f>
        <v/>
      </c>
      <c r="D418" s="14" t="str">
        <f>IF(tab_Geral[[#This Row],[Informação 3]]&lt;&gt;"","","Não Registrado")</f>
        <v/>
      </c>
      <c r="E418" s="14" t="str">
        <f>IF(tab_Geral[[#This Row],[Municípios]]=tab_Geral[[#This Row],[Informação 1]],"","Não!, Erro!")</f>
        <v/>
      </c>
      <c r="F418" s="14" t="str">
        <f>IF(tab_Geral[[#This Row],[Municípios]]=tab_Geral[[#This Row],[Município]],"","Não!, Erro!")</f>
        <v/>
      </c>
      <c r="G418" s="14" t="str">
        <f>VLOOKUP(tab_Geral[[#This Row],[GeoCodigo]],tab_CETESB[],2,FALSE)</f>
        <v>Pedra Bela</v>
      </c>
      <c r="H418" s="14" t="str">
        <f>VLOOKUP(tab_Geral[[#This Row],[Informação 3]],tab_AgênciaAmbiental,10,FALSE)</f>
        <v>5</v>
      </c>
      <c r="I418" s="14" t="s">
        <v>416</v>
      </c>
      <c r="J418" s="18" t="s">
        <v>416</v>
      </c>
      <c r="K418" s="17"/>
      <c r="L418" s="17" t="s">
        <v>1886</v>
      </c>
      <c r="M418" s="17" t="s">
        <v>837</v>
      </c>
      <c r="N418" s="17" t="s">
        <v>657</v>
      </c>
      <c r="O418" s="17" t="s">
        <v>838</v>
      </c>
      <c r="P418" s="17" t="s">
        <v>839</v>
      </c>
      <c r="Q418" s="17" t="s">
        <v>840</v>
      </c>
      <c r="R418" s="17" t="s">
        <v>841</v>
      </c>
      <c r="S418" s="17" t="s">
        <v>842</v>
      </c>
      <c r="T418" s="15"/>
    </row>
    <row r="419" spans="1:20" x14ac:dyDescent="0.25">
      <c r="A419" s="14">
        <v>406</v>
      </c>
      <c r="B419" s="14">
        <v>3536901</v>
      </c>
      <c r="C419" s="14" t="str">
        <f>IF(ISERR(FIND("-",tab_Geral[[#This Row],[Municípios]],1)),"","Têm Hifen")</f>
        <v/>
      </c>
      <c r="D419" s="14" t="str">
        <f>IF(tab_Geral[[#This Row],[Informação 3]]&lt;&gt;"","","Não Registrado")</f>
        <v/>
      </c>
      <c r="E419" s="14" t="str">
        <f>IF(tab_Geral[[#This Row],[Municípios]]=tab_Geral[[#This Row],[Informação 1]],"","Não!, Erro!")</f>
        <v/>
      </c>
      <c r="F419" s="14" t="str">
        <f>IF(tab_Geral[[#This Row],[Municípios]]=tab_Geral[[#This Row],[Município]],"","Não!, Erro!")</f>
        <v/>
      </c>
      <c r="G419" s="14" t="str">
        <f>VLOOKUP(tab_Geral[[#This Row],[GeoCodigo]],tab_CETESB[],2,FALSE)</f>
        <v>Pedranópolis</v>
      </c>
      <c r="H419" s="14" t="str">
        <f>VLOOKUP(tab_Geral[[#This Row],[Informação 3]],tab_AgênciaAmbiental,10,FALSE)</f>
        <v>41</v>
      </c>
      <c r="I419" s="14" t="s">
        <v>417</v>
      </c>
      <c r="J419" s="18" t="s">
        <v>417</v>
      </c>
      <c r="K419" s="17"/>
      <c r="L419" s="17" t="s">
        <v>1922</v>
      </c>
      <c r="M419" s="17" t="s">
        <v>739</v>
      </c>
      <c r="N419" s="17" t="s">
        <v>740</v>
      </c>
      <c r="O419" s="17" t="s">
        <v>741</v>
      </c>
      <c r="P419" s="17" t="s">
        <v>742</v>
      </c>
      <c r="Q419" s="17" t="s">
        <v>743</v>
      </c>
      <c r="R419" s="17" t="s">
        <v>744</v>
      </c>
      <c r="S419" s="17" t="s">
        <v>745</v>
      </c>
      <c r="T419" s="15"/>
    </row>
    <row r="420" spans="1:20" x14ac:dyDescent="0.25">
      <c r="A420" s="14">
        <v>407</v>
      </c>
      <c r="B420" s="14">
        <v>3537008</v>
      </c>
      <c r="C420" s="14" t="str">
        <f>IF(ISERR(FIND("-",tab_Geral[[#This Row],[Municípios]],1)),"","Têm Hifen")</f>
        <v/>
      </c>
      <c r="D420" s="14" t="str">
        <f>IF(tab_Geral[[#This Row],[Informação 3]]&lt;&gt;"","","Não Registrado")</f>
        <v/>
      </c>
      <c r="E420" s="14" t="str">
        <f>IF(tab_Geral[[#This Row],[Municípios]]=tab_Geral[[#This Row],[Informação 1]],"","Não!, Erro!")</f>
        <v/>
      </c>
      <c r="F420" s="14" t="str">
        <f>IF(tab_Geral[[#This Row],[Municípios]]=tab_Geral[[#This Row],[Município]],"","Não!, Erro!")</f>
        <v/>
      </c>
      <c r="G420" s="14" t="str">
        <f>VLOOKUP(tab_Geral[[#This Row],[GeoCodigo]],tab_CETESB[],2,FALSE)</f>
        <v>Pedregulho</v>
      </c>
      <c r="H420" s="14" t="str">
        <f>VLOOKUP(tab_Geral[[#This Row],[Informação 3]],tab_AgênciaAmbiental,10,FALSE)</f>
        <v>15</v>
      </c>
      <c r="I420" s="14" t="s">
        <v>418</v>
      </c>
      <c r="J420" s="18" t="s">
        <v>418</v>
      </c>
      <c r="K420" s="17"/>
      <c r="L420" s="17" t="s">
        <v>1896</v>
      </c>
      <c r="M420" s="17" t="s">
        <v>809</v>
      </c>
      <c r="N420" s="17" t="s">
        <v>810</v>
      </c>
      <c r="O420" s="17" t="s">
        <v>811</v>
      </c>
      <c r="P420" s="17" t="s">
        <v>812</v>
      </c>
      <c r="Q420" s="17" t="s">
        <v>813</v>
      </c>
      <c r="R420" s="17" t="s">
        <v>814</v>
      </c>
      <c r="S420" s="17" t="s">
        <v>815</v>
      </c>
      <c r="T420" s="15"/>
    </row>
    <row r="421" spans="1:20" x14ac:dyDescent="0.25">
      <c r="A421" s="14">
        <v>408</v>
      </c>
      <c r="B421" s="14">
        <v>3537107</v>
      </c>
      <c r="C421" s="14" t="str">
        <f>IF(ISERR(FIND("-",tab_Geral[[#This Row],[Municípios]],1)),"","Têm Hifen")</f>
        <v/>
      </c>
      <c r="D421" s="14" t="str">
        <f>IF(tab_Geral[[#This Row],[Informação 3]]&lt;&gt;"","","Não Registrado")</f>
        <v/>
      </c>
      <c r="E421" s="14" t="str">
        <f>IF(tab_Geral[[#This Row],[Municípios]]=tab_Geral[[#This Row],[Informação 1]],"","Não!, Erro!")</f>
        <v/>
      </c>
      <c r="F421" s="14" t="str">
        <f>IF(tab_Geral[[#This Row],[Municípios]]=tab_Geral[[#This Row],[Município]],"","Não!, Erro!")</f>
        <v/>
      </c>
      <c r="G421" s="14" t="str">
        <f>VLOOKUP(tab_Geral[[#This Row],[GeoCodigo]],tab_CETESB[],2,FALSE)</f>
        <v>Pedreira</v>
      </c>
      <c r="H421" s="14" t="str">
        <f>VLOOKUP(tab_Geral[[#This Row],[Informação 3]],tab_AgênciaAmbiental,10,FALSE)</f>
        <v>27</v>
      </c>
      <c r="I421" s="14" t="s">
        <v>419</v>
      </c>
      <c r="J421" s="18" t="s">
        <v>419</v>
      </c>
      <c r="K421" s="17"/>
      <c r="L421" s="17" t="s">
        <v>1908</v>
      </c>
      <c r="M421" s="17" t="s">
        <v>767</v>
      </c>
      <c r="N421" s="17" t="s">
        <v>768</v>
      </c>
      <c r="O421" s="17" t="s">
        <v>769</v>
      </c>
      <c r="P421" s="17" t="s">
        <v>770</v>
      </c>
      <c r="Q421" s="17" t="s">
        <v>771</v>
      </c>
      <c r="R421" s="17" t="s">
        <v>772</v>
      </c>
      <c r="S421" s="17" t="s">
        <v>773</v>
      </c>
      <c r="T421" s="15"/>
    </row>
    <row r="422" spans="1:20" x14ac:dyDescent="0.25">
      <c r="A422" s="14">
        <v>409</v>
      </c>
      <c r="B422" s="14">
        <v>3537156</v>
      </c>
      <c r="C422" s="14" t="str">
        <f>IF(ISERR(FIND("-",tab_Geral[[#This Row],[Municípios]],1)),"","Têm Hifen")</f>
        <v/>
      </c>
      <c r="D422" s="14" t="str">
        <f>IF(tab_Geral[[#This Row],[Informação 3]]&lt;&gt;"","","Não Registrado")</f>
        <v/>
      </c>
      <c r="E422" s="14" t="str">
        <f>IF(tab_Geral[[#This Row],[Municípios]]=tab_Geral[[#This Row],[Informação 1]],"","Não!, Erro!")</f>
        <v/>
      </c>
      <c r="F422" s="14" t="str">
        <f>IF(tab_Geral[[#This Row],[Municípios]]=tab_Geral[[#This Row],[Município]],"","Não!, Erro!")</f>
        <v/>
      </c>
      <c r="G422" s="14" t="str">
        <f>VLOOKUP(tab_Geral[[#This Row],[GeoCodigo]],tab_CETESB[],2,FALSE)</f>
        <v>Pedrinhas Paulista</v>
      </c>
      <c r="H422" s="14" t="str">
        <f>VLOOKUP(tab_Geral[[#This Row],[Informação 3]],tab_AgênciaAmbiental,10,FALSE)</f>
        <v>4</v>
      </c>
      <c r="I422" s="14" t="s">
        <v>420</v>
      </c>
      <c r="J422" s="18" t="s">
        <v>420</v>
      </c>
      <c r="K422" s="17"/>
      <c r="L422" s="17" t="s">
        <v>1885</v>
      </c>
      <c r="M422" s="17" t="s">
        <v>830</v>
      </c>
      <c r="N422" s="17" t="s">
        <v>831</v>
      </c>
      <c r="O422" s="17" t="s">
        <v>832</v>
      </c>
      <c r="P422" s="17" t="s">
        <v>833</v>
      </c>
      <c r="Q422" s="17" t="s">
        <v>834</v>
      </c>
      <c r="R422" s="17" t="s">
        <v>835</v>
      </c>
      <c r="S422" s="17" t="s">
        <v>836</v>
      </c>
      <c r="T422" s="15"/>
    </row>
    <row r="423" spans="1:20" x14ac:dyDescent="0.25">
      <c r="A423" s="14">
        <v>410</v>
      </c>
      <c r="B423" s="14">
        <v>3537206</v>
      </c>
      <c r="C423" s="14" t="str">
        <f>IF(ISERR(FIND("-",tab_Geral[[#This Row],[Municípios]],1)),"","Têm Hifen")</f>
        <v/>
      </c>
      <c r="D423" s="14" t="str">
        <f>IF(tab_Geral[[#This Row],[Informação 3]]&lt;&gt;"","","Não Registrado")</f>
        <v/>
      </c>
      <c r="E423" s="14" t="str">
        <f>IF(tab_Geral[[#This Row],[Municípios]]=tab_Geral[[#This Row],[Informação 1]],"","Não!, Erro!")</f>
        <v/>
      </c>
      <c r="F423" s="14" t="str">
        <f>IF(tab_Geral[[#This Row],[Municípios]]=tab_Geral[[#This Row],[Município]],"","Não!, Erro!")</f>
        <v/>
      </c>
      <c r="G423" s="14" t="str">
        <f>VLOOKUP(tab_Geral[[#This Row],[GeoCodigo]],tab_CETESB[],2,FALSE)</f>
        <v>Pedro de Toledo</v>
      </c>
      <c r="H423" s="14" t="str">
        <f>VLOOKUP(tab_Geral[[#This Row],[Informação 3]],tab_AgênciaAmbiental,10,FALSE)</f>
        <v>30</v>
      </c>
      <c r="I423" s="14" t="s">
        <v>421</v>
      </c>
      <c r="J423" s="18" t="s">
        <v>421</v>
      </c>
      <c r="K423" s="17"/>
      <c r="L423" s="17" t="s">
        <v>1911</v>
      </c>
      <c r="M423" s="17" t="s">
        <v>843</v>
      </c>
      <c r="N423" s="17" t="s">
        <v>844</v>
      </c>
      <c r="O423" s="17" t="s">
        <v>845</v>
      </c>
      <c r="P423" s="17" t="s">
        <v>846</v>
      </c>
      <c r="Q423" s="17" t="s">
        <v>847</v>
      </c>
      <c r="R423" s="17" t="s">
        <v>848</v>
      </c>
      <c r="S423" s="17" t="s">
        <v>849</v>
      </c>
      <c r="T423" s="15"/>
    </row>
    <row r="424" spans="1:20" x14ac:dyDescent="0.25">
      <c r="A424" s="14">
        <v>411</v>
      </c>
      <c r="B424" s="14">
        <v>3537305</v>
      </c>
      <c r="C424" s="14" t="str">
        <f>IF(ISERR(FIND("-",tab_Geral[[#This Row],[Municípios]],1)),"","Têm Hifen")</f>
        <v/>
      </c>
      <c r="D424" s="14" t="str">
        <f>IF(tab_Geral[[#This Row],[Informação 3]]&lt;&gt;"","","Não Registrado")</f>
        <v/>
      </c>
      <c r="E424" s="14" t="str">
        <f>IF(tab_Geral[[#This Row],[Municípios]]=tab_Geral[[#This Row],[Informação 1]],"","Não!, Erro!")</f>
        <v/>
      </c>
      <c r="F424" s="14" t="str">
        <f>IF(tab_Geral[[#This Row],[Municípios]]=tab_Geral[[#This Row],[Município]],"","Não!, Erro!")</f>
        <v/>
      </c>
      <c r="G424" s="14" t="str">
        <f>VLOOKUP(tab_Geral[[#This Row],[GeoCodigo]],tab_CETESB[],2,FALSE)</f>
        <v>Penápolis</v>
      </c>
      <c r="H424" s="14" t="str">
        <f>VLOOKUP(tab_Geral[[#This Row],[Informação 3]],tab_AgênciaAmbiental,10,FALSE)</f>
        <v>2</v>
      </c>
      <c r="I424" s="14" t="s">
        <v>422</v>
      </c>
      <c r="J424" s="18" t="s">
        <v>422</v>
      </c>
      <c r="K424" s="17"/>
      <c r="L424" s="17" t="s">
        <v>1883</v>
      </c>
      <c r="M424" s="17" t="s">
        <v>727</v>
      </c>
      <c r="N424" s="17" t="s">
        <v>728</v>
      </c>
      <c r="O424" s="17" t="s">
        <v>729</v>
      </c>
      <c r="P424" s="17" t="s">
        <v>730</v>
      </c>
      <c r="Q424" s="17" t="s">
        <v>731</v>
      </c>
      <c r="R424" s="17" t="s">
        <v>732</v>
      </c>
      <c r="S424" s="17" t="s">
        <v>936</v>
      </c>
    </row>
    <row r="425" spans="1:20" x14ac:dyDescent="0.25">
      <c r="A425" s="14">
        <v>412</v>
      </c>
      <c r="B425" s="14">
        <v>3537404</v>
      </c>
      <c r="C425" s="14" t="str">
        <f>IF(ISERR(FIND("-",tab_Geral[[#This Row],[Municípios]],1)),"","Têm Hifen")</f>
        <v/>
      </c>
      <c r="D425" s="14" t="str">
        <f>IF(tab_Geral[[#This Row],[Informação 3]]&lt;&gt;"","","Não Registrado")</f>
        <v/>
      </c>
      <c r="E425" s="14" t="str">
        <f>IF(tab_Geral[[#This Row],[Municípios]]=tab_Geral[[#This Row],[Informação 1]],"","Não!, Erro!")</f>
        <v/>
      </c>
      <c r="F425" s="14" t="str">
        <f>IF(tab_Geral[[#This Row],[Municípios]]=tab_Geral[[#This Row],[Município]],"","Não!, Erro!")</f>
        <v/>
      </c>
      <c r="G425" s="14" t="str">
        <f>VLOOKUP(tab_Geral[[#This Row],[GeoCodigo]],tab_CETESB[],2,FALSE)</f>
        <v>Pereira Barreto</v>
      </c>
      <c r="H425" s="14" t="str">
        <f>VLOOKUP(tab_Geral[[#This Row],[Informação 3]],tab_AgênciaAmbiental,10,FALSE)</f>
        <v>20</v>
      </c>
      <c r="I425" s="14" t="s">
        <v>423</v>
      </c>
      <c r="J425" s="18" t="s">
        <v>423</v>
      </c>
      <c r="K425" s="17"/>
      <c r="L425" s="17" t="s">
        <v>1901</v>
      </c>
      <c r="M425" s="17" t="s">
        <v>788</v>
      </c>
      <c r="N425" s="17" t="s">
        <v>789</v>
      </c>
      <c r="O425" s="17" t="s">
        <v>790</v>
      </c>
      <c r="P425" s="17" t="s">
        <v>791</v>
      </c>
      <c r="Q425" s="17" t="s">
        <v>792</v>
      </c>
      <c r="R425" s="17" t="s">
        <v>793</v>
      </c>
      <c r="S425" s="17" t="s">
        <v>794</v>
      </c>
      <c r="T425" s="15"/>
    </row>
    <row r="426" spans="1:20" x14ac:dyDescent="0.25">
      <c r="A426" s="14">
        <v>413</v>
      </c>
      <c r="B426" s="14">
        <v>3537503</v>
      </c>
      <c r="C426" s="14" t="str">
        <f>IF(ISERR(FIND("-",tab_Geral[[#This Row],[Municípios]],1)),"","Têm Hifen")</f>
        <v/>
      </c>
      <c r="D426" s="14" t="str">
        <f>IF(tab_Geral[[#This Row],[Informação 3]]&lt;&gt;"","","Não Registrado")</f>
        <v/>
      </c>
      <c r="E426" s="14" t="str">
        <f>IF(tab_Geral[[#This Row],[Municípios]]=tab_Geral[[#This Row],[Informação 1]],"","Não!, Erro!")</f>
        <v/>
      </c>
      <c r="F426" s="14" t="str">
        <f>IF(tab_Geral[[#This Row],[Municípios]]=tab_Geral[[#This Row],[Município]],"","Não!, Erro!")</f>
        <v/>
      </c>
      <c r="G426" s="14" t="str">
        <f>VLOOKUP(tab_Geral[[#This Row],[GeoCodigo]],tab_CETESB[],2,FALSE)</f>
        <v>Pereiras</v>
      </c>
      <c r="H426" s="14" t="str">
        <f>VLOOKUP(tab_Geral[[#This Row],[Informação 3]],tab_AgênciaAmbiental,10,FALSE)</f>
        <v>9</v>
      </c>
      <c r="I426" s="14" t="s">
        <v>424</v>
      </c>
      <c r="J426" s="18" t="s">
        <v>424</v>
      </c>
      <c r="K426" s="17"/>
      <c r="L426" s="17" t="s">
        <v>1890</v>
      </c>
      <c r="M426" s="17" t="s">
        <v>774</v>
      </c>
      <c r="N426" s="17" t="s">
        <v>775</v>
      </c>
      <c r="O426" s="17" t="s">
        <v>776</v>
      </c>
      <c r="P426" s="17" t="s">
        <v>777</v>
      </c>
      <c r="Q426" s="17" t="s">
        <v>778</v>
      </c>
      <c r="R426" s="17" t="s">
        <v>779</v>
      </c>
      <c r="S426" s="17" t="s">
        <v>780</v>
      </c>
      <c r="T426" s="15"/>
    </row>
    <row r="427" spans="1:20" x14ac:dyDescent="0.25">
      <c r="A427" s="14">
        <v>414</v>
      </c>
      <c r="B427" s="14">
        <v>3537602</v>
      </c>
      <c r="C427" s="14" t="str">
        <f>IF(ISERR(FIND("-",tab_Geral[[#This Row],[Municípios]],1)),"","Têm Hifen")</f>
        <v/>
      </c>
      <c r="D427" s="14" t="str">
        <f>IF(tab_Geral[[#This Row],[Informação 3]]&lt;&gt;"","","Não Registrado")</f>
        <v/>
      </c>
      <c r="E427" s="14" t="str">
        <f>IF(tab_Geral[[#This Row],[Municípios]]=tab_Geral[[#This Row],[Informação 1]],"","Não!, Erro!")</f>
        <v/>
      </c>
      <c r="F427" s="14" t="str">
        <f>IF(tab_Geral[[#This Row],[Municípios]]=tab_Geral[[#This Row],[Município]],"","Não!, Erro!")</f>
        <v/>
      </c>
      <c r="G427" s="14" t="str">
        <f>VLOOKUP(tab_Geral[[#This Row],[GeoCodigo]],tab_CETESB[],2,FALSE)</f>
        <v>Peruíbe</v>
      </c>
      <c r="H427" s="14" t="str">
        <f>VLOOKUP(tab_Geral[[#This Row],[Informação 3]],tab_AgênciaAmbiental,10,FALSE)</f>
        <v>33</v>
      </c>
      <c r="I427" s="14" t="s">
        <v>425</v>
      </c>
      <c r="J427" s="18" t="s">
        <v>425</v>
      </c>
      <c r="K427" s="17"/>
      <c r="L427" s="17" t="s">
        <v>1914</v>
      </c>
      <c r="M427" s="17" t="s">
        <v>926</v>
      </c>
      <c r="N427" s="17" t="s">
        <v>927</v>
      </c>
      <c r="O427" s="17" t="s">
        <v>928</v>
      </c>
      <c r="P427" s="17" t="s">
        <v>929</v>
      </c>
      <c r="Q427" s="17" t="s">
        <v>930</v>
      </c>
      <c r="R427" s="17" t="s">
        <v>931</v>
      </c>
      <c r="S427" s="17" t="s">
        <v>932</v>
      </c>
      <c r="T427" s="15"/>
    </row>
    <row r="428" spans="1:20" x14ac:dyDescent="0.25">
      <c r="A428" s="14">
        <v>415</v>
      </c>
      <c r="B428" s="14">
        <v>3537701</v>
      </c>
      <c r="C428" s="14" t="str">
        <f>IF(ISERR(FIND("-",tab_Geral[[#This Row],[Municípios]],1)),"","Têm Hifen")</f>
        <v/>
      </c>
      <c r="D428" s="14" t="str">
        <f>IF(tab_Geral[[#This Row],[Informação 3]]&lt;&gt;"","","Não Registrado")</f>
        <v/>
      </c>
      <c r="E428" s="14" t="str">
        <f>IF(tab_Geral[[#This Row],[Municípios]]=tab_Geral[[#This Row],[Informação 1]],"","Não!, Erro!")</f>
        <v/>
      </c>
      <c r="F428" s="14" t="str">
        <f>IF(tab_Geral[[#This Row],[Municípios]]=tab_Geral[[#This Row],[Município]],"","Não!, Erro!")</f>
        <v/>
      </c>
      <c r="G428" s="14" t="str">
        <f>VLOOKUP(tab_Geral[[#This Row],[GeoCodigo]],tab_CETESB[],2,FALSE)</f>
        <v>Piacatu</v>
      </c>
      <c r="H428" s="14" t="str">
        <f>VLOOKUP(tab_Geral[[#This Row],[Informação 3]],tab_AgênciaAmbiental,10,FALSE)</f>
        <v>2</v>
      </c>
      <c r="I428" s="14" t="s">
        <v>426</v>
      </c>
      <c r="J428" s="18" t="s">
        <v>426</v>
      </c>
      <c r="K428" s="17"/>
      <c r="L428" s="17" t="s">
        <v>1883</v>
      </c>
      <c r="M428" s="17" t="s">
        <v>727</v>
      </c>
      <c r="N428" s="17" t="s">
        <v>728</v>
      </c>
      <c r="O428" s="17" t="s">
        <v>729</v>
      </c>
      <c r="P428" s="17" t="s">
        <v>730</v>
      </c>
      <c r="Q428" s="17" t="s">
        <v>731</v>
      </c>
      <c r="R428" s="17" t="s">
        <v>732</v>
      </c>
      <c r="S428" s="17" t="s">
        <v>936</v>
      </c>
    </row>
    <row r="429" spans="1:20" x14ac:dyDescent="0.25">
      <c r="A429" s="14">
        <v>416</v>
      </c>
      <c r="B429" s="14">
        <v>3537800</v>
      </c>
      <c r="C429" s="14" t="str">
        <f>IF(ISERR(FIND("-",tab_Geral[[#This Row],[Municípios]],1)),"","Têm Hifen")</f>
        <v/>
      </c>
      <c r="D429" s="14" t="str">
        <f>IF(tab_Geral[[#This Row],[Informação 3]]&lt;&gt;"","","Não Registrado")</f>
        <v/>
      </c>
      <c r="E429" s="14" t="str">
        <f>IF(tab_Geral[[#This Row],[Municípios]]=tab_Geral[[#This Row],[Informação 1]],"","Não!, Erro!")</f>
        <v/>
      </c>
      <c r="F429" s="14" t="str">
        <f>IF(tab_Geral[[#This Row],[Municípios]]=tab_Geral[[#This Row],[Município]],"","Não!, Erro!")</f>
        <v/>
      </c>
      <c r="G429" s="14" t="str">
        <f>VLOOKUP(tab_Geral[[#This Row],[GeoCodigo]],tab_CETESB[],2,FALSE)</f>
        <v>Piedade</v>
      </c>
      <c r="H429" s="14" t="str">
        <f>VLOOKUP(tab_Geral[[#This Row],[Informação 3]],tab_AgênciaAmbiental,10,FALSE)</f>
        <v>39</v>
      </c>
      <c r="I429" s="14" t="s">
        <v>427</v>
      </c>
      <c r="J429" s="18" t="s">
        <v>427</v>
      </c>
      <c r="K429" s="17"/>
      <c r="L429" s="17" t="s">
        <v>1920</v>
      </c>
      <c r="M429" s="17" t="s">
        <v>802</v>
      </c>
      <c r="N429" s="17" t="s">
        <v>803</v>
      </c>
      <c r="O429" s="17" t="s">
        <v>804</v>
      </c>
      <c r="P429" s="17" t="s">
        <v>805</v>
      </c>
      <c r="Q429" s="17" t="s">
        <v>806</v>
      </c>
      <c r="R429" s="17" t="s">
        <v>807</v>
      </c>
      <c r="S429" s="17" t="s">
        <v>808</v>
      </c>
      <c r="T429" s="15"/>
    </row>
    <row r="430" spans="1:20" x14ac:dyDescent="0.25">
      <c r="A430" s="14">
        <v>417</v>
      </c>
      <c r="B430" s="14">
        <v>3537909</v>
      </c>
      <c r="C430" s="14" t="str">
        <f>IF(ISERR(FIND("-",tab_Geral[[#This Row],[Municípios]],1)),"","Têm Hifen")</f>
        <v/>
      </c>
      <c r="D430" s="14" t="str">
        <f>IF(tab_Geral[[#This Row],[Informação 3]]&lt;&gt;"","","Não Registrado")</f>
        <v/>
      </c>
      <c r="E430" s="14" t="str">
        <f>IF(tab_Geral[[#This Row],[Municípios]]=tab_Geral[[#This Row],[Informação 1]],"","Não!, Erro!")</f>
        <v/>
      </c>
      <c r="F430" s="14" t="str">
        <f>IF(tab_Geral[[#This Row],[Municípios]]=tab_Geral[[#This Row],[Município]],"","Não!, Erro!")</f>
        <v/>
      </c>
      <c r="G430" s="14" t="str">
        <f>VLOOKUP(tab_Geral[[#This Row],[GeoCodigo]],tab_CETESB[],2,FALSE)</f>
        <v>Pilar do Sul</v>
      </c>
      <c r="H430" s="14" t="str">
        <f>VLOOKUP(tab_Geral[[#This Row],[Informação 3]],tab_AgênciaAmbiental,10,FALSE)</f>
        <v>39</v>
      </c>
      <c r="I430" s="14" t="s">
        <v>428</v>
      </c>
      <c r="J430" s="18" t="s">
        <v>428</v>
      </c>
      <c r="K430" s="17"/>
      <c r="L430" s="17" t="s">
        <v>1920</v>
      </c>
      <c r="M430" s="17" t="s">
        <v>802</v>
      </c>
      <c r="N430" s="17" t="s">
        <v>803</v>
      </c>
      <c r="O430" s="17" t="s">
        <v>804</v>
      </c>
      <c r="P430" s="17" t="s">
        <v>805</v>
      </c>
      <c r="Q430" s="17" t="s">
        <v>806</v>
      </c>
      <c r="R430" s="17" t="s">
        <v>807</v>
      </c>
      <c r="S430" s="17" t="s">
        <v>808</v>
      </c>
      <c r="T430" s="15"/>
    </row>
    <row r="431" spans="1:20" x14ac:dyDescent="0.25">
      <c r="A431" s="14">
        <v>418</v>
      </c>
      <c r="B431" s="14">
        <v>3538006</v>
      </c>
      <c r="C431" s="14" t="str">
        <f>IF(ISERR(FIND("-",tab_Geral[[#This Row],[Municípios]],1)),"","Têm Hifen")</f>
        <v/>
      </c>
      <c r="D431" s="14" t="str">
        <f>IF(tab_Geral[[#This Row],[Informação 3]]&lt;&gt;"","","Não Registrado")</f>
        <v/>
      </c>
      <c r="E431" s="14" t="str">
        <f>IF(tab_Geral[[#This Row],[Municípios]]=tab_Geral[[#This Row],[Informação 1]],"","Não!, Erro!")</f>
        <v/>
      </c>
      <c r="F431" s="14" t="str">
        <f>IF(tab_Geral[[#This Row],[Municípios]]=tab_Geral[[#This Row],[Município]],"","Não!, Erro!")</f>
        <v/>
      </c>
      <c r="G431" s="14" t="str">
        <f>VLOOKUP(tab_Geral[[#This Row],[GeoCodigo]],tab_CETESB[],2,FALSE)</f>
        <v>Pindamonhangaba</v>
      </c>
      <c r="H431" s="14" t="str">
        <f>VLOOKUP(tab_Geral[[#This Row],[Informação 3]],tab_AgênciaAmbiental,10,FALSE)</f>
        <v>40</v>
      </c>
      <c r="I431" s="14" t="s">
        <v>429</v>
      </c>
      <c r="J431" s="18" t="s">
        <v>429</v>
      </c>
      <c r="K431" s="17"/>
      <c r="L431" s="17" t="s">
        <v>1921</v>
      </c>
      <c r="M431" s="17" t="s">
        <v>781</v>
      </c>
      <c r="N431" s="17" t="s">
        <v>782</v>
      </c>
      <c r="O431" s="17" t="s">
        <v>783</v>
      </c>
      <c r="P431" s="17" t="s">
        <v>784</v>
      </c>
      <c r="Q431" s="17" t="s">
        <v>785</v>
      </c>
      <c r="R431" s="17" t="s">
        <v>786</v>
      </c>
      <c r="S431" s="17" t="s">
        <v>787</v>
      </c>
      <c r="T431" s="15"/>
    </row>
    <row r="432" spans="1:20" x14ac:dyDescent="0.25">
      <c r="A432" s="14">
        <v>419</v>
      </c>
      <c r="B432" s="14">
        <v>3538105</v>
      </c>
      <c r="C432" s="14" t="str">
        <f>IF(ISERR(FIND("-",tab_Geral[[#This Row],[Municípios]],1)),"","Têm Hifen")</f>
        <v/>
      </c>
      <c r="D432" s="14" t="str">
        <f>IF(tab_Geral[[#This Row],[Informação 3]]&lt;&gt;"","","Não Registrado")</f>
        <v/>
      </c>
      <c r="E432" s="14" t="str">
        <f>IF(tab_Geral[[#This Row],[Municípios]]=tab_Geral[[#This Row],[Informação 1]],"","Não!, Erro!")</f>
        <v/>
      </c>
      <c r="F432" s="14" t="str">
        <f>IF(tab_Geral[[#This Row],[Municípios]]=tab_Geral[[#This Row],[Município]],"","Não!, Erro!")</f>
        <v/>
      </c>
      <c r="G432" s="14" t="str">
        <f>VLOOKUP(tab_Geral[[#This Row],[GeoCodigo]],tab_CETESB[],2,FALSE)</f>
        <v>Pindorama</v>
      </c>
      <c r="H432" s="14" t="str">
        <f>VLOOKUP(tab_Geral[[#This Row],[Informação 3]],tab_AgênciaAmbiental,10,FALSE)</f>
        <v>36</v>
      </c>
      <c r="I432" s="14" t="s">
        <v>430</v>
      </c>
      <c r="J432" s="18" t="s">
        <v>430</v>
      </c>
      <c r="K432" s="17"/>
      <c r="L432" s="17" t="s">
        <v>1917</v>
      </c>
      <c r="M432" s="17" t="s">
        <v>663</v>
      </c>
      <c r="N432" s="17" t="s">
        <v>664</v>
      </c>
      <c r="O432" s="17" t="s">
        <v>665</v>
      </c>
      <c r="P432" s="17" t="s">
        <v>666</v>
      </c>
      <c r="Q432" s="17" t="s">
        <v>667</v>
      </c>
      <c r="R432" s="17" t="s">
        <v>668</v>
      </c>
      <c r="S432" s="17" t="s">
        <v>938</v>
      </c>
    </row>
    <row r="433" spans="1:20" x14ac:dyDescent="0.25">
      <c r="A433" s="14">
        <v>420</v>
      </c>
      <c r="B433" s="14">
        <v>3538204</v>
      </c>
      <c r="C433" s="14" t="str">
        <f>IF(ISERR(FIND("-",tab_Geral[[#This Row],[Municípios]],1)),"","Têm Hifen")</f>
        <v/>
      </c>
      <c r="D433" s="14" t="str">
        <f>IF(tab_Geral[[#This Row],[Informação 3]]&lt;&gt;"","","Não Registrado")</f>
        <v/>
      </c>
      <c r="E433" s="14" t="str">
        <f>IF(tab_Geral[[#This Row],[Municípios]]=tab_Geral[[#This Row],[Informação 1]],"","Não!, Erro!")</f>
        <v/>
      </c>
      <c r="F433" s="14" t="str">
        <f>IF(tab_Geral[[#This Row],[Municípios]]=tab_Geral[[#This Row],[Município]],"","Não!, Erro!")</f>
        <v/>
      </c>
      <c r="G433" s="14" t="str">
        <f>VLOOKUP(tab_Geral[[#This Row],[GeoCodigo]],tab_CETESB[],2,FALSE)</f>
        <v>Pinhalzinho</v>
      </c>
      <c r="H433" s="14" t="str">
        <f>VLOOKUP(tab_Geral[[#This Row],[Informação 3]],tab_AgênciaAmbiental,10,FALSE)</f>
        <v>5</v>
      </c>
      <c r="I433" s="14" t="s">
        <v>431</v>
      </c>
      <c r="J433" s="18" t="s">
        <v>431</v>
      </c>
      <c r="K433" s="17"/>
      <c r="L433" s="17" t="s">
        <v>1886</v>
      </c>
      <c r="M433" s="17" t="s">
        <v>837</v>
      </c>
      <c r="N433" s="17" t="s">
        <v>657</v>
      </c>
      <c r="O433" s="17" t="s">
        <v>838</v>
      </c>
      <c r="P433" s="17" t="s">
        <v>839</v>
      </c>
      <c r="Q433" s="17" t="s">
        <v>840</v>
      </c>
      <c r="R433" s="17" t="s">
        <v>841</v>
      </c>
      <c r="S433" s="17" t="s">
        <v>842</v>
      </c>
      <c r="T433" s="15"/>
    </row>
    <row r="434" spans="1:20" x14ac:dyDescent="0.25">
      <c r="A434" s="14">
        <v>421</v>
      </c>
      <c r="B434" s="14">
        <v>3538303</v>
      </c>
      <c r="C434" s="14" t="str">
        <f>IF(ISERR(FIND("-",tab_Geral[[#This Row],[Municípios]],1)),"","Têm Hifen")</f>
        <v/>
      </c>
      <c r="D434" s="14" t="str">
        <f>IF(tab_Geral[[#This Row],[Informação 3]]&lt;&gt;"","","Não Registrado")</f>
        <v/>
      </c>
      <c r="E434" s="14" t="str">
        <f>IF(tab_Geral[[#This Row],[Municípios]]=tab_Geral[[#This Row],[Informação 1]],"","Não!, Erro!")</f>
        <v/>
      </c>
      <c r="F434" s="14" t="str">
        <f>IF(tab_Geral[[#This Row],[Municípios]]=tab_Geral[[#This Row],[Município]],"","Não!, Erro!")</f>
        <v/>
      </c>
      <c r="G434" s="14" t="str">
        <f>VLOOKUP(tab_Geral[[#This Row],[GeoCodigo]],tab_CETESB[],2,FALSE)</f>
        <v>Piquerobi</v>
      </c>
      <c r="H434" s="14" t="str">
        <f>VLOOKUP(tab_Geral[[#This Row],[Informação 3]],tab_AgênciaAmbiental,10,FALSE)</f>
        <v>29</v>
      </c>
      <c r="I434" s="14" t="s">
        <v>432</v>
      </c>
      <c r="J434" s="18" t="s">
        <v>432</v>
      </c>
      <c r="K434" s="17"/>
      <c r="L434" s="17" t="s">
        <v>1910</v>
      </c>
      <c r="M434" s="17" t="s">
        <v>707</v>
      </c>
      <c r="N434" s="17" t="s">
        <v>708</v>
      </c>
      <c r="O434" s="17" t="s">
        <v>709</v>
      </c>
      <c r="P434" s="17" t="s">
        <v>710</v>
      </c>
      <c r="Q434" s="17" t="s">
        <v>711</v>
      </c>
      <c r="R434" s="17" t="s">
        <v>686</v>
      </c>
      <c r="S434" s="17" t="s">
        <v>712</v>
      </c>
      <c r="T434" s="15"/>
    </row>
    <row r="435" spans="1:20" x14ac:dyDescent="0.25">
      <c r="A435" s="14">
        <v>422</v>
      </c>
      <c r="B435" s="14">
        <v>3538501</v>
      </c>
      <c r="C435" s="14" t="str">
        <f>IF(ISERR(FIND("-",tab_Geral[[#This Row],[Municípios]],1)),"","Têm Hifen")</f>
        <v/>
      </c>
      <c r="D435" s="14" t="str">
        <f>IF(tab_Geral[[#This Row],[Informação 3]]&lt;&gt;"","","Não Registrado")</f>
        <v/>
      </c>
      <c r="E435" s="14" t="str">
        <f>IF(tab_Geral[[#This Row],[Municípios]]=tab_Geral[[#This Row],[Informação 1]],"","Não!, Erro!")</f>
        <v/>
      </c>
      <c r="F435" s="14" t="str">
        <f>IF(tab_Geral[[#This Row],[Municípios]]=tab_Geral[[#This Row],[Município]],"","Não!, Erro!")</f>
        <v/>
      </c>
      <c r="G435" s="14" t="str">
        <f>VLOOKUP(tab_Geral[[#This Row],[GeoCodigo]],tab_CETESB[],2,FALSE)</f>
        <v>Piquete</v>
      </c>
      <c r="H435" s="14" t="str">
        <f>VLOOKUP(tab_Geral[[#This Row],[Informação 3]],tab_AgênciaAmbiental,10,FALSE)</f>
        <v>40</v>
      </c>
      <c r="I435" s="14" t="s">
        <v>433</v>
      </c>
      <c r="J435" s="18" t="s">
        <v>433</v>
      </c>
      <c r="K435" s="17"/>
      <c r="L435" s="17" t="s">
        <v>1921</v>
      </c>
      <c r="M435" s="17" t="s">
        <v>781</v>
      </c>
      <c r="N435" s="17" t="s">
        <v>782</v>
      </c>
      <c r="O435" s="17" t="s">
        <v>783</v>
      </c>
      <c r="P435" s="17" t="s">
        <v>784</v>
      </c>
      <c r="Q435" s="17" t="s">
        <v>785</v>
      </c>
      <c r="R435" s="17" t="s">
        <v>786</v>
      </c>
      <c r="S435" s="17" t="s">
        <v>787</v>
      </c>
      <c r="T435" s="15"/>
    </row>
    <row r="436" spans="1:20" x14ac:dyDescent="0.25">
      <c r="A436" s="14">
        <v>423</v>
      </c>
      <c r="B436" s="14">
        <v>3538600</v>
      </c>
      <c r="C436" s="14" t="str">
        <f>IF(ISERR(FIND("-",tab_Geral[[#This Row],[Municípios]],1)),"","Têm Hifen")</f>
        <v/>
      </c>
      <c r="D436" s="14" t="str">
        <f>IF(tab_Geral[[#This Row],[Informação 3]]&lt;&gt;"","","Não Registrado")</f>
        <v/>
      </c>
      <c r="E436" s="14" t="str">
        <f>IF(tab_Geral[[#This Row],[Municípios]]=tab_Geral[[#This Row],[Informação 1]],"","Não!, Erro!")</f>
        <v/>
      </c>
      <c r="F436" s="14" t="str">
        <f>IF(tab_Geral[[#This Row],[Municípios]]=tab_Geral[[#This Row],[Município]],"","Não!, Erro!")</f>
        <v/>
      </c>
      <c r="G436" s="14" t="str">
        <f>VLOOKUP(tab_Geral[[#This Row],[GeoCodigo]],tab_CETESB[],2,FALSE)</f>
        <v>Piracaia</v>
      </c>
      <c r="H436" s="14" t="str">
        <f>VLOOKUP(tab_Geral[[#This Row],[Informação 3]],tab_AgênciaAmbiental,10,FALSE)</f>
        <v>5</v>
      </c>
      <c r="I436" s="14" t="s">
        <v>434</v>
      </c>
      <c r="J436" s="18" t="s">
        <v>434</v>
      </c>
      <c r="K436" s="17"/>
      <c r="L436" s="17" t="s">
        <v>1886</v>
      </c>
      <c r="M436" s="17" t="s">
        <v>837</v>
      </c>
      <c r="N436" s="17" t="s">
        <v>657</v>
      </c>
      <c r="O436" s="17" t="s">
        <v>838</v>
      </c>
      <c r="P436" s="17" t="s">
        <v>839</v>
      </c>
      <c r="Q436" s="17" t="s">
        <v>840</v>
      </c>
      <c r="R436" s="17" t="s">
        <v>841</v>
      </c>
      <c r="S436" s="17" t="s">
        <v>842</v>
      </c>
      <c r="T436" s="15"/>
    </row>
    <row r="437" spans="1:20" x14ac:dyDescent="0.25">
      <c r="A437" s="14">
        <v>424</v>
      </c>
      <c r="B437" s="14">
        <v>3538709</v>
      </c>
      <c r="C437" s="14" t="str">
        <f>IF(ISERR(FIND("-",tab_Geral[[#This Row],[Municípios]],1)),"","Têm Hifen")</f>
        <v/>
      </c>
      <c r="D437" s="14" t="str">
        <f>IF(tab_Geral[[#This Row],[Informação 3]]&lt;&gt;"","","Não Registrado")</f>
        <v/>
      </c>
      <c r="E437" s="14" t="str">
        <f>IF(tab_Geral[[#This Row],[Municípios]]=tab_Geral[[#This Row],[Informação 1]],"","Não!, Erro!")</f>
        <v/>
      </c>
      <c r="F437" s="14" t="str">
        <f>IF(tab_Geral[[#This Row],[Municípios]]=tab_Geral[[#This Row],[Município]],"","Não!, Erro!")</f>
        <v/>
      </c>
      <c r="G437" s="14" t="str">
        <f>VLOOKUP(tab_Geral[[#This Row],[GeoCodigo]],tab_CETESB[],2,FALSE)</f>
        <v>Piracicaba</v>
      </c>
      <c r="H437" s="14" t="str">
        <f>VLOOKUP(tab_Geral[[#This Row],[Informação 3]],tab_AgênciaAmbiental,10,FALSE)</f>
        <v>28</v>
      </c>
      <c r="I437" s="14" t="s">
        <v>435</v>
      </c>
      <c r="J437" s="18" t="s">
        <v>435</v>
      </c>
      <c r="K437" s="17"/>
      <c r="L437" s="17" t="s">
        <v>1909</v>
      </c>
      <c r="M437" s="17" t="s">
        <v>688</v>
      </c>
      <c r="N437" s="17" t="s">
        <v>657</v>
      </c>
      <c r="O437" s="17" t="s">
        <v>689</v>
      </c>
      <c r="P437" s="17" t="s">
        <v>690</v>
      </c>
      <c r="Q437" s="17" t="s">
        <v>691</v>
      </c>
      <c r="R437" s="17" t="s">
        <v>692</v>
      </c>
      <c r="S437" s="17" t="s">
        <v>693</v>
      </c>
      <c r="T437" s="15"/>
    </row>
    <row r="438" spans="1:20" x14ac:dyDescent="0.25">
      <c r="A438" s="14">
        <v>425</v>
      </c>
      <c r="B438" s="14">
        <v>3538808</v>
      </c>
      <c r="C438" s="14" t="str">
        <f>IF(ISERR(FIND("-",tab_Geral[[#This Row],[Municípios]],1)),"","Têm Hifen")</f>
        <v/>
      </c>
      <c r="D438" s="14" t="str">
        <f>IF(tab_Geral[[#This Row],[Informação 3]]&lt;&gt;"","","Não Registrado")</f>
        <v/>
      </c>
      <c r="E438" s="14" t="str">
        <f>IF(tab_Geral[[#This Row],[Municípios]]=tab_Geral[[#This Row],[Informação 1]],"","Não!, Erro!")</f>
        <v/>
      </c>
      <c r="F438" s="14" t="str">
        <f>IF(tab_Geral[[#This Row],[Municípios]]=tab_Geral[[#This Row],[Município]],"","Não!, Erro!")</f>
        <v/>
      </c>
      <c r="G438" s="14" t="str">
        <f>VLOOKUP(tab_Geral[[#This Row],[GeoCodigo]],tab_CETESB[],2,FALSE)</f>
        <v>Piraju</v>
      </c>
      <c r="H438" s="14" t="str">
        <f>VLOOKUP(tab_Geral[[#This Row],[Informação 3]],tab_AgênciaAmbiental,10,FALSE)</f>
        <v>6</v>
      </c>
      <c r="I438" s="14" t="s">
        <v>436</v>
      </c>
      <c r="J438" s="18" t="s">
        <v>436</v>
      </c>
      <c r="K438" s="17"/>
      <c r="L438" s="17" t="s">
        <v>1887</v>
      </c>
      <c r="M438" s="17" t="s">
        <v>681</v>
      </c>
      <c r="N438" s="17" t="s">
        <v>682</v>
      </c>
      <c r="O438" s="17" t="s">
        <v>683</v>
      </c>
      <c r="P438" s="17" t="s">
        <v>684</v>
      </c>
      <c r="Q438" s="17" t="s">
        <v>685</v>
      </c>
      <c r="R438" s="17" t="s">
        <v>686</v>
      </c>
      <c r="S438" s="17" t="s">
        <v>687</v>
      </c>
      <c r="T438" s="15"/>
    </row>
    <row r="439" spans="1:20" x14ac:dyDescent="0.25">
      <c r="A439" s="14">
        <v>426</v>
      </c>
      <c r="B439" s="14">
        <v>3538907</v>
      </c>
      <c r="C439" s="14" t="str">
        <f>IF(ISERR(FIND("-",tab_Geral[[#This Row],[Municípios]],1)),"","Têm Hifen")</f>
        <v/>
      </c>
      <c r="D439" s="14" t="str">
        <f>IF(tab_Geral[[#This Row],[Informação 3]]&lt;&gt;"","","Não Registrado")</f>
        <v/>
      </c>
      <c r="E439" s="14" t="str">
        <f>IF(tab_Geral[[#This Row],[Municípios]]=tab_Geral[[#This Row],[Informação 1]],"","Não!, Erro!")</f>
        <v/>
      </c>
      <c r="F439" s="14" t="str">
        <f>IF(tab_Geral[[#This Row],[Municípios]]=tab_Geral[[#This Row],[Município]],"","Não!, Erro!")</f>
        <v/>
      </c>
      <c r="G439" s="14" t="str">
        <f>VLOOKUP(tab_Geral[[#This Row],[GeoCodigo]],tab_CETESB[],2,FALSE)</f>
        <v>Pirajuí</v>
      </c>
      <c r="H439" s="14" t="str">
        <f>VLOOKUP(tab_Geral[[#This Row],[Informação 3]],tab_AgênciaAmbiental,10,FALSE)</f>
        <v>8</v>
      </c>
      <c r="I439" s="14" t="s">
        <v>437</v>
      </c>
      <c r="J439" s="18" t="s">
        <v>437</v>
      </c>
      <c r="K439" s="17"/>
      <c r="L439" s="17" t="s">
        <v>1889</v>
      </c>
      <c r="M439" s="17" t="s">
        <v>694</v>
      </c>
      <c r="N439" s="17" t="s">
        <v>695</v>
      </c>
      <c r="O439" s="17" t="s">
        <v>696</v>
      </c>
      <c r="P439" s="17" t="s">
        <v>697</v>
      </c>
      <c r="Q439" s="17" t="s">
        <v>698</v>
      </c>
      <c r="R439" s="17" t="s">
        <v>699</v>
      </c>
      <c r="S439" s="17" t="s">
        <v>700</v>
      </c>
      <c r="T439" s="15"/>
    </row>
    <row r="440" spans="1:20" x14ac:dyDescent="0.25">
      <c r="A440" s="14">
        <v>427</v>
      </c>
      <c r="B440" s="14">
        <v>3539004</v>
      </c>
      <c r="C440" s="14" t="str">
        <f>IF(ISERR(FIND("-",tab_Geral[[#This Row],[Municípios]],1)),"","Têm Hifen")</f>
        <v/>
      </c>
      <c r="D440" s="14" t="str">
        <f>IF(tab_Geral[[#This Row],[Informação 3]]&lt;&gt;"","","Não Registrado")</f>
        <v/>
      </c>
      <c r="E440" s="14" t="str">
        <f>IF(tab_Geral[[#This Row],[Municípios]]=tab_Geral[[#This Row],[Informação 1]],"","Não!, Erro!")</f>
        <v/>
      </c>
      <c r="F440" s="14" t="str">
        <f>IF(tab_Geral[[#This Row],[Municípios]]=tab_Geral[[#This Row],[Município]],"","Não!, Erro!")</f>
        <v/>
      </c>
      <c r="G440" s="14" t="str">
        <f>VLOOKUP(tab_Geral[[#This Row],[GeoCodigo]],tab_CETESB[],2,FALSE)</f>
        <v>Pirangi</v>
      </c>
      <c r="H440" s="14" t="str">
        <f>VLOOKUP(tab_Geral[[#This Row],[Informação 3]],tab_AgênciaAmbiental,10,FALSE)</f>
        <v>7</v>
      </c>
      <c r="I440" s="14" t="s">
        <v>438</v>
      </c>
      <c r="J440" s="18" t="s">
        <v>438</v>
      </c>
      <c r="K440" s="17"/>
      <c r="L440" s="17" t="s">
        <v>1888</v>
      </c>
      <c r="M440" s="17" t="s">
        <v>713</v>
      </c>
      <c r="N440" s="17" t="s">
        <v>714</v>
      </c>
      <c r="O440" s="17" t="s">
        <v>715</v>
      </c>
      <c r="P440" s="17" t="s">
        <v>716</v>
      </c>
      <c r="Q440" s="17" t="s">
        <v>717</v>
      </c>
      <c r="R440" s="17" t="s">
        <v>718</v>
      </c>
      <c r="S440" s="17" t="s">
        <v>719</v>
      </c>
      <c r="T440" s="15"/>
    </row>
    <row r="441" spans="1:20" x14ac:dyDescent="0.25">
      <c r="A441" s="14">
        <v>428</v>
      </c>
      <c r="B441" s="14">
        <v>3539103</v>
      </c>
      <c r="C441" s="14" t="str">
        <f>IF(ISERR(FIND("-",tab_Geral[[#This Row],[Municípios]],1)),"","Têm Hifen")</f>
        <v/>
      </c>
      <c r="D441" s="14" t="str">
        <f>IF(tab_Geral[[#This Row],[Informação 3]]&lt;&gt;"","","Não Registrado")</f>
        <v/>
      </c>
      <c r="E441" s="14" t="str">
        <f>IF(tab_Geral[[#This Row],[Municípios]]=tab_Geral[[#This Row],[Informação 1]],"","Não!, Erro!")</f>
        <v/>
      </c>
      <c r="F441" s="14" t="str">
        <f>IF(tab_Geral[[#This Row],[Municípios]]=tab_Geral[[#This Row],[Município]],"","Não!, Erro!")</f>
        <v/>
      </c>
      <c r="G441" s="14" t="str">
        <f>VLOOKUP(tab_Geral[[#This Row],[GeoCodigo]],tab_CETESB[],2,FALSE)</f>
        <v>Pirapora do Bom Jesus</v>
      </c>
      <c r="H441" s="14" t="str">
        <f>VLOOKUP(tab_Geral[[#This Row],[Informação 3]],tab_AgênciaAmbiental,10,FALSE)</f>
        <v>26</v>
      </c>
      <c r="I441" s="14" t="s">
        <v>439</v>
      </c>
      <c r="J441" s="18" t="s">
        <v>439</v>
      </c>
      <c r="K441" s="17"/>
      <c r="L441" s="17" t="s">
        <v>1907</v>
      </c>
      <c r="M441" s="17" t="s">
        <v>857</v>
      </c>
      <c r="N441" s="17" t="s">
        <v>858</v>
      </c>
      <c r="O441" s="17" t="s">
        <v>859</v>
      </c>
      <c r="P441" s="17" t="s">
        <v>860</v>
      </c>
      <c r="Q441" s="17" t="s">
        <v>861</v>
      </c>
      <c r="R441" s="17" t="s">
        <v>862</v>
      </c>
      <c r="S441" s="17" t="s">
        <v>863</v>
      </c>
      <c r="T441" s="15"/>
    </row>
    <row r="442" spans="1:20" x14ac:dyDescent="0.25">
      <c r="A442" s="14">
        <v>429</v>
      </c>
      <c r="B442" s="14">
        <v>3539202</v>
      </c>
      <c r="C442" s="14" t="str">
        <f>IF(ISERR(FIND("-",tab_Geral[[#This Row],[Municípios]],1)),"","Têm Hifen")</f>
        <v/>
      </c>
      <c r="D442" s="14" t="str">
        <f>IF(tab_Geral[[#This Row],[Informação 3]]&lt;&gt;"","","Não Registrado")</f>
        <v/>
      </c>
      <c r="E442" s="14" t="str">
        <f>IF(tab_Geral[[#This Row],[Municípios]]=tab_Geral[[#This Row],[Informação 1]],"","Não!, Erro!")</f>
        <v/>
      </c>
      <c r="F442" s="14" t="str">
        <f>IF(tab_Geral[[#This Row],[Municípios]]=tab_Geral[[#This Row],[Município]],"","Não!, Erro!")</f>
        <v/>
      </c>
      <c r="G442" s="14" t="str">
        <f>VLOOKUP(tab_Geral[[#This Row],[GeoCodigo]],tab_CETESB[],2,FALSE)</f>
        <v>Pirapozinho</v>
      </c>
      <c r="H442" s="14" t="str">
        <f>VLOOKUP(tab_Geral[[#This Row],[Informação 3]],tab_AgênciaAmbiental,10,FALSE)</f>
        <v>29</v>
      </c>
      <c r="I442" s="14" t="s">
        <v>440</v>
      </c>
      <c r="J442" s="18" t="s">
        <v>440</v>
      </c>
      <c r="K442" s="17"/>
      <c r="L442" s="17" t="s">
        <v>1910</v>
      </c>
      <c r="M442" s="17" t="s">
        <v>707</v>
      </c>
      <c r="N442" s="17" t="s">
        <v>708</v>
      </c>
      <c r="O442" s="17" t="s">
        <v>709</v>
      </c>
      <c r="P442" s="17" t="s">
        <v>710</v>
      </c>
      <c r="Q442" s="17" t="s">
        <v>711</v>
      </c>
      <c r="R442" s="17" t="s">
        <v>686</v>
      </c>
      <c r="S442" s="17" t="s">
        <v>712</v>
      </c>
      <c r="T442" s="15"/>
    </row>
    <row r="443" spans="1:20" x14ac:dyDescent="0.25">
      <c r="A443" s="14">
        <v>430</v>
      </c>
      <c r="B443" s="14">
        <v>3539301</v>
      </c>
      <c r="C443" s="14" t="str">
        <f>IF(ISERR(FIND("-",tab_Geral[[#This Row],[Municípios]],1)),"","Têm Hifen")</f>
        <v/>
      </c>
      <c r="D443" s="14" t="str">
        <f>IF(tab_Geral[[#This Row],[Informação 3]]&lt;&gt;"","","Não Registrado")</f>
        <v/>
      </c>
      <c r="E443" s="14" t="str">
        <f>IF(tab_Geral[[#This Row],[Municípios]]=tab_Geral[[#This Row],[Informação 1]],"","Não!, Erro!")</f>
        <v/>
      </c>
      <c r="F443" s="14" t="str">
        <f>IF(tab_Geral[[#This Row],[Municípios]]=tab_Geral[[#This Row],[Município]],"","Não!, Erro!")</f>
        <v/>
      </c>
      <c r="G443" s="14" t="str">
        <f>VLOOKUP(tab_Geral[[#This Row],[GeoCodigo]],tab_CETESB[],2,FALSE)</f>
        <v>Pirassununga</v>
      </c>
      <c r="H443" s="14" t="str">
        <f>VLOOKUP(tab_Geral[[#This Row],[Informação 3]],tab_AgênciaAmbiental,10,FALSE)</f>
        <v>25</v>
      </c>
      <c r="I443" s="14" t="s">
        <v>441</v>
      </c>
      <c r="J443" s="18" t="s">
        <v>441</v>
      </c>
      <c r="K443" s="17"/>
      <c r="L443" s="17" t="s">
        <v>1906</v>
      </c>
      <c r="M443" s="17" t="s">
        <v>669</v>
      </c>
      <c r="N443" s="17" t="s">
        <v>670</v>
      </c>
      <c r="O443" s="17" t="s">
        <v>671</v>
      </c>
      <c r="P443" s="17" t="s">
        <v>672</v>
      </c>
      <c r="Q443" s="17" t="s">
        <v>673</v>
      </c>
      <c r="R443" s="17" t="s">
        <v>674</v>
      </c>
      <c r="S443" s="17" t="s">
        <v>675</v>
      </c>
      <c r="T443" s="15"/>
    </row>
    <row r="444" spans="1:20" x14ac:dyDescent="0.25">
      <c r="A444" s="14">
        <v>431</v>
      </c>
      <c r="B444" s="14">
        <v>3539400</v>
      </c>
      <c r="C444" s="14" t="str">
        <f>IF(ISERR(FIND("-",tab_Geral[[#This Row],[Municípios]],1)),"","Têm Hifen")</f>
        <v/>
      </c>
      <c r="D444" s="14" t="str">
        <f>IF(tab_Geral[[#This Row],[Informação 3]]&lt;&gt;"","","Não Registrado")</f>
        <v/>
      </c>
      <c r="E444" s="14" t="str">
        <f>IF(tab_Geral[[#This Row],[Municípios]]=tab_Geral[[#This Row],[Informação 1]],"","Não!, Erro!")</f>
        <v/>
      </c>
      <c r="F444" s="14" t="str">
        <f>IF(tab_Geral[[#This Row],[Municípios]]=tab_Geral[[#This Row],[Município]],"","Não!, Erro!")</f>
        <v/>
      </c>
      <c r="G444" s="14" t="str">
        <f>VLOOKUP(tab_Geral[[#This Row],[GeoCodigo]],tab_CETESB[],2,FALSE)</f>
        <v>Piratininga</v>
      </c>
      <c r="H444" s="14" t="str">
        <f>VLOOKUP(tab_Geral[[#This Row],[Informação 3]],tab_AgênciaAmbiental,10,FALSE)</f>
        <v>8</v>
      </c>
      <c r="I444" s="14" t="s">
        <v>442</v>
      </c>
      <c r="J444" s="18" t="s">
        <v>442</v>
      </c>
      <c r="K444" s="17"/>
      <c r="L444" s="17" t="s">
        <v>1889</v>
      </c>
      <c r="M444" s="17" t="s">
        <v>694</v>
      </c>
      <c r="N444" s="17" t="s">
        <v>695</v>
      </c>
      <c r="O444" s="17" t="s">
        <v>696</v>
      </c>
      <c r="P444" s="17" t="s">
        <v>697</v>
      </c>
      <c r="Q444" s="17" t="s">
        <v>698</v>
      </c>
      <c r="R444" s="17" t="s">
        <v>699</v>
      </c>
      <c r="S444" s="17" t="s">
        <v>700</v>
      </c>
      <c r="T444" s="15"/>
    </row>
    <row r="445" spans="1:20" x14ac:dyDescent="0.25">
      <c r="A445" s="14">
        <v>432</v>
      </c>
      <c r="B445" s="14">
        <v>3539509</v>
      </c>
      <c r="C445" s="14" t="str">
        <f>IF(ISERR(FIND("-",tab_Geral[[#This Row],[Municípios]],1)),"","Têm Hifen")</f>
        <v/>
      </c>
      <c r="D445" s="14" t="str">
        <f>IF(tab_Geral[[#This Row],[Informação 3]]&lt;&gt;"","","Não Registrado")</f>
        <v/>
      </c>
      <c r="E445" s="14" t="str">
        <f>IF(tab_Geral[[#This Row],[Municípios]]=tab_Geral[[#This Row],[Informação 1]],"","Não!, Erro!")</f>
        <v/>
      </c>
      <c r="F445" s="14" t="str">
        <f>IF(tab_Geral[[#This Row],[Municípios]]=tab_Geral[[#This Row],[Município]],"","Não!, Erro!")</f>
        <v/>
      </c>
      <c r="G445" s="14" t="str">
        <f>VLOOKUP(tab_Geral[[#This Row],[GeoCodigo]],tab_CETESB[],2,FALSE)</f>
        <v>Pitangueiras</v>
      </c>
      <c r="H445" s="14" t="str">
        <f>VLOOKUP(tab_Geral[[#This Row],[Informação 3]],tab_AgênciaAmbiental,10,FALSE)</f>
        <v>19</v>
      </c>
      <c r="I445" s="14" t="s">
        <v>443</v>
      </c>
      <c r="J445" s="18" t="s">
        <v>443</v>
      </c>
      <c r="K445" s="17"/>
      <c r="L445" s="17" t="s">
        <v>1900</v>
      </c>
      <c r="M445" s="17" t="s">
        <v>850</v>
      </c>
      <c r="N445" s="17" t="s">
        <v>851</v>
      </c>
      <c r="O445" s="17" t="s">
        <v>852</v>
      </c>
      <c r="P445" s="17" t="s">
        <v>853</v>
      </c>
      <c r="Q445" s="17" t="s">
        <v>854</v>
      </c>
      <c r="R445" s="17" t="s">
        <v>855</v>
      </c>
      <c r="S445" s="17" t="s">
        <v>856</v>
      </c>
      <c r="T445" s="15"/>
    </row>
    <row r="446" spans="1:20" x14ac:dyDescent="0.25">
      <c r="A446" s="14">
        <v>433</v>
      </c>
      <c r="B446" s="14">
        <v>3539608</v>
      </c>
      <c r="C446" s="14" t="str">
        <f>IF(ISERR(FIND("-",tab_Geral[[#This Row],[Municípios]],1)),"","Têm Hifen")</f>
        <v/>
      </c>
      <c r="D446" s="14" t="str">
        <f>IF(tab_Geral[[#This Row],[Informação 3]]&lt;&gt;"","","Não Registrado")</f>
        <v/>
      </c>
      <c r="E446" s="14" t="str">
        <f>IF(tab_Geral[[#This Row],[Municípios]]=tab_Geral[[#This Row],[Informação 1]],"","Não!, Erro!")</f>
        <v/>
      </c>
      <c r="F446" s="14" t="str">
        <f>IF(tab_Geral[[#This Row],[Municípios]]=tab_Geral[[#This Row],[Município]],"","Não!, Erro!")</f>
        <v/>
      </c>
      <c r="G446" s="14" t="str">
        <f>VLOOKUP(tab_Geral[[#This Row],[GeoCodigo]],tab_CETESB[],2,FALSE)</f>
        <v>Planalto</v>
      </c>
      <c r="H446" s="14" t="str">
        <f>VLOOKUP(tab_Geral[[#This Row],[Informação 3]],tab_AgênciaAmbiental,10,FALSE)</f>
        <v>2</v>
      </c>
      <c r="I446" s="14" t="s">
        <v>444</v>
      </c>
      <c r="J446" s="18" t="s">
        <v>444</v>
      </c>
      <c r="K446" s="17"/>
      <c r="L446" s="17" t="s">
        <v>1883</v>
      </c>
      <c r="M446" s="17" t="s">
        <v>727</v>
      </c>
      <c r="N446" s="17" t="s">
        <v>728</v>
      </c>
      <c r="O446" s="17" t="s">
        <v>729</v>
      </c>
      <c r="P446" s="17" t="s">
        <v>730</v>
      </c>
      <c r="Q446" s="17" t="s">
        <v>731</v>
      </c>
      <c r="R446" s="17" t="s">
        <v>732</v>
      </c>
      <c r="S446" s="17" t="s">
        <v>936</v>
      </c>
    </row>
    <row r="447" spans="1:20" x14ac:dyDescent="0.25">
      <c r="A447" s="14">
        <v>434</v>
      </c>
      <c r="B447" s="14">
        <v>3539707</v>
      </c>
      <c r="C447" s="14" t="str">
        <f>IF(ISERR(FIND("-",tab_Geral[[#This Row],[Municípios]],1)),"","Têm Hifen")</f>
        <v/>
      </c>
      <c r="D447" s="14" t="str">
        <f>IF(tab_Geral[[#This Row],[Informação 3]]&lt;&gt;"","","Não Registrado")</f>
        <v/>
      </c>
      <c r="E447" s="14" t="str">
        <f>IF(tab_Geral[[#This Row],[Municípios]]=tab_Geral[[#This Row],[Informação 1]],"","Não!, Erro!")</f>
        <v/>
      </c>
      <c r="F447" s="14" t="str">
        <f>IF(tab_Geral[[#This Row],[Municípios]]=tab_Geral[[#This Row],[Município]],"","Não!, Erro!")</f>
        <v/>
      </c>
      <c r="G447" s="14" t="str">
        <f>VLOOKUP(tab_Geral[[#This Row],[GeoCodigo]],tab_CETESB[],2,FALSE)</f>
        <v>Platina</v>
      </c>
      <c r="H447" s="14" t="str">
        <f>VLOOKUP(tab_Geral[[#This Row],[Informação 3]],tab_AgênciaAmbiental,10,FALSE)</f>
        <v>4</v>
      </c>
      <c r="I447" s="14" t="s">
        <v>445</v>
      </c>
      <c r="J447" s="18" t="s">
        <v>445</v>
      </c>
      <c r="K447" s="17"/>
      <c r="L447" s="17" t="s">
        <v>1885</v>
      </c>
      <c r="M447" s="17" t="s">
        <v>830</v>
      </c>
      <c r="N447" s="17" t="s">
        <v>831</v>
      </c>
      <c r="O447" s="17" t="s">
        <v>832</v>
      </c>
      <c r="P447" s="17" t="s">
        <v>833</v>
      </c>
      <c r="Q447" s="17" t="s">
        <v>834</v>
      </c>
      <c r="R447" s="17" t="s">
        <v>835</v>
      </c>
      <c r="S447" s="17" t="s">
        <v>836</v>
      </c>
      <c r="T447" s="15"/>
    </row>
    <row r="448" spans="1:20" x14ac:dyDescent="0.25">
      <c r="A448" s="14">
        <v>435</v>
      </c>
      <c r="B448" s="14">
        <v>3539806</v>
      </c>
      <c r="C448" s="14" t="str">
        <f>IF(ISERR(FIND("-",tab_Geral[[#This Row],[Municípios]],1)),"","Têm Hifen")</f>
        <v/>
      </c>
      <c r="D448" s="14" t="str">
        <f>IF(tab_Geral[[#This Row],[Informação 3]]&lt;&gt;"","","Não Registrado")</f>
        <v/>
      </c>
      <c r="E448" s="14" t="str">
        <f>IF(tab_Geral[[#This Row],[Municípios]]=tab_Geral[[#This Row],[Informação 1]],"","Não!, Erro!")</f>
        <v/>
      </c>
      <c r="F448" s="14" t="str">
        <f>IF(tab_Geral[[#This Row],[Municípios]]=tab_Geral[[#This Row],[Município]],"","Não!, Erro!")</f>
        <v/>
      </c>
      <c r="G448" s="14" t="str">
        <f>VLOOKUP(tab_Geral[[#This Row],[GeoCodigo]],tab_CETESB[],2,FALSE)</f>
        <v>Poá</v>
      </c>
      <c r="H448" s="14" t="str">
        <f>VLOOKUP(tab_Geral[[#This Row],[Informação 3]],tab_AgênciaAmbiental,10,FALSE)</f>
        <v>24</v>
      </c>
      <c r="I448" s="14" t="s">
        <v>446</v>
      </c>
      <c r="J448" s="18" t="s">
        <v>446</v>
      </c>
      <c r="K448" s="17"/>
      <c r="L448" s="17" t="s">
        <v>1905</v>
      </c>
      <c r="M448" s="17" t="s">
        <v>871</v>
      </c>
      <c r="N448" s="17" t="s">
        <v>872</v>
      </c>
      <c r="O448" s="17" t="s">
        <v>873</v>
      </c>
      <c r="P448" s="17" t="s">
        <v>874</v>
      </c>
      <c r="Q448" s="17" t="s">
        <v>875</v>
      </c>
      <c r="R448" s="17" t="s">
        <v>686</v>
      </c>
      <c r="S448" s="17" t="s">
        <v>876</v>
      </c>
      <c r="T448" s="15"/>
    </row>
    <row r="449" spans="1:20" x14ac:dyDescent="0.25">
      <c r="A449" s="14">
        <v>436</v>
      </c>
      <c r="B449" s="14">
        <v>3539905</v>
      </c>
      <c r="C449" s="14" t="str">
        <f>IF(ISERR(FIND("-",tab_Geral[[#This Row],[Municípios]],1)),"","Têm Hifen")</f>
        <v/>
      </c>
      <c r="D449" s="14" t="str">
        <f>IF(tab_Geral[[#This Row],[Informação 3]]&lt;&gt;"","","Não Registrado")</f>
        <v/>
      </c>
      <c r="E449" s="14" t="str">
        <f>IF(tab_Geral[[#This Row],[Municípios]]=tab_Geral[[#This Row],[Informação 1]],"","Não!, Erro!")</f>
        <v/>
      </c>
      <c r="F449" s="14" t="str">
        <f>IF(tab_Geral[[#This Row],[Municípios]]=tab_Geral[[#This Row],[Município]],"","Não!, Erro!")</f>
        <v/>
      </c>
      <c r="G449" s="14" t="str">
        <f>VLOOKUP(tab_Geral[[#This Row],[GeoCodigo]],tab_CETESB[],2,FALSE)</f>
        <v>Poloni</v>
      </c>
      <c r="H449" s="14" t="str">
        <f>VLOOKUP(tab_Geral[[#This Row],[Informação 3]],tab_AgênciaAmbiental,10,FALSE)</f>
        <v>41</v>
      </c>
      <c r="I449" s="14" t="s">
        <v>447</v>
      </c>
      <c r="J449" s="18" t="s">
        <v>447</v>
      </c>
      <c r="K449" s="17"/>
      <c r="L449" s="17" t="s">
        <v>1922</v>
      </c>
      <c r="M449" s="17" t="s">
        <v>739</v>
      </c>
      <c r="N449" s="17" t="s">
        <v>740</v>
      </c>
      <c r="O449" s="17" t="s">
        <v>741</v>
      </c>
      <c r="P449" s="17" t="s">
        <v>742</v>
      </c>
      <c r="Q449" s="17" t="s">
        <v>743</v>
      </c>
      <c r="R449" s="17" t="s">
        <v>744</v>
      </c>
      <c r="S449" s="17" t="s">
        <v>745</v>
      </c>
      <c r="T449" s="15"/>
    </row>
    <row r="450" spans="1:20" x14ac:dyDescent="0.25">
      <c r="A450" s="14">
        <v>437</v>
      </c>
      <c r="B450" s="14">
        <v>3540002</v>
      </c>
      <c r="C450" s="14" t="str">
        <f>IF(ISERR(FIND("-",tab_Geral[[#This Row],[Municípios]],1)),"","Têm Hifen")</f>
        <v/>
      </c>
      <c r="D450" s="14" t="str">
        <f>IF(tab_Geral[[#This Row],[Informação 3]]&lt;&gt;"","","Não Registrado")</f>
        <v/>
      </c>
      <c r="E450" s="14" t="str">
        <f>IF(tab_Geral[[#This Row],[Municípios]]=tab_Geral[[#This Row],[Informação 1]],"","Não!, Erro!")</f>
        <v/>
      </c>
      <c r="F450" s="14" t="str">
        <f>IF(tab_Geral[[#This Row],[Municípios]]=tab_Geral[[#This Row],[Município]],"","Não!, Erro!")</f>
        <v/>
      </c>
      <c r="G450" s="14" t="str">
        <f>VLOOKUP(tab_Geral[[#This Row],[GeoCodigo]],tab_CETESB[],2,FALSE)</f>
        <v>Pompéia</v>
      </c>
      <c r="H450" s="14" t="str">
        <f>VLOOKUP(tab_Geral[[#This Row],[Informação 3]],tab_AgênciaAmbiental,10,FALSE)</f>
        <v>23</v>
      </c>
      <c r="I450" s="14" t="s">
        <v>448</v>
      </c>
      <c r="J450" s="18" t="s">
        <v>448</v>
      </c>
      <c r="K450" s="17"/>
      <c r="L450" s="17" t="s">
        <v>1904</v>
      </c>
      <c r="M450" s="17" t="s">
        <v>746</v>
      </c>
      <c r="N450" s="17" t="s">
        <v>747</v>
      </c>
      <c r="O450" s="17" t="s">
        <v>748</v>
      </c>
      <c r="P450" s="17" t="s">
        <v>749</v>
      </c>
      <c r="Q450" s="17" t="s">
        <v>750</v>
      </c>
      <c r="R450" s="17" t="s">
        <v>751</v>
      </c>
      <c r="S450" s="17" t="s">
        <v>752</v>
      </c>
      <c r="T450" s="15"/>
    </row>
    <row r="451" spans="1:20" x14ac:dyDescent="0.25">
      <c r="A451" s="14">
        <v>438</v>
      </c>
      <c r="B451" s="14">
        <v>3540101</v>
      </c>
      <c r="C451" s="14" t="str">
        <f>IF(ISERR(FIND("-",tab_Geral[[#This Row],[Municípios]],1)),"","Têm Hifen")</f>
        <v/>
      </c>
      <c r="D451" s="14" t="str">
        <f>IF(tab_Geral[[#This Row],[Informação 3]]&lt;&gt;"","","Não Registrado")</f>
        <v/>
      </c>
      <c r="E451" s="14" t="str">
        <f>IF(tab_Geral[[#This Row],[Municípios]]=tab_Geral[[#This Row],[Informação 1]],"","Não!, Erro!")</f>
        <v/>
      </c>
      <c r="F451" s="14" t="str">
        <f>IF(tab_Geral[[#This Row],[Municípios]]=tab_Geral[[#This Row],[Município]],"","Não!, Erro!")</f>
        <v/>
      </c>
      <c r="G451" s="14" t="str">
        <f>VLOOKUP(tab_Geral[[#This Row],[GeoCodigo]],tab_CETESB[],2,FALSE)</f>
        <v>Pongaí</v>
      </c>
      <c r="H451" s="14" t="str">
        <f>VLOOKUP(tab_Geral[[#This Row],[Informação 3]],tab_AgênciaAmbiental,10,FALSE)</f>
        <v>23</v>
      </c>
      <c r="I451" s="14" t="s">
        <v>449</v>
      </c>
      <c r="J451" s="18" t="s">
        <v>449</v>
      </c>
      <c r="K451" s="17"/>
      <c r="L451" s="17" t="s">
        <v>1904</v>
      </c>
      <c r="M451" s="17" t="s">
        <v>746</v>
      </c>
      <c r="N451" s="17" t="s">
        <v>747</v>
      </c>
      <c r="O451" s="17" t="s">
        <v>748</v>
      </c>
      <c r="P451" s="17" t="s">
        <v>749</v>
      </c>
      <c r="Q451" s="17" t="s">
        <v>750</v>
      </c>
      <c r="R451" s="17" t="s">
        <v>751</v>
      </c>
      <c r="S451" s="17" t="s">
        <v>752</v>
      </c>
      <c r="T451" s="15"/>
    </row>
    <row r="452" spans="1:20" x14ac:dyDescent="0.25">
      <c r="A452" s="14">
        <v>439</v>
      </c>
      <c r="B452" s="14">
        <v>3540200</v>
      </c>
      <c r="C452" s="14" t="str">
        <f>IF(ISERR(FIND("-",tab_Geral[[#This Row],[Municípios]],1)),"","Têm Hifen")</f>
        <v/>
      </c>
      <c r="D452" s="14" t="str">
        <f>IF(tab_Geral[[#This Row],[Informação 3]]&lt;&gt;"","","Não Registrado")</f>
        <v/>
      </c>
      <c r="E452" s="14" t="str">
        <f>IF(tab_Geral[[#This Row],[Municípios]]=tab_Geral[[#This Row],[Informação 1]],"","Não!, Erro!")</f>
        <v/>
      </c>
      <c r="F452" s="14" t="str">
        <f>IF(tab_Geral[[#This Row],[Municípios]]=tab_Geral[[#This Row],[Município]],"","Não!, Erro!")</f>
        <v/>
      </c>
      <c r="G452" s="14" t="str">
        <f>VLOOKUP(tab_Geral[[#This Row],[GeoCodigo]],tab_CETESB[],2,FALSE)</f>
        <v>Pontal</v>
      </c>
      <c r="H452" s="14" t="str">
        <f>VLOOKUP(tab_Geral[[#This Row],[Informação 3]],tab_AgênciaAmbiental,10,FALSE)</f>
        <v>31</v>
      </c>
      <c r="I452" s="14" t="s">
        <v>450</v>
      </c>
      <c r="J452" s="18" t="s">
        <v>450</v>
      </c>
      <c r="K452" s="17"/>
      <c r="L452" s="17" t="s">
        <v>1912</v>
      </c>
      <c r="M452" s="17" t="s">
        <v>720</v>
      </c>
      <c r="N452" s="17" t="s">
        <v>721</v>
      </c>
      <c r="O452" s="17" t="s">
        <v>722</v>
      </c>
      <c r="P452" s="17" t="s">
        <v>723</v>
      </c>
      <c r="Q452" s="17" t="s">
        <v>724</v>
      </c>
      <c r="R452" s="17" t="s">
        <v>725</v>
      </c>
      <c r="S452" s="17" t="s">
        <v>726</v>
      </c>
      <c r="T452" s="15"/>
    </row>
    <row r="453" spans="1:20" x14ac:dyDescent="0.25">
      <c r="A453" s="14">
        <v>440</v>
      </c>
      <c r="B453" s="14">
        <v>3540259</v>
      </c>
      <c r="C453" s="14" t="str">
        <f>IF(ISERR(FIND("-",tab_Geral[[#This Row],[Municípios]],1)),"","Têm Hifen")</f>
        <v/>
      </c>
      <c r="D453" s="14" t="str">
        <f>IF(tab_Geral[[#This Row],[Informação 3]]&lt;&gt;"","","Não Registrado")</f>
        <v/>
      </c>
      <c r="E453" s="14" t="str">
        <f>IF(tab_Geral[[#This Row],[Municípios]]=tab_Geral[[#This Row],[Informação 1]],"","Não!, Erro!")</f>
        <v/>
      </c>
      <c r="F453" s="14" t="str">
        <f>IF(tab_Geral[[#This Row],[Municípios]]=tab_Geral[[#This Row],[Município]],"","Não!, Erro!")</f>
        <v/>
      </c>
      <c r="G453" s="14" t="str">
        <f>VLOOKUP(tab_Geral[[#This Row],[GeoCodigo]],tab_CETESB[],2,FALSE)</f>
        <v>Pontalinda</v>
      </c>
      <c r="H453" s="14" t="str">
        <f>VLOOKUP(tab_Geral[[#This Row],[Informação 3]],tab_AgênciaAmbiental,10,FALSE)</f>
        <v>20</v>
      </c>
      <c r="I453" s="14" t="s">
        <v>451</v>
      </c>
      <c r="J453" s="18" t="s">
        <v>451</v>
      </c>
      <c r="K453" s="17"/>
      <c r="L453" s="17" t="s">
        <v>1901</v>
      </c>
      <c r="M453" s="17" t="s">
        <v>788</v>
      </c>
      <c r="N453" s="17" t="s">
        <v>789</v>
      </c>
      <c r="O453" s="17" t="s">
        <v>790</v>
      </c>
      <c r="P453" s="17" t="s">
        <v>791</v>
      </c>
      <c r="Q453" s="17" t="s">
        <v>792</v>
      </c>
      <c r="R453" s="17" t="s">
        <v>793</v>
      </c>
      <c r="S453" s="17" t="s">
        <v>794</v>
      </c>
      <c r="T453" s="15"/>
    </row>
    <row r="454" spans="1:20" x14ac:dyDescent="0.25">
      <c r="A454" s="14">
        <v>441</v>
      </c>
      <c r="B454" s="14">
        <v>3540309</v>
      </c>
      <c r="C454" s="14" t="str">
        <f>IF(ISERR(FIND("-",tab_Geral[[#This Row],[Municípios]],1)),"","Têm Hifen")</f>
        <v/>
      </c>
      <c r="D454" s="14" t="str">
        <f>IF(tab_Geral[[#This Row],[Informação 3]]&lt;&gt;"","","Não Registrado")</f>
        <v/>
      </c>
      <c r="E454" s="14" t="str">
        <f>IF(tab_Geral[[#This Row],[Municípios]]=tab_Geral[[#This Row],[Informação 1]],"","Não!, Erro!")</f>
        <v/>
      </c>
      <c r="F454" s="14" t="str">
        <f>IF(tab_Geral[[#This Row],[Municípios]]=tab_Geral[[#This Row],[Município]],"","Não!, Erro!")</f>
        <v/>
      </c>
      <c r="G454" s="14" t="str">
        <f>VLOOKUP(tab_Geral[[#This Row],[GeoCodigo]],tab_CETESB[],2,FALSE)</f>
        <v>Pontes Gestal</v>
      </c>
      <c r="H454" s="14" t="str">
        <f>VLOOKUP(tab_Geral[[#This Row],[Informação 3]],tab_AgênciaAmbiental,10,FALSE)</f>
        <v>41</v>
      </c>
      <c r="I454" s="14" t="s">
        <v>452</v>
      </c>
      <c r="J454" s="18" t="s">
        <v>452</v>
      </c>
      <c r="K454" s="17"/>
      <c r="L454" s="17" t="s">
        <v>1922</v>
      </c>
      <c r="M454" s="17" t="s">
        <v>739</v>
      </c>
      <c r="N454" s="17" t="s">
        <v>740</v>
      </c>
      <c r="O454" s="17" t="s">
        <v>741</v>
      </c>
      <c r="P454" s="17" t="s">
        <v>742</v>
      </c>
      <c r="Q454" s="17" t="s">
        <v>743</v>
      </c>
      <c r="R454" s="17" t="s">
        <v>744</v>
      </c>
      <c r="S454" s="17" t="s">
        <v>745</v>
      </c>
      <c r="T454" s="15"/>
    </row>
    <row r="455" spans="1:20" x14ac:dyDescent="0.25">
      <c r="A455" s="14">
        <v>442</v>
      </c>
      <c r="B455" s="14">
        <v>3540408</v>
      </c>
      <c r="C455" s="14" t="str">
        <f>IF(ISERR(FIND("-",tab_Geral[[#This Row],[Municípios]],1)),"","Têm Hifen")</f>
        <v/>
      </c>
      <c r="D455" s="14" t="str">
        <f>IF(tab_Geral[[#This Row],[Informação 3]]&lt;&gt;"","","Não Registrado")</f>
        <v/>
      </c>
      <c r="E455" s="14" t="str">
        <f>IF(tab_Geral[[#This Row],[Municípios]]=tab_Geral[[#This Row],[Informação 1]],"","Não!, Erro!")</f>
        <v/>
      </c>
      <c r="F455" s="14" t="str">
        <f>IF(tab_Geral[[#This Row],[Municípios]]=tab_Geral[[#This Row],[Município]],"","Não!, Erro!")</f>
        <v/>
      </c>
      <c r="G455" s="14" t="str">
        <f>VLOOKUP(tab_Geral[[#This Row],[GeoCodigo]],tab_CETESB[],2,FALSE)</f>
        <v>Populina</v>
      </c>
      <c r="H455" s="14" t="str">
        <f>VLOOKUP(tab_Geral[[#This Row],[Informação 3]],tab_AgênciaAmbiental,10,FALSE)</f>
        <v>20</v>
      </c>
      <c r="I455" s="14" t="s">
        <v>453</v>
      </c>
      <c r="J455" s="18" t="s">
        <v>453</v>
      </c>
      <c r="K455" s="17"/>
      <c r="L455" s="17" t="s">
        <v>1901</v>
      </c>
      <c r="M455" s="17" t="s">
        <v>788</v>
      </c>
      <c r="N455" s="17" t="s">
        <v>789</v>
      </c>
      <c r="O455" s="17" t="s">
        <v>790</v>
      </c>
      <c r="P455" s="17" t="s">
        <v>791</v>
      </c>
      <c r="Q455" s="17" t="s">
        <v>792</v>
      </c>
      <c r="R455" s="17" t="s">
        <v>793</v>
      </c>
      <c r="S455" s="17" t="s">
        <v>794</v>
      </c>
      <c r="T455" s="15"/>
    </row>
    <row r="456" spans="1:20" x14ac:dyDescent="0.25">
      <c r="A456" s="14">
        <v>443</v>
      </c>
      <c r="B456" s="14">
        <v>3540507</v>
      </c>
      <c r="C456" s="14" t="str">
        <f>IF(ISERR(FIND("-",tab_Geral[[#This Row],[Municípios]],1)),"","Têm Hifen")</f>
        <v/>
      </c>
      <c r="D456" s="14" t="str">
        <f>IF(tab_Geral[[#This Row],[Informação 3]]&lt;&gt;"","","Não Registrado")</f>
        <v/>
      </c>
      <c r="E456" s="14" t="str">
        <f>IF(tab_Geral[[#This Row],[Municípios]]=tab_Geral[[#This Row],[Informação 1]],"","Não!, Erro!")</f>
        <v/>
      </c>
      <c r="F456" s="14" t="str">
        <f>IF(tab_Geral[[#This Row],[Municípios]]=tab_Geral[[#This Row],[Município]],"","Não!, Erro!")</f>
        <v/>
      </c>
      <c r="G456" s="14" t="str">
        <f>VLOOKUP(tab_Geral[[#This Row],[GeoCodigo]],tab_CETESB[],2,FALSE)</f>
        <v>Porangaba</v>
      </c>
      <c r="H456" s="14" t="str">
        <f>VLOOKUP(tab_Geral[[#This Row],[Informação 3]],tab_AgênciaAmbiental,10,FALSE)</f>
        <v>9</v>
      </c>
      <c r="I456" s="14" t="s">
        <v>454</v>
      </c>
      <c r="J456" s="18" t="s">
        <v>454</v>
      </c>
      <c r="K456" s="17"/>
      <c r="L456" s="17" t="s">
        <v>1890</v>
      </c>
      <c r="M456" s="17" t="s">
        <v>774</v>
      </c>
      <c r="N456" s="17" t="s">
        <v>775</v>
      </c>
      <c r="O456" s="17" t="s">
        <v>776</v>
      </c>
      <c r="P456" s="17" t="s">
        <v>777</v>
      </c>
      <c r="Q456" s="17" t="s">
        <v>778</v>
      </c>
      <c r="R456" s="17" t="s">
        <v>779</v>
      </c>
      <c r="S456" s="17" t="s">
        <v>780</v>
      </c>
      <c r="T456" s="15"/>
    </row>
    <row r="457" spans="1:20" x14ac:dyDescent="0.25">
      <c r="A457" s="14">
        <v>444</v>
      </c>
      <c r="B457" s="14">
        <v>3540606</v>
      </c>
      <c r="C457" s="14" t="str">
        <f>IF(ISERR(FIND("-",tab_Geral[[#This Row],[Municípios]],1)),"","Têm Hifen")</f>
        <v/>
      </c>
      <c r="D457" s="14" t="str">
        <f>IF(tab_Geral[[#This Row],[Informação 3]]&lt;&gt;"","","Não Registrado")</f>
        <v/>
      </c>
      <c r="E457" s="14" t="str">
        <f>IF(tab_Geral[[#This Row],[Municípios]]=tab_Geral[[#This Row],[Informação 1]],"","Não!, Erro!")</f>
        <v/>
      </c>
      <c r="F457" s="14" t="str">
        <f>IF(tab_Geral[[#This Row],[Municípios]]=tab_Geral[[#This Row],[Município]],"","Não!, Erro!")</f>
        <v/>
      </c>
      <c r="G457" s="14" t="str">
        <f>VLOOKUP(tab_Geral[[#This Row],[GeoCodigo]],tab_CETESB[],2,FALSE)</f>
        <v>Porto Feliz</v>
      </c>
      <c r="H457" s="14" t="str">
        <f>VLOOKUP(tab_Geral[[#This Row],[Informação 3]],tab_AgênciaAmbiental,10,FALSE)</f>
        <v>18</v>
      </c>
      <c r="I457" s="14" t="s">
        <v>455</v>
      </c>
      <c r="J457" s="18" t="s">
        <v>455</v>
      </c>
      <c r="K457" s="17"/>
      <c r="L457" s="17" t="s">
        <v>1899</v>
      </c>
      <c r="M457" s="17" t="s">
        <v>733</v>
      </c>
      <c r="N457" s="17" t="s">
        <v>657</v>
      </c>
      <c r="O457" s="17" t="s">
        <v>734</v>
      </c>
      <c r="P457" s="17" t="s">
        <v>735</v>
      </c>
      <c r="Q457" s="17" t="s">
        <v>736</v>
      </c>
      <c r="R457" s="17" t="s">
        <v>737</v>
      </c>
      <c r="S457" s="17" t="s">
        <v>738</v>
      </c>
      <c r="T457" s="15"/>
    </row>
    <row r="458" spans="1:20" x14ac:dyDescent="0.25">
      <c r="A458" s="14">
        <v>445</v>
      </c>
      <c r="B458" s="14">
        <v>3540705</v>
      </c>
      <c r="C458" s="14" t="str">
        <f>IF(ISERR(FIND("-",tab_Geral[[#This Row],[Municípios]],1)),"","Têm Hifen")</f>
        <v/>
      </c>
      <c r="D458" s="14" t="str">
        <f>IF(tab_Geral[[#This Row],[Informação 3]]&lt;&gt;"","","Não Registrado")</f>
        <v/>
      </c>
      <c r="E458" s="14" t="str">
        <f>IF(tab_Geral[[#This Row],[Municípios]]=tab_Geral[[#This Row],[Informação 1]],"","Não!, Erro!")</f>
        <v/>
      </c>
      <c r="F458" s="14" t="str">
        <f>IF(tab_Geral[[#This Row],[Municípios]]=tab_Geral[[#This Row],[Município]],"","Não!, Erro!")</f>
        <v/>
      </c>
      <c r="G458" s="14" t="str">
        <f>VLOOKUP(tab_Geral[[#This Row],[GeoCodigo]],tab_CETESB[],2,FALSE)</f>
        <v>Porto Ferreira</v>
      </c>
      <c r="H458" s="14" t="str">
        <f>VLOOKUP(tab_Geral[[#This Row],[Informação 3]],tab_AgênciaAmbiental,10,FALSE)</f>
        <v>31</v>
      </c>
      <c r="I458" s="14" t="s">
        <v>456</v>
      </c>
      <c r="J458" s="18" t="s">
        <v>456</v>
      </c>
      <c r="K458" s="17"/>
      <c r="L458" s="17" t="s">
        <v>1912</v>
      </c>
      <c r="M458" s="17" t="s">
        <v>720</v>
      </c>
      <c r="N458" s="17" t="s">
        <v>721</v>
      </c>
      <c r="O458" s="17" t="s">
        <v>722</v>
      </c>
      <c r="P458" s="17" t="s">
        <v>723</v>
      </c>
      <c r="Q458" s="17" t="s">
        <v>724</v>
      </c>
      <c r="R458" s="17" t="s">
        <v>725</v>
      </c>
      <c r="S458" s="17" t="s">
        <v>726</v>
      </c>
      <c r="T458" s="15"/>
    </row>
    <row r="459" spans="1:20" x14ac:dyDescent="0.25">
      <c r="A459" s="14">
        <v>446</v>
      </c>
      <c r="B459" s="14">
        <v>3540754</v>
      </c>
      <c r="C459" s="14" t="str">
        <f>IF(ISERR(FIND("-",tab_Geral[[#This Row],[Municípios]],1)),"","Têm Hifen")</f>
        <v/>
      </c>
      <c r="D459" s="14" t="str">
        <f>IF(tab_Geral[[#This Row],[Informação 3]]&lt;&gt;"","","Não Registrado")</f>
        <v/>
      </c>
      <c r="E459" s="14" t="str">
        <f>IF(tab_Geral[[#This Row],[Municípios]]=tab_Geral[[#This Row],[Informação 1]],"","Não!, Erro!")</f>
        <v/>
      </c>
      <c r="F459" s="14" t="str">
        <f>IF(tab_Geral[[#This Row],[Municípios]]=tab_Geral[[#This Row],[Município]],"","Não!, Erro!")</f>
        <v/>
      </c>
      <c r="G459" s="14" t="str">
        <f>VLOOKUP(tab_Geral[[#This Row],[GeoCodigo]],tab_CETESB[],2,FALSE)</f>
        <v>Potim</v>
      </c>
      <c r="H459" s="14" t="str">
        <f>VLOOKUP(tab_Geral[[#This Row],[Informação 3]],tab_AgênciaAmbiental,10,FALSE)</f>
        <v>40</v>
      </c>
      <c r="I459" s="14" t="s">
        <v>457</v>
      </c>
      <c r="J459" s="18" t="s">
        <v>457</v>
      </c>
      <c r="K459" s="17"/>
      <c r="L459" s="17" t="s">
        <v>1921</v>
      </c>
      <c r="M459" s="17" t="s">
        <v>781</v>
      </c>
      <c r="N459" s="17" t="s">
        <v>782</v>
      </c>
      <c r="O459" s="17" t="s">
        <v>783</v>
      </c>
      <c r="P459" s="17" t="s">
        <v>784</v>
      </c>
      <c r="Q459" s="17" t="s">
        <v>785</v>
      </c>
      <c r="R459" s="17" t="s">
        <v>786</v>
      </c>
      <c r="S459" s="17" t="s">
        <v>787</v>
      </c>
      <c r="T459" s="15"/>
    </row>
    <row r="460" spans="1:20" x14ac:dyDescent="0.25">
      <c r="A460" s="14">
        <v>447</v>
      </c>
      <c r="B460" s="14">
        <v>3540804</v>
      </c>
      <c r="C460" s="14" t="str">
        <f>IF(ISERR(FIND("-",tab_Geral[[#This Row],[Municípios]],1)),"","Têm Hifen")</f>
        <v/>
      </c>
      <c r="D460" s="14" t="str">
        <f>IF(tab_Geral[[#This Row],[Informação 3]]&lt;&gt;"","","Não Registrado")</f>
        <v/>
      </c>
      <c r="E460" s="14" t="str">
        <f>IF(tab_Geral[[#This Row],[Municípios]]=tab_Geral[[#This Row],[Informação 1]],"","Não!, Erro!")</f>
        <v/>
      </c>
      <c r="F460" s="14" t="str">
        <f>IF(tab_Geral[[#This Row],[Municípios]]=tab_Geral[[#This Row],[Município]],"","Não!, Erro!")</f>
        <v/>
      </c>
      <c r="G460" s="14" t="str">
        <f>VLOOKUP(tab_Geral[[#This Row],[GeoCodigo]],tab_CETESB[],2,FALSE)</f>
        <v>Potirendaba</v>
      </c>
      <c r="H460" s="14" t="str">
        <f>VLOOKUP(tab_Geral[[#This Row],[Informação 3]],tab_AgênciaAmbiental,10,FALSE)</f>
        <v>36</v>
      </c>
      <c r="I460" s="14" t="s">
        <v>458</v>
      </c>
      <c r="J460" s="18" t="s">
        <v>458</v>
      </c>
      <c r="K460" s="17"/>
      <c r="L460" s="17" t="s">
        <v>1917</v>
      </c>
      <c r="M460" s="17" t="s">
        <v>663</v>
      </c>
      <c r="N460" s="17" t="s">
        <v>664</v>
      </c>
      <c r="O460" s="17" t="s">
        <v>665</v>
      </c>
      <c r="P460" s="17" t="s">
        <v>666</v>
      </c>
      <c r="Q460" s="17" t="s">
        <v>667</v>
      </c>
      <c r="R460" s="17" t="s">
        <v>668</v>
      </c>
      <c r="S460" s="17" t="s">
        <v>938</v>
      </c>
    </row>
    <row r="461" spans="1:20" x14ac:dyDescent="0.25">
      <c r="A461" s="14">
        <v>448</v>
      </c>
      <c r="B461" s="14">
        <v>3540853</v>
      </c>
      <c r="C461" s="14" t="str">
        <f>IF(ISERR(FIND("-",tab_Geral[[#This Row],[Municípios]],1)),"","Têm Hifen")</f>
        <v/>
      </c>
      <c r="D461" s="14" t="str">
        <f>IF(tab_Geral[[#This Row],[Informação 3]]&lt;&gt;"","","Não Registrado")</f>
        <v/>
      </c>
      <c r="E461" s="14" t="str">
        <f>IF(tab_Geral[[#This Row],[Municípios]]=tab_Geral[[#This Row],[Informação 1]],"","Não!, Erro!")</f>
        <v/>
      </c>
      <c r="F461" s="14" t="str">
        <f>IF(tab_Geral[[#This Row],[Municípios]]=tab_Geral[[#This Row],[Município]],"","Não!, Erro!")</f>
        <v/>
      </c>
      <c r="G461" s="14" t="str">
        <f>VLOOKUP(tab_Geral[[#This Row],[GeoCodigo]],tab_CETESB[],2,FALSE)</f>
        <v>Pracinha</v>
      </c>
      <c r="H461" s="14" t="str">
        <f>VLOOKUP(tab_Geral[[#This Row],[Informação 3]],tab_AgênciaAmbiental,10,FALSE)</f>
        <v>13</v>
      </c>
      <c r="I461" s="14" t="s">
        <v>459</v>
      </c>
      <c r="J461" s="18" t="s">
        <v>459</v>
      </c>
      <c r="K461" s="17"/>
      <c r="L461" s="17" t="s">
        <v>1894</v>
      </c>
      <c r="M461" s="17" t="s">
        <v>656</v>
      </c>
      <c r="N461" s="17" t="s">
        <v>657</v>
      </c>
      <c r="O461" s="17" t="s">
        <v>658</v>
      </c>
      <c r="P461" s="17" t="s">
        <v>659</v>
      </c>
      <c r="Q461" s="17" t="s">
        <v>660</v>
      </c>
      <c r="R461" s="17" t="s">
        <v>661</v>
      </c>
      <c r="S461" s="17" t="s">
        <v>662</v>
      </c>
      <c r="T461" s="15"/>
    </row>
    <row r="462" spans="1:20" x14ac:dyDescent="0.25">
      <c r="A462" s="14">
        <v>449</v>
      </c>
      <c r="B462" s="14">
        <v>3540903</v>
      </c>
      <c r="C462" s="14" t="str">
        <f>IF(ISERR(FIND("-",tab_Geral[[#This Row],[Municípios]],1)),"","Têm Hifen")</f>
        <v/>
      </c>
      <c r="D462" s="14" t="str">
        <f>IF(tab_Geral[[#This Row],[Informação 3]]&lt;&gt;"","","Não Registrado")</f>
        <v/>
      </c>
      <c r="E462" s="14" t="str">
        <f>IF(tab_Geral[[#This Row],[Municípios]]=tab_Geral[[#This Row],[Informação 1]],"","Não!, Erro!")</f>
        <v/>
      </c>
      <c r="F462" s="14" t="str">
        <f>IF(tab_Geral[[#This Row],[Municípios]]=tab_Geral[[#This Row],[Município]],"","Não!, Erro!")</f>
        <v/>
      </c>
      <c r="G462" s="14" t="str">
        <f>VLOOKUP(tab_Geral[[#This Row],[GeoCodigo]],tab_CETESB[],2,FALSE)</f>
        <v>Pradópolis</v>
      </c>
      <c r="H462" s="14" t="str">
        <f>VLOOKUP(tab_Geral[[#This Row],[Informação 3]],tab_AgênciaAmbiental,10,FALSE)</f>
        <v>19</v>
      </c>
      <c r="I462" s="14" t="s">
        <v>460</v>
      </c>
      <c r="J462" s="18" t="s">
        <v>460</v>
      </c>
      <c r="K462" s="17"/>
      <c r="L462" s="17" t="s">
        <v>1900</v>
      </c>
      <c r="M462" s="17" t="s">
        <v>850</v>
      </c>
      <c r="N462" s="17" t="s">
        <v>851</v>
      </c>
      <c r="O462" s="17" t="s">
        <v>852</v>
      </c>
      <c r="P462" s="17" t="s">
        <v>853</v>
      </c>
      <c r="Q462" s="17" t="s">
        <v>854</v>
      </c>
      <c r="R462" s="17" t="s">
        <v>855</v>
      </c>
      <c r="S462" s="17" t="s">
        <v>856</v>
      </c>
      <c r="T462" s="15"/>
    </row>
    <row r="463" spans="1:20" x14ac:dyDescent="0.25">
      <c r="A463" s="14">
        <v>450</v>
      </c>
      <c r="B463" s="14">
        <v>3541000</v>
      </c>
      <c r="C463" s="14" t="str">
        <f>IF(ISERR(FIND("-",tab_Geral[[#This Row],[Municípios]],1)),"","Têm Hifen")</f>
        <v/>
      </c>
      <c r="D463" s="14" t="str">
        <f>IF(tab_Geral[[#This Row],[Informação 3]]&lt;&gt;"","","Não Registrado")</f>
        <v/>
      </c>
      <c r="E463" s="14" t="str">
        <f>IF(tab_Geral[[#This Row],[Municípios]]=tab_Geral[[#This Row],[Informação 1]],"","Não!, Erro!")</f>
        <v/>
      </c>
      <c r="F463" s="14" t="str">
        <f>IF(tab_Geral[[#This Row],[Municípios]]=tab_Geral[[#This Row],[Município]],"","Não!, Erro!")</f>
        <v/>
      </c>
      <c r="G463" s="14" t="str">
        <f>VLOOKUP(tab_Geral[[#This Row],[GeoCodigo]],tab_CETESB[],2,FALSE)</f>
        <v>Praia Grande</v>
      </c>
      <c r="H463" s="14" t="str">
        <f>VLOOKUP(tab_Geral[[#This Row],[Informação 3]],tab_AgênciaAmbiental,10,FALSE)</f>
        <v>33</v>
      </c>
      <c r="I463" s="14" t="s">
        <v>461</v>
      </c>
      <c r="J463" s="18" t="s">
        <v>461</v>
      </c>
      <c r="K463" s="17"/>
      <c r="L463" s="17" t="s">
        <v>1914</v>
      </c>
      <c r="M463" s="17" t="s">
        <v>926</v>
      </c>
      <c r="N463" s="17" t="s">
        <v>927</v>
      </c>
      <c r="O463" s="17" t="s">
        <v>928</v>
      </c>
      <c r="P463" s="17" t="s">
        <v>929</v>
      </c>
      <c r="Q463" s="17" t="s">
        <v>930</v>
      </c>
      <c r="R463" s="17" t="s">
        <v>931</v>
      </c>
      <c r="S463" s="17" t="s">
        <v>932</v>
      </c>
      <c r="T463" s="15"/>
    </row>
    <row r="464" spans="1:20" x14ac:dyDescent="0.25">
      <c r="A464" s="14">
        <v>451</v>
      </c>
      <c r="B464" s="14">
        <v>3541059</v>
      </c>
      <c r="C464" s="14" t="str">
        <f>IF(ISERR(FIND("-",tab_Geral[[#This Row],[Municípios]],1)),"","Têm Hifen")</f>
        <v/>
      </c>
      <c r="D464" s="14" t="str">
        <f>IF(tab_Geral[[#This Row],[Informação 3]]&lt;&gt;"","","Não Registrado")</f>
        <v/>
      </c>
      <c r="E464" s="14" t="str">
        <f>IF(tab_Geral[[#This Row],[Municípios]]=tab_Geral[[#This Row],[Informação 1]],"","Não!, Erro!")</f>
        <v/>
      </c>
      <c r="F464" s="14" t="str">
        <f>IF(tab_Geral[[#This Row],[Municípios]]=tab_Geral[[#This Row],[Município]],"","Não!, Erro!")</f>
        <v/>
      </c>
      <c r="G464" s="14" t="str">
        <f>VLOOKUP(tab_Geral[[#This Row],[GeoCodigo]],tab_CETESB[],2,FALSE)</f>
        <v>Pratânia</v>
      </c>
      <c r="H464" s="14" t="str">
        <f>VLOOKUP(tab_Geral[[#This Row],[Informação 3]],tab_AgênciaAmbiental,10,FALSE)</f>
        <v>9</v>
      </c>
      <c r="I464" s="14" t="s">
        <v>462</v>
      </c>
      <c r="J464" s="18" t="s">
        <v>462</v>
      </c>
      <c r="K464" s="17"/>
      <c r="L464" s="17" t="s">
        <v>1890</v>
      </c>
      <c r="M464" s="17" t="s">
        <v>774</v>
      </c>
      <c r="N464" s="17" t="s">
        <v>775</v>
      </c>
      <c r="O464" s="17" t="s">
        <v>776</v>
      </c>
      <c r="P464" s="17" t="s">
        <v>777</v>
      </c>
      <c r="Q464" s="17" t="s">
        <v>778</v>
      </c>
      <c r="R464" s="17" t="s">
        <v>779</v>
      </c>
      <c r="S464" s="17" t="s">
        <v>780</v>
      </c>
      <c r="T464" s="15"/>
    </row>
    <row r="465" spans="1:20" x14ac:dyDescent="0.25">
      <c r="A465" s="14">
        <v>452</v>
      </c>
      <c r="B465" s="14">
        <v>3541109</v>
      </c>
      <c r="C465" s="14" t="str">
        <f>IF(ISERR(FIND("-",tab_Geral[[#This Row],[Municípios]],1)),"","Têm Hifen")</f>
        <v/>
      </c>
      <c r="D465" s="14" t="str">
        <f>IF(tab_Geral[[#This Row],[Informação 3]]&lt;&gt;"","","Não Registrado")</f>
        <v/>
      </c>
      <c r="E465" s="14" t="str">
        <f>IF(tab_Geral[[#This Row],[Municípios]]=tab_Geral[[#This Row],[Informação 1]],"","Não!, Erro!")</f>
        <v/>
      </c>
      <c r="F465" s="14" t="str">
        <f>IF(tab_Geral[[#This Row],[Municípios]]=tab_Geral[[#This Row],[Município]],"","Não!, Erro!")</f>
        <v/>
      </c>
      <c r="G465" s="14" t="str">
        <f>VLOOKUP(tab_Geral[[#This Row],[GeoCodigo]],tab_CETESB[],2,FALSE)</f>
        <v>Presidente Alves</v>
      </c>
      <c r="H465" s="14" t="str">
        <f>VLOOKUP(tab_Geral[[#This Row],[Informação 3]],tab_AgênciaAmbiental,10,FALSE)</f>
        <v>8</v>
      </c>
      <c r="I465" s="14" t="s">
        <v>463</v>
      </c>
      <c r="J465" s="18" t="s">
        <v>463</v>
      </c>
      <c r="K465" s="17"/>
      <c r="L465" s="17" t="s">
        <v>1889</v>
      </c>
      <c r="M465" s="17" t="s">
        <v>694</v>
      </c>
      <c r="N465" s="17" t="s">
        <v>695</v>
      </c>
      <c r="O465" s="17" t="s">
        <v>696</v>
      </c>
      <c r="P465" s="17" t="s">
        <v>697</v>
      </c>
      <c r="Q465" s="17" t="s">
        <v>698</v>
      </c>
      <c r="R465" s="17" t="s">
        <v>699</v>
      </c>
      <c r="S465" s="17" t="s">
        <v>700</v>
      </c>
      <c r="T465" s="15"/>
    </row>
    <row r="466" spans="1:20" x14ac:dyDescent="0.25">
      <c r="A466" s="14">
        <v>453</v>
      </c>
      <c r="B466" s="14">
        <v>3541208</v>
      </c>
      <c r="C466" s="14" t="str">
        <f>IF(ISERR(FIND("-",tab_Geral[[#This Row],[Municípios]],1)),"","Têm Hifen")</f>
        <v/>
      </c>
      <c r="D466" s="14" t="str">
        <f>IF(tab_Geral[[#This Row],[Informação 3]]&lt;&gt;"","","Não Registrado")</f>
        <v/>
      </c>
      <c r="E466" s="14" t="str">
        <f>IF(tab_Geral[[#This Row],[Municípios]]=tab_Geral[[#This Row],[Informação 1]],"","Não!, Erro!")</f>
        <v/>
      </c>
      <c r="F466" s="14" t="str">
        <f>IF(tab_Geral[[#This Row],[Municípios]]=tab_Geral[[#This Row],[Município]],"","Não!, Erro!")</f>
        <v/>
      </c>
      <c r="G466" s="14" t="str">
        <f>VLOOKUP(tab_Geral[[#This Row],[GeoCodigo]],tab_CETESB[],2,FALSE)</f>
        <v>Presidente Bernardes</v>
      </c>
      <c r="H466" s="14" t="str">
        <f>VLOOKUP(tab_Geral[[#This Row],[Informação 3]],tab_AgênciaAmbiental,10,FALSE)</f>
        <v>29</v>
      </c>
      <c r="I466" s="14" t="s">
        <v>464</v>
      </c>
      <c r="J466" s="18" t="s">
        <v>464</v>
      </c>
      <c r="K466" s="17"/>
      <c r="L466" s="17" t="s">
        <v>1910</v>
      </c>
      <c r="M466" s="17" t="s">
        <v>707</v>
      </c>
      <c r="N466" s="17" t="s">
        <v>708</v>
      </c>
      <c r="O466" s="17" t="s">
        <v>709</v>
      </c>
      <c r="P466" s="17" t="s">
        <v>710</v>
      </c>
      <c r="Q466" s="17" t="s">
        <v>711</v>
      </c>
      <c r="R466" s="17" t="s">
        <v>686</v>
      </c>
      <c r="S466" s="17" t="s">
        <v>712</v>
      </c>
      <c r="T466" s="15"/>
    </row>
    <row r="467" spans="1:20" x14ac:dyDescent="0.25">
      <c r="A467" s="14">
        <v>454</v>
      </c>
      <c r="B467" s="14">
        <v>3541307</v>
      </c>
      <c r="C467" s="14" t="str">
        <f>IF(ISERR(FIND("-",tab_Geral[[#This Row],[Municípios]],1)),"","Têm Hifen")</f>
        <v/>
      </c>
      <c r="D467" s="14" t="str">
        <f>IF(tab_Geral[[#This Row],[Informação 3]]&lt;&gt;"","","Não Registrado")</f>
        <v/>
      </c>
      <c r="E467" s="14" t="str">
        <f>IF(tab_Geral[[#This Row],[Municípios]]=tab_Geral[[#This Row],[Informação 1]],"","Não!, Erro!")</f>
        <v/>
      </c>
      <c r="F467" s="14" t="str">
        <f>IF(tab_Geral[[#This Row],[Municípios]]=tab_Geral[[#This Row],[Município]],"","Não!, Erro!")</f>
        <v/>
      </c>
      <c r="G467" s="14" t="str">
        <f>VLOOKUP(tab_Geral[[#This Row],[GeoCodigo]],tab_CETESB[],2,FALSE)</f>
        <v>Presidente Epitácio</v>
      </c>
      <c r="H467" s="14" t="str">
        <f>VLOOKUP(tab_Geral[[#This Row],[Informação 3]],tab_AgênciaAmbiental,10,FALSE)</f>
        <v>29</v>
      </c>
      <c r="I467" s="14" t="s">
        <v>465</v>
      </c>
      <c r="J467" s="18" t="s">
        <v>465</v>
      </c>
      <c r="K467" s="17"/>
      <c r="L467" s="17" t="s">
        <v>1910</v>
      </c>
      <c r="M467" s="17" t="s">
        <v>707</v>
      </c>
      <c r="N467" s="17" t="s">
        <v>708</v>
      </c>
      <c r="O467" s="17" t="s">
        <v>709</v>
      </c>
      <c r="P467" s="17" t="s">
        <v>710</v>
      </c>
      <c r="Q467" s="17" t="s">
        <v>711</v>
      </c>
      <c r="R467" s="17" t="s">
        <v>686</v>
      </c>
      <c r="S467" s="17" t="s">
        <v>712</v>
      </c>
      <c r="T467" s="15"/>
    </row>
    <row r="468" spans="1:20" x14ac:dyDescent="0.25">
      <c r="A468" s="14">
        <v>455</v>
      </c>
      <c r="B468" s="14">
        <v>3541406</v>
      </c>
      <c r="C468" s="14" t="str">
        <f>IF(ISERR(FIND("-",tab_Geral[[#This Row],[Municípios]],1)),"","Têm Hifen")</f>
        <v/>
      </c>
      <c r="D468" s="14" t="str">
        <f>IF(tab_Geral[[#This Row],[Informação 3]]&lt;&gt;"","","Não Registrado")</f>
        <v/>
      </c>
      <c r="E468" s="14" t="str">
        <f>IF(tab_Geral[[#This Row],[Municípios]]=tab_Geral[[#This Row],[Informação 1]],"","Não!, Erro!")</f>
        <v/>
      </c>
      <c r="F468" s="14" t="str">
        <f>IF(tab_Geral[[#This Row],[Municípios]]=tab_Geral[[#This Row],[Município]],"","Não!, Erro!")</f>
        <v/>
      </c>
      <c r="G468" s="14" t="str">
        <f>VLOOKUP(tab_Geral[[#This Row],[GeoCodigo]],tab_CETESB[],2,FALSE)</f>
        <v>Presidente Prudente</v>
      </c>
      <c r="H468" s="14" t="str">
        <f>VLOOKUP(tab_Geral[[#This Row],[Informação 3]],tab_AgênciaAmbiental,10,FALSE)</f>
        <v>29</v>
      </c>
      <c r="I468" s="14" t="s">
        <v>466</v>
      </c>
      <c r="J468" s="18" t="s">
        <v>466</v>
      </c>
      <c r="K468" s="17"/>
      <c r="L468" s="17" t="s">
        <v>1910</v>
      </c>
      <c r="M468" s="17" t="s">
        <v>707</v>
      </c>
      <c r="N468" s="17" t="s">
        <v>708</v>
      </c>
      <c r="O468" s="17" t="s">
        <v>709</v>
      </c>
      <c r="P468" s="17" t="s">
        <v>710</v>
      </c>
      <c r="Q468" s="17" t="s">
        <v>711</v>
      </c>
      <c r="R468" s="17" t="s">
        <v>686</v>
      </c>
      <c r="S468" s="17" t="s">
        <v>712</v>
      </c>
      <c r="T468" s="15"/>
    </row>
    <row r="469" spans="1:20" x14ac:dyDescent="0.25">
      <c r="A469" s="14">
        <v>456</v>
      </c>
      <c r="B469" s="14">
        <v>3541505</v>
      </c>
      <c r="C469" s="14" t="str">
        <f>IF(ISERR(FIND("-",tab_Geral[[#This Row],[Municípios]],1)),"","Têm Hifen")</f>
        <v/>
      </c>
      <c r="D469" s="14" t="str">
        <f>IF(tab_Geral[[#This Row],[Informação 3]]&lt;&gt;"","","Não Registrado")</f>
        <v/>
      </c>
      <c r="E469" s="14" t="str">
        <f>IF(tab_Geral[[#This Row],[Municípios]]=tab_Geral[[#This Row],[Informação 1]],"","Não!, Erro!")</f>
        <v/>
      </c>
      <c r="F469" s="14" t="str">
        <f>IF(tab_Geral[[#This Row],[Municípios]]=tab_Geral[[#This Row],[Município]],"","Não!, Erro!")</f>
        <v/>
      </c>
      <c r="G469" s="14" t="str">
        <f>VLOOKUP(tab_Geral[[#This Row],[GeoCodigo]],tab_CETESB[],2,FALSE)</f>
        <v>Presidente Venceslau</v>
      </c>
      <c r="H469" s="14" t="str">
        <f>VLOOKUP(tab_Geral[[#This Row],[Informação 3]],tab_AgênciaAmbiental,10,FALSE)</f>
        <v>29</v>
      </c>
      <c r="I469" s="14" t="s">
        <v>467</v>
      </c>
      <c r="J469" s="18" t="s">
        <v>467</v>
      </c>
      <c r="K469" s="17"/>
      <c r="L469" s="17" t="s">
        <v>1910</v>
      </c>
      <c r="M469" s="17" t="s">
        <v>707</v>
      </c>
      <c r="N469" s="17" t="s">
        <v>708</v>
      </c>
      <c r="O469" s="17" t="s">
        <v>709</v>
      </c>
      <c r="P469" s="17" t="s">
        <v>710</v>
      </c>
      <c r="Q469" s="17" t="s">
        <v>711</v>
      </c>
      <c r="R469" s="17" t="s">
        <v>686</v>
      </c>
      <c r="S469" s="17" t="s">
        <v>712</v>
      </c>
      <c r="T469" s="15"/>
    </row>
    <row r="470" spans="1:20" x14ac:dyDescent="0.25">
      <c r="A470" s="14">
        <v>457</v>
      </c>
      <c r="B470" s="14">
        <v>3541604</v>
      </c>
      <c r="C470" s="14" t="str">
        <f>IF(ISERR(FIND("-",tab_Geral[[#This Row],[Municípios]],1)),"","Têm Hifen")</f>
        <v/>
      </c>
      <c r="D470" s="14" t="str">
        <f>IF(tab_Geral[[#This Row],[Informação 3]]&lt;&gt;"","","Não Registrado")</f>
        <v/>
      </c>
      <c r="E470" s="14" t="str">
        <f>IF(tab_Geral[[#This Row],[Municípios]]=tab_Geral[[#This Row],[Informação 1]],"","Não!, Erro!")</f>
        <v/>
      </c>
      <c r="F470" s="14" t="str">
        <f>IF(tab_Geral[[#This Row],[Municípios]]=tab_Geral[[#This Row],[Município]],"","Não!, Erro!")</f>
        <v/>
      </c>
      <c r="G470" s="14" t="str">
        <f>VLOOKUP(tab_Geral[[#This Row],[GeoCodigo]],tab_CETESB[],2,FALSE)</f>
        <v>Promissão</v>
      </c>
      <c r="H470" s="14" t="str">
        <f>VLOOKUP(tab_Geral[[#This Row],[Informação 3]],tab_AgênciaAmbiental,10,FALSE)</f>
        <v>2</v>
      </c>
      <c r="I470" s="14" t="s">
        <v>468</v>
      </c>
      <c r="J470" s="14" t="s">
        <v>468</v>
      </c>
      <c r="K470" s="17"/>
      <c r="L470" s="17" t="s">
        <v>1883</v>
      </c>
      <c r="M470" s="17" t="s">
        <v>727</v>
      </c>
      <c r="N470" s="17" t="s">
        <v>728</v>
      </c>
      <c r="O470" s="17" t="s">
        <v>729</v>
      </c>
      <c r="P470" s="17" t="s">
        <v>730</v>
      </c>
      <c r="Q470" s="17" t="s">
        <v>731</v>
      </c>
      <c r="R470" s="17" t="s">
        <v>732</v>
      </c>
      <c r="S470" s="17" t="s">
        <v>936</v>
      </c>
    </row>
    <row r="471" spans="1:20" x14ac:dyDescent="0.25">
      <c r="A471" s="14">
        <v>458</v>
      </c>
      <c r="B471" s="14">
        <v>3541653</v>
      </c>
      <c r="C471" s="14" t="str">
        <f>IF(ISERR(FIND("-",tab_Geral[[#This Row],[Municípios]],1)),"","Têm Hifen")</f>
        <v/>
      </c>
      <c r="D471" s="14" t="str">
        <f>IF(tab_Geral[[#This Row],[Informação 3]]&lt;&gt;"","","Não Registrado")</f>
        <v/>
      </c>
      <c r="E471" s="14" t="str">
        <f>IF(tab_Geral[[#This Row],[Municípios]]=tab_Geral[[#This Row],[Informação 1]],"","Não!, Erro!")</f>
        <v/>
      </c>
      <c r="F471" s="14" t="str">
        <f>IF(tab_Geral[[#This Row],[Municípios]]=tab_Geral[[#This Row],[Município]],"","Não!, Erro!")</f>
        <v/>
      </c>
      <c r="G471" s="14" t="str">
        <f>VLOOKUP(tab_Geral[[#This Row],[GeoCodigo]],tab_CETESB[],2,FALSE)</f>
        <v>Quadra</v>
      </c>
      <c r="H471" s="14" t="str">
        <f>VLOOKUP(tab_Geral[[#This Row],[Informação 3]],tab_AgênciaAmbiental,10,FALSE)</f>
        <v>17</v>
      </c>
      <c r="I471" s="14" t="s">
        <v>469</v>
      </c>
      <c r="J471" s="18" t="s">
        <v>469</v>
      </c>
      <c r="K471" s="17"/>
      <c r="L471" s="17" t="s">
        <v>1898</v>
      </c>
      <c r="M471" s="17" t="s">
        <v>701</v>
      </c>
      <c r="N471" s="17" t="s">
        <v>657</v>
      </c>
      <c r="O471" s="17" t="s">
        <v>702</v>
      </c>
      <c r="P471" s="17" t="s">
        <v>703</v>
      </c>
      <c r="Q471" s="17" t="s">
        <v>704</v>
      </c>
      <c r="R471" s="17" t="s">
        <v>705</v>
      </c>
      <c r="S471" s="17" t="s">
        <v>706</v>
      </c>
      <c r="T471" s="15"/>
    </row>
    <row r="472" spans="1:20" x14ac:dyDescent="0.25">
      <c r="A472" s="14">
        <v>459</v>
      </c>
      <c r="B472" s="14">
        <v>3541703</v>
      </c>
      <c r="C472" s="14" t="str">
        <f>IF(ISERR(FIND("-",tab_Geral[[#This Row],[Municípios]],1)),"","Têm Hifen")</f>
        <v/>
      </c>
      <c r="D472" s="14" t="str">
        <f>IF(tab_Geral[[#This Row],[Informação 3]]&lt;&gt;"","","Não Registrado")</f>
        <v/>
      </c>
      <c r="E472" s="14" t="str">
        <f>IF(tab_Geral[[#This Row],[Municípios]]=tab_Geral[[#This Row],[Informação 1]],"","Não!, Erro!")</f>
        <v/>
      </c>
      <c r="F472" s="14" t="str">
        <f>IF(tab_Geral[[#This Row],[Municípios]]=tab_Geral[[#This Row],[Município]],"","Não!, Erro!")</f>
        <v/>
      </c>
      <c r="G472" s="14" t="str">
        <f>VLOOKUP(tab_Geral[[#This Row],[GeoCodigo]],tab_CETESB[],2,FALSE)</f>
        <v>Quatá</v>
      </c>
      <c r="H472" s="14" t="str">
        <f>VLOOKUP(tab_Geral[[#This Row],[Informação 3]],tab_AgênciaAmbiental,10,FALSE)</f>
        <v>4</v>
      </c>
      <c r="I472" s="14" t="s">
        <v>470</v>
      </c>
      <c r="J472" s="18" t="s">
        <v>470</v>
      </c>
      <c r="K472" s="17"/>
      <c r="L472" s="17" t="s">
        <v>1885</v>
      </c>
      <c r="M472" s="17" t="s">
        <v>830</v>
      </c>
      <c r="N472" s="17" t="s">
        <v>831</v>
      </c>
      <c r="O472" s="17" t="s">
        <v>832</v>
      </c>
      <c r="P472" s="17" t="s">
        <v>833</v>
      </c>
      <c r="Q472" s="17" t="s">
        <v>834</v>
      </c>
      <c r="R472" s="17" t="s">
        <v>835</v>
      </c>
      <c r="S472" s="17" t="s">
        <v>836</v>
      </c>
      <c r="T472" s="15"/>
    </row>
    <row r="473" spans="1:20" x14ac:dyDescent="0.25">
      <c r="A473" s="14">
        <v>460</v>
      </c>
      <c r="B473" s="14">
        <v>3541802</v>
      </c>
      <c r="C473" s="14" t="str">
        <f>IF(ISERR(FIND("-",tab_Geral[[#This Row],[Municípios]],1)),"","Têm Hifen")</f>
        <v/>
      </c>
      <c r="D473" s="14" t="str">
        <f>IF(tab_Geral[[#This Row],[Informação 3]]&lt;&gt;"","","Não Registrado")</f>
        <v/>
      </c>
      <c r="E473" s="14" t="str">
        <f>IF(tab_Geral[[#This Row],[Municípios]]=tab_Geral[[#This Row],[Informação 1]],"","Não!, Erro!")</f>
        <v/>
      </c>
      <c r="F473" s="14" t="str">
        <f>IF(tab_Geral[[#This Row],[Municípios]]=tab_Geral[[#This Row],[Município]],"","Não!, Erro!")</f>
        <v/>
      </c>
      <c r="G473" s="14" t="str">
        <f>VLOOKUP(tab_Geral[[#This Row],[GeoCodigo]],tab_CETESB[],2,FALSE)</f>
        <v>Queiroz</v>
      </c>
      <c r="H473" s="14" t="str">
        <f>VLOOKUP(tab_Geral[[#This Row],[Informação 3]],tab_AgênciaAmbiental,10,FALSE)</f>
        <v>23</v>
      </c>
      <c r="I473" s="14" t="s">
        <v>471</v>
      </c>
      <c r="J473" s="18" t="s">
        <v>471</v>
      </c>
      <c r="K473" s="17"/>
      <c r="L473" s="17" t="s">
        <v>1904</v>
      </c>
      <c r="M473" s="17" t="s">
        <v>746</v>
      </c>
      <c r="N473" s="17" t="s">
        <v>747</v>
      </c>
      <c r="O473" s="17" t="s">
        <v>748</v>
      </c>
      <c r="P473" s="17" t="s">
        <v>749</v>
      </c>
      <c r="Q473" s="17" t="s">
        <v>750</v>
      </c>
      <c r="R473" s="17" t="s">
        <v>751</v>
      </c>
      <c r="S473" s="17" t="s">
        <v>752</v>
      </c>
      <c r="T473" s="15"/>
    </row>
    <row r="474" spans="1:20" x14ac:dyDescent="0.25">
      <c r="A474" s="14">
        <v>461</v>
      </c>
      <c r="B474" s="14">
        <v>3541901</v>
      </c>
      <c r="C474" s="14" t="str">
        <f>IF(ISERR(FIND("-",tab_Geral[[#This Row],[Municípios]],1)),"","Têm Hifen")</f>
        <v/>
      </c>
      <c r="D474" s="14" t="str">
        <f>IF(tab_Geral[[#This Row],[Informação 3]]&lt;&gt;"","","Não Registrado")</f>
        <v/>
      </c>
      <c r="E474" s="14" t="str">
        <f>IF(tab_Geral[[#This Row],[Municípios]]=tab_Geral[[#This Row],[Informação 1]],"","Não!, Erro!")</f>
        <v/>
      </c>
      <c r="F474" s="14" t="str">
        <f>IF(tab_Geral[[#This Row],[Municípios]]=tab_Geral[[#This Row],[Município]],"","Não!, Erro!")</f>
        <v/>
      </c>
      <c r="G474" s="14" t="str">
        <f>VLOOKUP(tab_Geral[[#This Row],[GeoCodigo]],tab_CETESB[],2,FALSE)</f>
        <v>Queluz</v>
      </c>
      <c r="H474" s="14" t="str">
        <f>VLOOKUP(tab_Geral[[#This Row],[Informação 3]],tab_AgênciaAmbiental,10,FALSE)</f>
        <v>40</v>
      </c>
      <c r="I474" s="14" t="s">
        <v>472</v>
      </c>
      <c r="J474" s="18" t="s">
        <v>472</v>
      </c>
      <c r="K474" s="17"/>
      <c r="L474" s="17" t="s">
        <v>1921</v>
      </c>
      <c r="M474" s="17" t="s">
        <v>781</v>
      </c>
      <c r="N474" s="17" t="s">
        <v>782</v>
      </c>
      <c r="O474" s="17" t="s">
        <v>783</v>
      </c>
      <c r="P474" s="17" t="s">
        <v>784</v>
      </c>
      <c r="Q474" s="17" t="s">
        <v>785</v>
      </c>
      <c r="R474" s="17" t="s">
        <v>786</v>
      </c>
      <c r="S474" s="17" t="s">
        <v>787</v>
      </c>
      <c r="T474" s="15"/>
    </row>
    <row r="475" spans="1:20" x14ac:dyDescent="0.25">
      <c r="A475" s="14">
        <v>462</v>
      </c>
      <c r="B475" s="14">
        <v>3542008</v>
      </c>
      <c r="C475" s="14" t="str">
        <f>IF(ISERR(FIND("-",tab_Geral[[#This Row],[Municípios]],1)),"","Têm Hifen")</f>
        <v/>
      </c>
      <c r="D475" s="14" t="str">
        <f>IF(tab_Geral[[#This Row],[Informação 3]]&lt;&gt;"","","Não Registrado")</f>
        <v/>
      </c>
      <c r="E475" s="14" t="str">
        <f>IF(tab_Geral[[#This Row],[Municípios]]=tab_Geral[[#This Row],[Informação 1]],"","Não!, Erro!")</f>
        <v/>
      </c>
      <c r="F475" s="14" t="str">
        <f>IF(tab_Geral[[#This Row],[Municípios]]=tab_Geral[[#This Row],[Município]],"","Não!, Erro!")</f>
        <v/>
      </c>
      <c r="G475" s="14" t="str">
        <f>VLOOKUP(tab_Geral[[#This Row],[GeoCodigo]],tab_CETESB[],2,FALSE)</f>
        <v>Quintana</v>
      </c>
      <c r="H475" s="14" t="str">
        <f>VLOOKUP(tab_Geral[[#This Row],[Informação 3]],tab_AgênciaAmbiental,10,FALSE)</f>
        <v>23</v>
      </c>
      <c r="I475" s="14" t="s">
        <v>473</v>
      </c>
      <c r="J475" s="18" t="s">
        <v>473</v>
      </c>
      <c r="K475" s="17"/>
      <c r="L475" s="17" t="s">
        <v>1904</v>
      </c>
      <c r="M475" s="17" t="s">
        <v>746</v>
      </c>
      <c r="N475" s="17" t="s">
        <v>747</v>
      </c>
      <c r="O475" s="17" t="s">
        <v>748</v>
      </c>
      <c r="P475" s="17" t="s">
        <v>749</v>
      </c>
      <c r="Q475" s="17" t="s">
        <v>750</v>
      </c>
      <c r="R475" s="17" t="s">
        <v>751</v>
      </c>
      <c r="S475" s="17" t="s">
        <v>752</v>
      </c>
      <c r="T475" s="15"/>
    </row>
    <row r="476" spans="1:20" x14ac:dyDescent="0.25">
      <c r="A476" s="14">
        <v>463</v>
      </c>
      <c r="B476" s="14">
        <v>3542107</v>
      </c>
      <c r="C476" s="14" t="str">
        <f>IF(ISERR(FIND("-",tab_Geral[[#This Row],[Municípios]],1)),"","Têm Hifen")</f>
        <v/>
      </c>
      <c r="D476" s="14" t="str">
        <f>IF(tab_Geral[[#This Row],[Informação 3]]&lt;&gt;"","","Não Registrado")</f>
        <v/>
      </c>
      <c r="E476" s="14" t="str">
        <f>IF(tab_Geral[[#This Row],[Municípios]]=tab_Geral[[#This Row],[Informação 1]],"","Não!, Erro!")</f>
        <v/>
      </c>
      <c r="F476" s="14" t="str">
        <f>IF(tab_Geral[[#This Row],[Municípios]]=tab_Geral[[#This Row],[Município]],"","Não!, Erro!")</f>
        <v/>
      </c>
      <c r="G476" s="14" t="str">
        <f>VLOOKUP(tab_Geral[[#This Row],[GeoCodigo]],tab_CETESB[],2,FALSE)</f>
        <v>Rafard</v>
      </c>
      <c r="H476" s="14" t="str">
        <f>VLOOKUP(tab_Geral[[#This Row],[Informação 3]],tab_AgênciaAmbiental,10,FALSE)</f>
        <v>10</v>
      </c>
      <c r="I476" s="14" t="s">
        <v>474</v>
      </c>
      <c r="J476" s="18" t="s">
        <v>474</v>
      </c>
      <c r="K476" s="17"/>
      <c r="L476" s="17" t="s">
        <v>1891</v>
      </c>
      <c r="M476" s="17" t="s">
        <v>898</v>
      </c>
      <c r="N476" s="17" t="s">
        <v>899</v>
      </c>
      <c r="O476" s="17" t="s">
        <v>900</v>
      </c>
      <c r="P476" s="17" t="s">
        <v>901</v>
      </c>
      <c r="Q476" s="17" t="s">
        <v>902</v>
      </c>
      <c r="R476" s="17" t="s">
        <v>903</v>
      </c>
      <c r="S476" s="17" t="s">
        <v>904</v>
      </c>
      <c r="T476" s="15"/>
    </row>
    <row r="477" spans="1:20" x14ac:dyDescent="0.25">
      <c r="A477" s="14">
        <v>464</v>
      </c>
      <c r="B477" s="14">
        <v>3542206</v>
      </c>
      <c r="C477" s="14" t="str">
        <f>IF(ISERR(FIND("-",tab_Geral[[#This Row],[Municípios]],1)),"","Têm Hifen")</f>
        <v/>
      </c>
      <c r="D477" s="14" t="str">
        <f>IF(tab_Geral[[#This Row],[Informação 3]]&lt;&gt;"","","Não Registrado")</f>
        <v/>
      </c>
      <c r="E477" s="14" t="str">
        <f>IF(tab_Geral[[#This Row],[Municípios]]=tab_Geral[[#This Row],[Informação 1]],"","Não!, Erro!")</f>
        <v/>
      </c>
      <c r="F477" s="14" t="str">
        <f>IF(tab_Geral[[#This Row],[Municípios]]=tab_Geral[[#This Row],[Município]],"","Não!, Erro!")</f>
        <v/>
      </c>
      <c r="G477" s="14" t="str">
        <f>VLOOKUP(tab_Geral[[#This Row],[GeoCodigo]],tab_CETESB[],2,FALSE)</f>
        <v>Rancharia</v>
      </c>
      <c r="H477" s="14" t="str">
        <f>VLOOKUP(tab_Geral[[#This Row],[Informação 3]],tab_AgênciaAmbiental,10,FALSE)</f>
        <v>29</v>
      </c>
      <c r="I477" s="14" t="s">
        <v>475</v>
      </c>
      <c r="J477" s="18" t="s">
        <v>475</v>
      </c>
      <c r="K477" s="17"/>
      <c r="L477" s="17" t="s">
        <v>1910</v>
      </c>
      <c r="M477" s="17" t="s">
        <v>707</v>
      </c>
      <c r="N477" s="17" t="s">
        <v>708</v>
      </c>
      <c r="O477" s="17" t="s">
        <v>709</v>
      </c>
      <c r="P477" s="17" t="s">
        <v>710</v>
      </c>
      <c r="Q477" s="17" t="s">
        <v>711</v>
      </c>
      <c r="R477" s="17" t="s">
        <v>686</v>
      </c>
      <c r="S477" s="17" t="s">
        <v>712</v>
      </c>
      <c r="T477" s="15"/>
    </row>
    <row r="478" spans="1:20" x14ac:dyDescent="0.25">
      <c r="A478" s="14">
        <v>465</v>
      </c>
      <c r="B478" s="14">
        <v>3542305</v>
      </c>
      <c r="C478" s="14" t="str">
        <f>IF(ISERR(FIND("-",tab_Geral[[#This Row],[Municípios]],1)),"","Têm Hifen")</f>
        <v/>
      </c>
      <c r="D478" s="14" t="str">
        <f>IF(tab_Geral[[#This Row],[Informação 3]]&lt;&gt;"","","Não Registrado")</f>
        <v/>
      </c>
      <c r="E478" s="14" t="str">
        <f>IF(tab_Geral[[#This Row],[Municípios]]=tab_Geral[[#This Row],[Informação 1]],"","Não!, Erro!")</f>
        <v/>
      </c>
      <c r="F478" s="14" t="str">
        <f>IF(tab_Geral[[#This Row],[Municípios]]=tab_Geral[[#This Row],[Município]],"","Não!, Erro!")</f>
        <v/>
      </c>
      <c r="G478" s="14" t="str">
        <f>VLOOKUP(tab_Geral[[#This Row],[GeoCodigo]],tab_CETESB[],2,FALSE)</f>
        <v>Redenção da Serra</v>
      </c>
      <c r="H478" s="14" t="str">
        <f>VLOOKUP(tab_Geral[[#This Row],[Informação 3]],tab_AgênciaAmbiental,10,FALSE)</f>
        <v>40</v>
      </c>
      <c r="I478" s="14" t="s">
        <v>476</v>
      </c>
      <c r="J478" s="18" t="s">
        <v>476</v>
      </c>
      <c r="K478" s="17"/>
      <c r="L478" s="17" t="s">
        <v>1921</v>
      </c>
      <c r="M478" s="17" t="s">
        <v>781</v>
      </c>
      <c r="N478" s="17" t="s">
        <v>782</v>
      </c>
      <c r="O478" s="17" t="s">
        <v>783</v>
      </c>
      <c r="P478" s="17" t="s">
        <v>784</v>
      </c>
      <c r="Q478" s="17" t="s">
        <v>785</v>
      </c>
      <c r="R478" s="17" t="s">
        <v>786</v>
      </c>
      <c r="S478" s="17" t="s">
        <v>787</v>
      </c>
      <c r="T478" s="15"/>
    </row>
    <row r="479" spans="1:20" x14ac:dyDescent="0.25">
      <c r="A479" s="14">
        <v>466</v>
      </c>
      <c r="B479" s="14">
        <v>3542404</v>
      </c>
      <c r="C479" s="14" t="str">
        <f>IF(ISERR(FIND("-",tab_Geral[[#This Row],[Municípios]],1)),"","Têm Hifen")</f>
        <v/>
      </c>
      <c r="D479" s="14" t="str">
        <f>IF(tab_Geral[[#This Row],[Informação 3]]&lt;&gt;"","","Não Registrado")</f>
        <v/>
      </c>
      <c r="E479" s="14" t="str">
        <f>IF(tab_Geral[[#This Row],[Municípios]]=tab_Geral[[#This Row],[Informação 1]],"","Não!, Erro!")</f>
        <v/>
      </c>
      <c r="F479" s="14" t="str">
        <f>IF(tab_Geral[[#This Row],[Municípios]]=tab_Geral[[#This Row],[Município]],"","Não!, Erro!")</f>
        <v/>
      </c>
      <c r="G479" s="14" t="str">
        <f>VLOOKUP(tab_Geral[[#This Row],[GeoCodigo]],tab_CETESB[],2,FALSE)</f>
        <v>Regente Feijó</v>
      </c>
      <c r="H479" s="14" t="str">
        <f>VLOOKUP(tab_Geral[[#This Row],[Informação 3]],tab_AgênciaAmbiental,10,FALSE)</f>
        <v>29</v>
      </c>
      <c r="I479" s="14" t="s">
        <v>477</v>
      </c>
      <c r="J479" s="18" t="s">
        <v>477</v>
      </c>
      <c r="K479" s="17"/>
      <c r="L479" s="17" t="s">
        <v>1910</v>
      </c>
      <c r="M479" s="17" t="s">
        <v>707</v>
      </c>
      <c r="N479" s="17" t="s">
        <v>708</v>
      </c>
      <c r="O479" s="17" t="s">
        <v>709</v>
      </c>
      <c r="P479" s="17" t="s">
        <v>710</v>
      </c>
      <c r="Q479" s="17" t="s">
        <v>711</v>
      </c>
      <c r="R479" s="17" t="s">
        <v>686</v>
      </c>
      <c r="S479" s="17" t="s">
        <v>712</v>
      </c>
      <c r="T479" s="15"/>
    </row>
    <row r="480" spans="1:20" x14ac:dyDescent="0.25">
      <c r="A480" s="14">
        <v>467</v>
      </c>
      <c r="B480" s="14">
        <v>3542503</v>
      </c>
      <c r="C480" s="14" t="str">
        <f>IF(ISERR(FIND("-",tab_Geral[[#This Row],[Municípios]],1)),"","Têm Hifen")</f>
        <v/>
      </c>
      <c r="D480" s="14" t="str">
        <f>IF(tab_Geral[[#This Row],[Informação 3]]&lt;&gt;"","","Não Registrado")</f>
        <v/>
      </c>
      <c r="E480" s="14" t="str">
        <f>IF(tab_Geral[[#This Row],[Municípios]]=tab_Geral[[#This Row],[Informação 1]],"","Não!, Erro!")</f>
        <v/>
      </c>
      <c r="F480" s="14" t="str">
        <f>IF(tab_Geral[[#This Row],[Municípios]]=tab_Geral[[#This Row],[Município]],"","Não!, Erro!")</f>
        <v/>
      </c>
      <c r="G480" s="14" t="str">
        <f>VLOOKUP(tab_Geral[[#This Row],[GeoCodigo]],tab_CETESB[],2,FALSE)</f>
        <v>Reginópolis</v>
      </c>
      <c r="H480" s="14" t="str">
        <f>VLOOKUP(tab_Geral[[#This Row],[Informação 3]],tab_AgênciaAmbiental,10,FALSE)</f>
        <v>8</v>
      </c>
      <c r="I480" s="14" t="s">
        <v>478</v>
      </c>
      <c r="J480" s="18" t="s">
        <v>478</v>
      </c>
      <c r="K480" s="17"/>
      <c r="L480" s="17" t="s">
        <v>1889</v>
      </c>
      <c r="M480" s="17" t="s">
        <v>694</v>
      </c>
      <c r="N480" s="17" t="s">
        <v>695</v>
      </c>
      <c r="O480" s="17" t="s">
        <v>696</v>
      </c>
      <c r="P480" s="17" t="s">
        <v>697</v>
      </c>
      <c r="Q480" s="17" t="s">
        <v>698</v>
      </c>
      <c r="R480" s="17" t="s">
        <v>699</v>
      </c>
      <c r="S480" s="17" t="s">
        <v>700</v>
      </c>
      <c r="T480" s="15"/>
    </row>
    <row r="481" spans="1:20" x14ac:dyDescent="0.25">
      <c r="A481" s="14">
        <v>468</v>
      </c>
      <c r="B481" s="14">
        <v>3542602</v>
      </c>
      <c r="C481" s="14" t="str">
        <f>IF(ISERR(FIND("-",tab_Geral[[#This Row],[Municípios]],1)),"","Têm Hifen")</f>
        <v/>
      </c>
      <c r="D481" s="14" t="str">
        <f>IF(tab_Geral[[#This Row],[Informação 3]]&lt;&gt;"","","Não Registrado")</f>
        <v/>
      </c>
      <c r="E481" s="14" t="str">
        <f>IF(tab_Geral[[#This Row],[Municípios]]=tab_Geral[[#This Row],[Informação 1]],"","Não!, Erro!")</f>
        <v/>
      </c>
      <c r="F481" s="14" t="str">
        <f>IF(tab_Geral[[#This Row],[Municípios]]=tab_Geral[[#This Row],[Município]],"","Não!, Erro!")</f>
        <v/>
      </c>
      <c r="G481" s="14" t="str">
        <f>VLOOKUP(tab_Geral[[#This Row],[GeoCodigo]],tab_CETESB[],2,FALSE)</f>
        <v>Registro</v>
      </c>
      <c r="H481" s="14" t="str">
        <f>VLOOKUP(tab_Geral[[#This Row],[Informação 3]],tab_AgênciaAmbiental,10,FALSE)</f>
        <v>30</v>
      </c>
      <c r="I481" s="14" t="s">
        <v>479</v>
      </c>
      <c r="J481" s="18" t="s">
        <v>479</v>
      </c>
      <c r="K481" s="17"/>
      <c r="L481" s="17" t="s">
        <v>1911</v>
      </c>
      <c r="M481" s="17" t="s">
        <v>843</v>
      </c>
      <c r="N481" s="17" t="s">
        <v>844</v>
      </c>
      <c r="O481" s="17" t="s">
        <v>845</v>
      </c>
      <c r="P481" s="17" t="s">
        <v>846</v>
      </c>
      <c r="Q481" s="17" t="s">
        <v>847</v>
      </c>
      <c r="R481" s="17" t="s">
        <v>848</v>
      </c>
      <c r="S481" s="17" t="s">
        <v>849</v>
      </c>
      <c r="T481" s="15"/>
    </row>
    <row r="482" spans="1:20" x14ac:dyDescent="0.25">
      <c r="A482" s="14">
        <v>469</v>
      </c>
      <c r="B482" s="14">
        <v>3542701</v>
      </c>
      <c r="C482" s="14" t="str">
        <f>IF(ISERR(FIND("-",tab_Geral[[#This Row],[Municípios]],1)),"","Têm Hifen")</f>
        <v/>
      </c>
      <c r="D482" s="14" t="str">
        <f>IF(tab_Geral[[#This Row],[Informação 3]]&lt;&gt;"","","Não Registrado")</f>
        <v/>
      </c>
      <c r="E482" s="14" t="str">
        <f>IF(tab_Geral[[#This Row],[Municípios]]=tab_Geral[[#This Row],[Informação 1]],"","Não!, Erro!")</f>
        <v/>
      </c>
      <c r="F482" s="14" t="str">
        <f>IF(tab_Geral[[#This Row],[Municípios]]=tab_Geral[[#This Row],[Município]],"","Não!, Erro!")</f>
        <v/>
      </c>
      <c r="G482" s="14" t="str">
        <f>VLOOKUP(tab_Geral[[#This Row],[GeoCodigo]],tab_CETESB[],2,FALSE)</f>
        <v>Restinga</v>
      </c>
      <c r="H482" s="14" t="str">
        <f>VLOOKUP(tab_Geral[[#This Row],[Informação 3]],tab_AgênciaAmbiental,10,FALSE)</f>
        <v>15</v>
      </c>
      <c r="I482" s="14" t="s">
        <v>480</v>
      </c>
      <c r="J482" s="18" t="s">
        <v>480</v>
      </c>
      <c r="K482" s="17"/>
      <c r="L482" s="17" t="s">
        <v>1896</v>
      </c>
      <c r="M482" s="17" t="s">
        <v>809</v>
      </c>
      <c r="N482" s="17" t="s">
        <v>810</v>
      </c>
      <c r="O482" s="17" t="s">
        <v>811</v>
      </c>
      <c r="P482" s="17" t="s">
        <v>812</v>
      </c>
      <c r="Q482" s="17" t="s">
        <v>813</v>
      </c>
      <c r="R482" s="17" t="s">
        <v>814</v>
      </c>
      <c r="S482" s="17" t="s">
        <v>815</v>
      </c>
      <c r="T482" s="15"/>
    </row>
    <row r="483" spans="1:20" x14ac:dyDescent="0.25">
      <c r="A483" s="14">
        <v>470</v>
      </c>
      <c r="B483" s="14">
        <v>3542800</v>
      </c>
      <c r="C483" s="14" t="str">
        <f>IF(ISERR(FIND("-",tab_Geral[[#This Row],[Municípios]],1)),"","Têm Hifen")</f>
        <v/>
      </c>
      <c r="D483" s="14" t="str">
        <f>IF(tab_Geral[[#This Row],[Informação 3]]&lt;&gt;"","","Não Registrado")</f>
        <v/>
      </c>
      <c r="E483" s="14" t="str">
        <f>IF(tab_Geral[[#This Row],[Municípios]]=tab_Geral[[#This Row],[Informação 1]],"","Não!, Erro!")</f>
        <v/>
      </c>
      <c r="F483" s="14" t="str">
        <f>IF(tab_Geral[[#This Row],[Municípios]]=tab_Geral[[#This Row],[Município]],"","Não!, Erro!")</f>
        <v/>
      </c>
      <c r="G483" s="14" t="str">
        <f>VLOOKUP(tab_Geral[[#This Row],[GeoCodigo]],tab_CETESB[],2,FALSE)</f>
        <v>Ribeira</v>
      </c>
      <c r="H483" s="14" t="str">
        <f>VLOOKUP(tab_Geral[[#This Row],[Informação 3]],tab_AgênciaAmbiental,10,FALSE)</f>
        <v>11</v>
      </c>
      <c r="I483" s="14" t="s">
        <v>481</v>
      </c>
      <c r="J483" s="18" t="s">
        <v>481</v>
      </c>
      <c r="K483" s="17"/>
      <c r="L483" s="17" t="s">
        <v>1892</v>
      </c>
      <c r="M483" s="17" t="s">
        <v>795</v>
      </c>
      <c r="N483" s="17" t="s">
        <v>796</v>
      </c>
      <c r="O483" s="17" t="s">
        <v>797</v>
      </c>
      <c r="P483" s="17" t="s">
        <v>798</v>
      </c>
      <c r="Q483" s="17" t="s">
        <v>799</v>
      </c>
      <c r="R483" s="17" t="s">
        <v>800</v>
      </c>
      <c r="S483" s="17" t="s">
        <v>801</v>
      </c>
      <c r="T483" s="15"/>
    </row>
    <row r="484" spans="1:20" x14ac:dyDescent="0.25">
      <c r="A484" s="14">
        <v>471</v>
      </c>
      <c r="B484" s="14">
        <v>3542909</v>
      </c>
      <c r="C484" s="14" t="str">
        <f>IF(ISERR(FIND("-",tab_Geral[[#This Row],[Municípios]],1)),"","Têm Hifen")</f>
        <v/>
      </c>
      <c r="D484" s="14" t="str">
        <f>IF(tab_Geral[[#This Row],[Informação 3]]&lt;&gt;"","","Não Registrado")</f>
        <v/>
      </c>
      <c r="E484" s="14" t="str">
        <f>IF(tab_Geral[[#This Row],[Municípios]]=tab_Geral[[#This Row],[Informação 1]],"","Não!, Erro!")</f>
        <v/>
      </c>
      <c r="F484" s="14" t="str">
        <f>IF(tab_Geral[[#This Row],[Municípios]]=tab_Geral[[#This Row],[Município]],"","Não!, Erro!")</f>
        <v/>
      </c>
      <c r="G484" s="14" t="str">
        <f>VLOOKUP(tab_Geral[[#This Row],[GeoCodigo]],tab_CETESB[],2,FALSE)</f>
        <v>Ribeirão Bonito</v>
      </c>
      <c r="H484" s="14" t="str">
        <f>VLOOKUP(tab_Geral[[#This Row],[Informação 3]],tab_AgênciaAmbiental,10,FALSE)</f>
        <v>34</v>
      </c>
      <c r="I484" s="14" t="s">
        <v>482</v>
      </c>
      <c r="J484" s="18" t="s">
        <v>482</v>
      </c>
      <c r="K484" s="17"/>
      <c r="L484" s="17" t="s">
        <v>1915</v>
      </c>
      <c r="M484" s="17" t="s">
        <v>877</v>
      </c>
      <c r="N484" s="17" t="s">
        <v>878</v>
      </c>
      <c r="O484" s="17" t="s">
        <v>879</v>
      </c>
      <c r="P484" s="17" t="s">
        <v>880</v>
      </c>
      <c r="Q484" s="17" t="s">
        <v>881</v>
      </c>
      <c r="R484" s="17" t="s">
        <v>882</v>
      </c>
      <c r="S484" s="17" t="s">
        <v>883</v>
      </c>
      <c r="T484" s="15"/>
    </row>
    <row r="485" spans="1:20" x14ac:dyDescent="0.25">
      <c r="A485" s="14">
        <v>472</v>
      </c>
      <c r="B485" s="14">
        <v>3543006</v>
      </c>
      <c r="C485" s="14" t="str">
        <f>IF(ISERR(FIND("-",tab_Geral[[#This Row],[Municípios]],1)),"","Têm Hifen")</f>
        <v/>
      </c>
      <c r="D485" s="14" t="str">
        <f>IF(tab_Geral[[#This Row],[Informação 3]]&lt;&gt;"","","Não Registrado")</f>
        <v/>
      </c>
      <c r="E485" s="14" t="str">
        <f>IF(tab_Geral[[#This Row],[Municípios]]=tab_Geral[[#This Row],[Informação 1]],"","Não!, Erro!")</f>
        <v/>
      </c>
      <c r="F485" s="14" t="str">
        <f>IF(tab_Geral[[#This Row],[Municípios]]=tab_Geral[[#This Row],[Município]],"","Não!, Erro!")</f>
        <v/>
      </c>
      <c r="G485" s="14" t="str">
        <f>VLOOKUP(tab_Geral[[#This Row],[GeoCodigo]],tab_CETESB[],2,FALSE)</f>
        <v>Ribeirão Branco</v>
      </c>
      <c r="H485" s="14" t="str">
        <f>VLOOKUP(tab_Geral[[#This Row],[Informação 3]],tab_AgênciaAmbiental,10,FALSE)</f>
        <v>11</v>
      </c>
      <c r="I485" s="14" t="s">
        <v>483</v>
      </c>
      <c r="J485" s="18" t="s">
        <v>483</v>
      </c>
      <c r="K485" s="17"/>
      <c r="L485" s="17" t="s">
        <v>1892</v>
      </c>
      <c r="M485" s="17" t="s">
        <v>795</v>
      </c>
      <c r="N485" s="17" t="s">
        <v>796</v>
      </c>
      <c r="O485" s="17" t="s">
        <v>797</v>
      </c>
      <c r="P485" s="17" t="s">
        <v>798</v>
      </c>
      <c r="Q485" s="17" t="s">
        <v>799</v>
      </c>
      <c r="R485" s="17" t="s">
        <v>800</v>
      </c>
      <c r="S485" s="17" t="s">
        <v>801</v>
      </c>
      <c r="T485" s="15"/>
    </row>
    <row r="486" spans="1:20" x14ac:dyDescent="0.25">
      <c r="A486" s="14">
        <v>473</v>
      </c>
      <c r="B486" s="14">
        <v>3543105</v>
      </c>
      <c r="C486" s="14" t="str">
        <f>IF(ISERR(FIND("-",tab_Geral[[#This Row],[Municípios]],1)),"","Têm Hifen")</f>
        <v/>
      </c>
      <c r="D486" s="14" t="str">
        <f>IF(tab_Geral[[#This Row],[Informação 3]]&lt;&gt;"","","Não Registrado")</f>
        <v/>
      </c>
      <c r="E486" s="14" t="str">
        <f>IF(tab_Geral[[#This Row],[Municípios]]=tab_Geral[[#This Row],[Informação 1]],"","Não!, Erro!")</f>
        <v/>
      </c>
      <c r="F486" s="14" t="str">
        <f>IF(tab_Geral[[#This Row],[Municípios]]=tab_Geral[[#This Row],[Município]],"","Não!, Erro!")</f>
        <v/>
      </c>
      <c r="G486" s="14" t="str">
        <f>VLOOKUP(tab_Geral[[#This Row],[GeoCodigo]],tab_CETESB[],2,FALSE)</f>
        <v>Ribeirão Corrente</v>
      </c>
      <c r="H486" s="14" t="str">
        <f>VLOOKUP(tab_Geral[[#This Row],[Informação 3]],tab_AgênciaAmbiental,10,FALSE)</f>
        <v>15</v>
      </c>
      <c r="I486" s="14" t="s">
        <v>484</v>
      </c>
      <c r="J486" s="18" t="s">
        <v>484</v>
      </c>
      <c r="K486" s="17"/>
      <c r="L486" s="17" t="s">
        <v>1896</v>
      </c>
      <c r="M486" s="17" t="s">
        <v>809</v>
      </c>
      <c r="N486" s="17" t="s">
        <v>810</v>
      </c>
      <c r="O486" s="17" t="s">
        <v>811</v>
      </c>
      <c r="P486" s="17" t="s">
        <v>812</v>
      </c>
      <c r="Q486" s="17" t="s">
        <v>813</v>
      </c>
      <c r="R486" s="17" t="s">
        <v>814</v>
      </c>
      <c r="S486" s="17" t="s">
        <v>815</v>
      </c>
      <c r="T486" s="15"/>
    </row>
    <row r="487" spans="1:20" x14ac:dyDescent="0.25">
      <c r="A487" s="14">
        <v>474</v>
      </c>
      <c r="B487" s="14">
        <v>3543204</v>
      </c>
      <c r="C487" s="14" t="str">
        <f>IF(ISERR(FIND("-",tab_Geral[[#This Row],[Municípios]],1)),"","Têm Hifen")</f>
        <v/>
      </c>
      <c r="D487" s="14" t="str">
        <f>IF(tab_Geral[[#This Row],[Informação 3]]&lt;&gt;"","","Não Registrado")</f>
        <v/>
      </c>
      <c r="E487" s="14" t="str">
        <f>IF(tab_Geral[[#This Row],[Municípios]]=tab_Geral[[#This Row],[Informação 1]],"","Não!, Erro!")</f>
        <v/>
      </c>
      <c r="F487" s="14" t="str">
        <f>IF(tab_Geral[[#This Row],[Municípios]]=tab_Geral[[#This Row],[Município]],"","Não!, Erro!")</f>
        <v/>
      </c>
      <c r="G487" s="14" t="str">
        <f>VLOOKUP(tab_Geral[[#This Row],[GeoCodigo]],tab_CETESB[],2,FALSE)</f>
        <v>Ribeirão do Sul</v>
      </c>
      <c r="H487" s="14" t="str">
        <f>VLOOKUP(tab_Geral[[#This Row],[Informação 3]],tab_AgênciaAmbiental,10,FALSE)</f>
        <v>4</v>
      </c>
      <c r="I487" s="14" t="s">
        <v>485</v>
      </c>
      <c r="J487" s="18" t="s">
        <v>485</v>
      </c>
      <c r="K487" s="17"/>
      <c r="L487" s="17" t="s">
        <v>1885</v>
      </c>
      <c r="M487" s="17" t="s">
        <v>830</v>
      </c>
      <c r="N487" s="17" t="s">
        <v>831</v>
      </c>
      <c r="O487" s="17" t="s">
        <v>832</v>
      </c>
      <c r="P487" s="17" t="s">
        <v>833</v>
      </c>
      <c r="Q487" s="17" t="s">
        <v>834</v>
      </c>
      <c r="R487" s="17" t="s">
        <v>835</v>
      </c>
      <c r="S487" s="17" t="s">
        <v>836</v>
      </c>
      <c r="T487" s="15"/>
    </row>
    <row r="488" spans="1:20" x14ac:dyDescent="0.25">
      <c r="A488" s="14">
        <v>475</v>
      </c>
      <c r="B488" s="14">
        <v>3543238</v>
      </c>
      <c r="C488" s="14" t="str">
        <f>IF(ISERR(FIND("-",tab_Geral[[#This Row],[Municípios]],1)),"","Têm Hifen")</f>
        <v/>
      </c>
      <c r="D488" s="14" t="str">
        <f>IF(tab_Geral[[#This Row],[Informação 3]]&lt;&gt;"","","Não Registrado")</f>
        <v/>
      </c>
      <c r="E488" s="14" t="str">
        <f>IF(tab_Geral[[#This Row],[Municípios]]=tab_Geral[[#This Row],[Informação 1]],"","Não!, Erro!")</f>
        <v/>
      </c>
      <c r="F488" s="14" t="str">
        <f>IF(tab_Geral[[#This Row],[Municípios]]=tab_Geral[[#This Row],[Município]],"","Não!, Erro!")</f>
        <v/>
      </c>
      <c r="G488" s="14" t="str">
        <f>VLOOKUP(tab_Geral[[#This Row],[GeoCodigo]],tab_CETESB[],2,FALSE)</f>
        <v>Ribeirão dos Índios</v>
      </c>
      <c r="H488" s="14" t="str">
        <f>VLOOKUP(tab_Geral[[#This Row],[Informação 3]],tab_AgênciaAmbiental,10,FALSE)</f>
        <v>29</v>
      </c>
      <c r="I488" s="14" t="s">
        <v>486</v>
      </c>
      <c r="J488" s="18" t="s">
        <v>486</v>
      </c>
      <c r="K488" s="17"/>
      <c r="L488" s="17" t="s">
        <v>1910</v>
      </c>
      <c r="M488" s="17" t="s">
        <v>707</v>
      </c>
      <c r="N488" s="17" t="s">
        <v>708</v>
      </c>
      <c r="O488" s="17" t="s">
        <v>709</v>
      </c>
      <c r="P488" s="17" t="s">
        <v>710</v>
      </c>
      <c r="Q488" s="17" t="s">
        <v>711</v>
      </c>
      <c r="R488" s="17" t="s">
        <v>686</v>
      </c>
      <c r="S488" s="17" t="s">
        <v>712</v>
      </c>
      <c r="T488" s="15"/>
    </row>
    <row r="489" spans="1:20" x14ac:dyDescent="0.25">
      <c r="A489" s="14">
        <v>476</v>
      </c>
      <c r="B489" s="14">
        <v>3543253</v>
      </c>
      <c r="C489" s="14" t="str">
        <f>IF(ISERR(FIND("-",tab_Geral[[#This Row],[Municípios]],1)),"","Têm Hifen")</f>
        <v/>
      </c>
      <c r="D489" s="14" t="str">
        <f>IF(tab_Geral[[#This Row],[Informação 3]]&lt;&gt;"","","Não Registrado")</f>
        <v/>
      </c>
      <c r="E489" s="14" t="str">
        <f>IF(tab_Geral[[#This Row],[Municípios]]=tab_Geral[[#This Row],[Informação 1]],"","Não!, Erro!")</f>
        <v/>
      </c>
      <c r="F489" s="14" t="str">
        <f>IF(tab_Geral[[#This Row],[Municípios]]=tab_Geral[[#This Row],[Município]],"","Não!, Erro!")</f>
        <v/>
      </c>
      <c r="G489" s="14" t="str">
        <f>VLOOKUP(tab_Geral[[#This Row],[GeoCodigo]],tab_CETESB[],2,FALSE)</f>
        <v>Ribeirão Grande</v>
      </c>
      <c r="H489" s="14" t="str">
        <f>VLOOKUP(tab_Geral[[#This Row],[Informação 3]],tab_AgênciaAmbiental,10,FALSE)</f>
        <v>11</v>
      </c>
      <c r="I489" s="14" t="s">
        <v>487</v>
      </c>
      <c r="J489" s="18" t="s">
        <v>487</v>
      </c>
      <c r="K489" s="17"/>
      <c r="L489" s="17" t="s">
        <v>1892</v>
      </c>
      <c r="M489" s="17" t="s">
        <v>795</v>
      </c>
      <c r="N489" s="17" t="s">
        <v>796</v>
      </c>
      <c r="O489" s="17" t="s">
        <v>797</v>
      </c>
      <c r="P489" s="17" t="s">
        <v>798</v>
      </c>
      <c r="Q489" s="17" t="s">
        <v>799</v>
      </c>
      <c r="R489" s="17" t="s">
        <v>800</v>
      </c>
      <c r="S489" s="17" t="s">
        <v>801</v>
      </c>
      <c r="T489" s="15"/>
    </row>
    <row r="490" spans="1:20" x14ac:dyDescent="0.25">
      <c r="A490" s="14">
        <v>477</v>
      </c>
      <c r="B490" s="14">
        <v>3543303</v>
      </c>
      <c r="C490" s="14" t="str">
        <f>IF(ISERR(FIND("-",tab_Geral[[#This Row],[Municípios]],1)),"","Têm Hifen")</f>
        <v/>
      </c>
      <c r="D490" s="14" t="str">
        <f>IF(tab_Geral[[#This Row],[Informação 3]]&lt;&gt;"","","Não Registrado")</f>
        <v/>
      </c>
      <c r="E490" s="14" t="str">
        <f>IF(tab_Geral[[#This Row],[Municípios]]=tab_Geral[[#This Row],[Informação 1]],"","Não!, Erro!")</f>
        <v/>
      </c>
      <c r="F490" s="14" t="str">
        <f>IF(tab_Geral[[#This Row],[Municípios]]=tab_Geral[[#This Row],[Município]],"","Não!, Erro!")</f>
        <v/>
      </c>
      <c r="G490" s="14" t="str">
        <f>VLOOKUP(tab_Geral[[#This Row],[GeoCodigo]],tab_CETESB[],2,FALSE)</f>
        <v>Ribeirão Pires</v>
      </c>
      <c r="H490" s="14" t="str">
        <f>VLOOKUP(tab_Geral[[#This Row],[Informação 3]],tab_AgênciaAmbiental,10,FALSE)</f>
        <v>42</v>
      </c>
      <c r="I490" s="14" t="s">
        <v>488</v>
      </c>
      <c r="J490" s="18" t="s">
        <v>488</v>
      </c>
      <c r="K490" s="17"/>
      <c r="L490" s="17" t="s">
        <v>1923</v>
      </c>
      <c r="M490" s="17" t="s">
        <v>919</v>
      </c>
      <c r="N490" s="17" t="s">
        <v>920</v>
      </c>
      <c r="O490" s="17" t="s">
        <v>921</v>
      </c>
      <c r="P490" s="17" t="s">
        <v>922</v>
      </c>
      <c r="Q490" s="17" t="s">
        <v>923</v>
      </c>
      <c r="R490" s="17" t="s">
        <v>924</v>
      </c>
      <c r="S490" s="17" t="s">
        <v>933</v>
      </c>
      <c r="T490" s="15"/>
    </row>
    <row r="491" spans="1:20" x14ac:dyDescent="0.25">
      <c r="A491" s="14">
        <v>478</v>
      </c>
      <c r="B491" s="14">
        <v>3543402</v>
      </c>
      <c r="C491" s="14" t="str">
        <f>IF(ISERR(FIND("-",tab_Geral[[#This Row],[Municípios]],1)),"","Têm Hifen")</f>
        <v/>
      </c>
      <c r="D491" s="14" t="str">
        <f>IF(tab_Geral[[#This Row],[Informação 3]]&lt;&gt;"","","Não Registrado")</f>
        <v/>
      </c>
      <c r="E491" s="14" t="str">
        <f>IF(tab_Geral[[#This Row],[Municípios]]=tab_Geral[[#This Row],[Informação 1]],"","Não!, Erro!")</f>
        <v/>
      </c>
      <c r="F491" s="14" t="str">
        <f>IF(tab_Geral[[#This Row],[Municípios]]=tab_Geral[[#This Row],[Município]],"","Não!, Erro!")</f>
        <v/>
      </c>
      <c r="G491" s="14" t="str">
        <f>VLOOKUP(tab_Geral[[#This Row],[GeoCodigo]],tab_CETESB[],2,FALSE)</f>
        <v>Ribeirão Preto</v>
      </c>
      <c r="H491" s="14" t="str">
        <f>VLOOKUP(tab_Geral[[#This Row],[Informação 3]],tab_AgênciaAmbiental,10,FALSE)</f>
        <v>31</v>
      </c>
      <c r="I491" s="14" t="s">
        <v>489</v>
      </c>
      <c r="J491" s="18" t="s">
        <v>489</v>
      </c>
      <c r="K491" s="17"/>
      <c r="L491" s="17" t="s">
        <v>1912</v>
      </c>
      <c r="M491" s="17" t="s">
        <v>720</v>
      </c>
      <c r="N491" s="17" t="s">
        <v>721</v>
      </c>
      <c r="O491" s="17" t="s">
        <v>722</v>
      </c>
      <c r="P491" s="17" t="s">
        <v>723</v>
      </c>
      <c r="Q491" s="17" t="s">
        <v>724</v>
      </c>
      <c r="R491" s="17" t="s">
        <v>725</v>
      </c>
      <c r="S491" s="17" t="s">
        <v>726</v>
      </c>
      <c r="T491" s="15"/>
    </row>
    <row r="492" spans="1:20" x14ac:dyDescent="0.25">
      <c r="A492" s="14">
        <v>479</v>
      </c>
      <c r="B492" s="14">
        <v>3543600</v>
      </c>
      <c r="C492" s="14" t="str">
        <f>IF(ISERR(FIND("-",tab_Geral[[#This Row],[Municípios]],1)),"","Têm Hifen")</f>
        <v/>
      </c>
      <c r="D492" s="14" t="str">
        <f>IF(tab_Geral[[#This Row],[Informação 3]]&lt;&gt;"","","Não Registrado")</f>
        <v/>
      </c>
      <c r="E492" s="14" t="str">
        <f>IF(tab_Geral[[#This Row],[Municípios]]=tab_Geral[[#This Row],[Informação 1]],"","Não!, Erro!")</f>
        <v/>
      </c>
      <c r="F492" s="14" t="str">
        <f>IF(tab_Geral[[#This Row],[Municípios]]=tab_Geral[[#This Row],[Município]],"","Não!, Erro!")</f>
        <v/>
      </c>
      <c r="G492" s="14" t="str">
        <f>VLOOKUP(tab_Geral[[#This Row],[GeoCodigo]],tab_CETESB[],2,FALSE)</f>
        <v>Rifaina</v>
      </c>
      <c r="H492" s="14" t="str">
        <f>VLOOKUP(tab_Geral[[#This Row],[Informação 3]],tab_AgênciaAmbiental,10,FALSE)</f>
        <v>15</v>
      </c>
      <c r="I492" s="14" t="s">
        <v>490</v>
      </c>
      <c r="J492" s="18" t="s">
        <v>490</v>
      </c>
      <c r="K492" s="17"/>
      <c r="L492" s="17" t="s">
        <v>1896</v>
      </c>
      <c r="M492" s="17" t="s">
        <v>809</v>
      </c>
      <c r="N492" s="17" t="s">
        <v>810</v>
      </c>
      <c r="O492" s="17" t="s">
        <v>811</v>
      </c>
      <c r="P492" s="17" t="s">
        <v>812</v>
      </c>
      <c r="Q492" s="17" t="s">
        <v>813</v>
      </c>
      <c r="R492" s="17" t="s">
        <v>814</v>
      </c>
      <c r="S492" s="17" t="s">
        <v>815</v>
      </c>
      <c r="T492" s="15"/>
    </row>
    <row r="493" spans="1:20" x14ac:dyDescent="0.25">
      <c r="A493" s="14">
        <v>480</v>
      </c>
      <c r="B493" s="14">
        <v>3543709</v>
      </c>
      <c r="C493" s="14" t="str">
        <f>IF(ISERR(FIND("-",tab_Geral[[#This Row],[Municípios]],1)),"","Têm Hifen")</f>
        <v/>
      </c>
      <c r="D493" s="14" t="str">
        <f>IF(tab_Geral[[#This Row],[Informação 3]]&lt;&gt;"","","Não Registrado")</f>
        <v/>
      </c>
      <c r="E493" s="14" t="str">
        <f>IF(tab_Geral[[#This Row],[Municípios]]=tab_Geral[[#This Row],[Informação 1]],"","Não!, Erro!")</f>
        <v/>
      </c>
      <c r="F493" s="14" t="str">
        <f>IF(tab_Geral[[#This Row],[Municípios]]=tab_Geral[[#This Row],[Município]],"","Não!, Erro!")</f>
        <v/>
      </c>
      <c r="G493" s="14" t="str">
        <f>VLOOKUP(tab_Geral[[#This Row],[GeoCodigo]],tab_CETESB[],2,FALSE)</f>
        <v>Rincão</v>
      </c>
      <c r="H493" s="14" t="str">
        <f>VLOOKUP(tab_Geral[[#This Row],[Informação 3]],tab_AgênciaAmbiental,10,FALSE)</f>
        <v>3</v>
      </c>
      <c r="I493" s="14" t="s">
        <v>491</v>
      </c>
      <c r="J493" s="18" t="s">
        <v>491</v>
      </c>
      <c r="K493" s="17"/>
      <c r="L493" s="17" t="s">
        <v>1884</v>
      </c>
      <c r="M493" s="17" t="s">
        <v>760</v>
      </c>
      <c r="N493" s="17" t="s">
        <v>761</v>
      </c>
      <c r="O493" s="17" t="s">
        <v>762</v>
      </c>
      <c r="P493" s="17" t="s">
        <v>763</v>
      </c>
      <c r="Q493" s="17" t="s">
        <v>764</v>
      </c>
      <c r="R493" s="17" t="s">
        <v>765</v>
      </c>
      <c r="S493" s="17" t="s">
        <v>766</v>
      </c>
      <c r="T493" s="15"/>
    </row>
    <row r="494" spans="1:20" x14ac:dyDescent="0.25">
      <c r="A494" s="14">
        <v>481</v>
      </c>
      <c r="B494" s="14">
        <v>3543808</v>
      </c>
      <c r="C494" s="14" t="str">
        <f>IF(ISERR(FIND("-",tab_Geral[[#This Row],[Municípios]],1)),"","Têm Hifen")</f>
        <v/>
      </c>
      <c r="D494" s="14" t="str">
        <f>IF(tab_Geral[[#This Row],[Informação 3]]&lt;&gt;"","","Não Registrado")</f>
        <v/>
      </c>
      <c r="E494" s="14" t="str">
        <f>IF(tab_Geral[[#This Row],[Municípios]]=tab_Geral[[#This Row],[Informação 1]],"","Não!, Erro!")</f>
        <v/>
      </c>
      <c r="F494" s="14" t="str">
        <f>IF(tab_Geral[[#This Row],[Municípios]]=tab_Geral[[#This Row],[Município]],"","Não!, Erro!")</f>
        <v/>
      </c>
      <c r="G494" s="14" t="str">
        <f>VLOOKUP(tab_Geral[[#This Row],[GeoCodigo]],tab_CETESB[],2,FALSE)</f>
        <v>Rinópolis</v>
      </c>
      <c r="H494" s="14" t="str">
        <f>VLOOKUP(tab_Geral[[#This Row],[Informação 3]],tab_AgênciaAmbiental,10,FALSE)</f>
        <v>23</v>
      </c>
      <c r="I494" s="14" t="s">
        <v>492</v>
      </c>
      <c r="J494" s="18" t="s">
        <v>492</v>
      </c>
      <c r="K494" s="17"/>
      <c r="L494" s="17" t="s">
        <v>1904</v>
      </c>
      <c r="M494" s="17" t="s">
        <v>746</v>
      </c>
      <c r="N494" s="17" t="s">
        <v>747</v>
      </c>
      <c r="O494" s="17" t="s">
        <v>748</v>
      </c>
      <c r="P494" s="17" t="s">
        <v>749</v>
      </c>
      <c r="Q494" s="17" t="s">
        <v>750</v>
      </c>
      <c r="R494" s="17" t="s">
        <v>751</v>
      </c>
      <c r="S494" s="17" t="s">
        <v>752</v>
      </c>
      <c r="T494" s="15"/>
    </row>
    <row r="495" spans="1:20" x14ac:dyDescent="0.25">
      <c r="A495" s="14">
        <v>482</v>
      </c>
      <c r="B495" s="14">
        <v>3543907</v>
      </c>
      <c r="C495" s="14" t="str">
        <f>IF(ISERR(FIND("-",tab_Geral[[#This Row],[Municípios]],1)),"","Têm Hifen")</f>
        <v/>
      </c>
      <c r="D495" s="14" t="str">
        <f>IF(tab_Geral[[#This Row],[Informação 3]]&lt;&gt;"","","Não Registrado")</f>
        <v/>
      </c>
      <c r="E495" s="14" t="str">
        <f>IF(tab_Geral[[#This Row],[Municípios]]=tab_Geral[[#This Row],[Informação 1]],"","Não!, Erro!")</f>
        <v/>
      </c>
      <c r="F495" s="14" t="str">
        <f>IF(tab_Geral[[#This Row],[Municípios]]=tab_Geral[[#This Row],[Município]],"","Não!, Erro!")</f>
        <v/>
      </c>
      <c r="G495" s="14" t="str">
        <f>VLOOKUP(tab_Geral[[#This Row],[GeoCodigo]],tab_CETESB[],2,FALSE)</f>
        <v>Rio Claro</v>
      </c>
      <c r="H495" s="14" t="str">
        <f>VLOOKUP(tab_Geral[[#This Row],[Informação 3]],tab_AgênciaAmbiental,10,FALSE)</f>
        <v>28</v>
      </c>
      <c r="I495" s="14" t="s">
        <v>493</v>
      </c>
      <c r="J495" s="18" t="s">
        <v>493</v>
      </c>
      <c r="K495" s="17"/>
      <c r="L495" s="17" t="s">
        <v>1909</v>
      </c>
      <c r="M495" s="17" t="s">
        <v>688</v>
      </c>
      <c r="N495" s="17" t="s">
        <v>657</v>
      </c>
      <c r="O495" s="17" t="s">
        <v>689</v>
      </c>
      <c r="P495" s="17" t="s">
        <v>690</v>
      </c>
      <c r="Q495" s="17" t="s">
        <v>691</v>
      </c>
      <c r="R495" s="17" t="s">
        <v>692</v>
      </c>
      <c r="S495" s="17" t="s">
        <v>693</v>
      </c>
      <c r="T495" s="15"/>
    </row>
    <row r="496" spans="1:20" x14ac:dyDescent="0.25">
      <c r="A496" s="14">
        <v>483</v>
      </c>
      <c r="B496" s="14">
        <v>3544004</v>
      </c>
      <c r="C496" s="14" t="str">
        <f>IF(ISERR(FIND("-",tab_Geral[[#This Row],[Municípios]],1)),"","Têm Hifen")</f>
        <v/>
      </c>
      <c r="D496" s="14" t="str">
        <f>IF(tab_Geral[[#This Row],[Informação 3]]&lt;&gt;"","","Não Registrado")</f>
        <v/>
      </c>
      <c r="E496" s="14" t="str">
        <f>IF(tab_Geral[[#This Row],[Municípios]]=tab_Geral[[#This Row],[Informação 1]],"","Não!, Erro!")</f>
        <v/>
      </c>
      <c r="F496" s="14" t="str">
        <f>IF(tab_Geral[[#This Row],[Municípios]]=tab_Geral[[#This Row],[Município]],"","Não!, Erro!")</f>
        <v/>
      </c>
      <c r="G496" s="14" t="str">
        <f>VLOOKUP(tab_Geral[[#This Row],[GeoCodigo]],tab_CETESB[],2,FALSE)</f>
        <v>Rio das Pedras</v>
      </c>
      <c r="H496" s="14" t="str">
        <f>VLOOKUP(tab_Geral[[#This Row],[Informação 3]],tab_AgênciaAmbiental,10,FALSE)</f>
        <v>28</v>
      </c>
      <c r="I496" s="14" t="s">
        <v>494</v>
      </c>
      <c r="J496" s="18" t="s">
        <v>494</v>
      </c>
      <c r="K496" s="17"/>
      <c r="L496" s="17" t="s">
        <v>1909</v>
      </c>
      <c r="M496" s="17" t="s">
        <v>688</v>
      </c>
      <c r="N496" s="17" t="s">
        <v>657</v>
      </c>
      <c r="O496" s="17" t="s">
        <v>689</v>
      </c>
      <c r="P496" s="17" t="s">
        <v>690</v>
      </c>
      <c r="Q496" s="17" t="s">
        <v>691</v>
      </c>
      <c r="R496" s="17" t="s">
        <v>692</v>
      </c>
      <c r="S496" s="17" t="s">
        <v>693</v>
      </c>
      <c r="T496" s="15"/>
    </row>
    <row r="497" spans="1:20" x14ac:dyDescent="0.25">
      <c r="A497" s="14">
        <v>484</v>
      </c>
      <c r="B497" s="14">
        <v>3544103</v>
      </c>
      <c r="C497" s="14" t="str">
        <f>IF(ISERR(FIND("-",tab_Geral[[#This Row],[Municípios]],1)),"","Têm Hifen")</f>
        <v/>
      </c>
      <c r="D497" s="14" t="str">
        <f>IF(tab_Geral[[#This Row],[Informação 3]]&lt;&gt;"","","Não Registrado")</f>
        <v/>
      </c>
      <c r="E497" s="14" t="str">
        <f>IF(tab_Geral[[#This Row],[Municípios]]=tab_Geral[[#This Row],[Informação 1]],"","Não!, Erro!")</f>
        <v/>
      </c>
      <c r="F497" s="14" t="str">
        <f>IF(tab_Geral[[#This Row],[Municípios]]=tab_Geral[[#This Row],[Município]],"","Não!, Erro!")</f>
        <v/>
      </c>
      <c r="G497" s="14" t="str">
        <f>VLOOKUP(tab_Geral[[#This Row],[GeoCodigo]],tab_CETESB[],2,FALSE)</f>
        <v>Rio Grande da Serra</v>
      </c>
      <c r="H497" s="14" t="str">
        <f>VLOOKUP(tab_Geral[[#This Row],[Informação 3]],tab_AgênciaAmbiental,10,FALSE)</f>
        <v>42</v>
      </c>
      <c r="I497" s="14" t="s">
        <v>495</v>
      </c>
      <c r="J497" s="18" t="s">
        <v>495</v>
      </c>
      <c r="K497" s="17"/>
      <c r="L497" s="17" t="s">
        <v>1923</v>
      </c>
      <c r="M497" s="17" t="s">
        <v>919</v>
      </c>
      <c r="N497" s="17" t="s">
        <v>920</v>
      </c>
      <c r="O497" s="17" t="s">
        <v>921</v>
      </c>
      <c r="P497" s="17" t="s">
        <v>922</v>
      </c>
      <c r="Q497" s="17" t="s">
        <v>923</v>
      </c>
      <c r="R497" s="17" t="s">
        <v>924</v>
      </c>
      <c r="S497" s="17" t="s">
        <v>933</v>
      </c>
      <c r="T497" s="15"/>
    </row>
    <row r="498" spans="1:20" x14ac:dyDescent="0.25">
      <c r="A498" s="14">
        <v>485</v>
      </c>
      <c r="B498" s="14">
        <v>3544202</v>
      </c>
      <c r="C498" s="14" t="str">
        <f>IF(ISERR(FIND("-",tab_Geral[[#This Row],[Municípios]],1)),"","Têm Hifen")</f>
        <v/>
      </c>
      <c r="D498" s="14" t="str">
        <f>IF(tab_Geral[[#This Row],[Informação 3]]&lt;&gt;"","","Não Registrado")</f>
        <v/>
      </c>
      <c r="E498" s="14" t="str">
        <f>IF(tab_Geral[[#This Row],[Municípios]]=tab_Geral[[#This Row],[Informação 1]],"","Não!, Erro!")</f>
        <v/>
      </c>
      <c r="F498" s="14" t="str">
        <f>IF(tab_Geral[[#This Row],[Municípios]]=tab_Geral[[#This Row],[Município]],"","Não!, Erro!")</f>
        <v/>
      </c>
      <c r="G498" s="14" t="str">
        <f>VLOOKUP(tab_Geral[[#This Row],[GeoCodigo]],tab_CETESB[],2,FALSE)</f>
        <v>Riolândia</v>
      </c>
      <c r="H498" s="14" t="str">
        <f>VLOOKUP(tab_Geral[[#This Row],[Informação 3]],tab_AgênciaAmbiental,10,FALSE)</f>
        <v>41</v>
      </c>
      <c r="I498" s="14" t="s">
        <v>496</v>
      </c>
      <c r="J498" s="18" t="s">
        <v>496</v>
      </c>
      <c r="K498" s="17"/>
      <c r="L498" s="17" t="s">
        <v>1922</v>
      </c>
      <c r="M498" s="17" t="s">
        <v>739</v>
      </c>
      <c r="N498" s="17" t="s">
        <v>740</v>
      </c>
      <c r="O498" s="17" t="s">
        <v>741</v>
      </c>
      <c r="P498" s="17" t="s">
        <v>742</v>
      </c>
      <c r="Q498" s="17" t="s">
        <v>743</v>
      </c>
      <c r="R498" s="17" t="s">
        <v>744</v>
      </c>
      <c r="S498" s="17" t="s">
        <v>745</v>
      </c>
      <c r="T498" s="15"/>
    </row>
    <row r="499" spans="1:20" x14ac:dyDescent="0.25">
      <c r="A499" s="14">
        <v>486</v>
      </c>
      <c r="B499" s="14">
        <v>3543501</v>
      </c>
      <c r="C499" s="14" t="str">
        <f>IF(ISERR(FIND("-",tab_Geral[[#This Row],[Municípios]],1)),"","Têm Hifen")</f>
        <v/>
      </c>
      <c r="D499" s="14" t="str">
        <f>IF(tab_Geral[[#This Row],[Informação 3]]&lt;&gt;"","","Não Registrado")</f>
        <v/>
      </c>
      <c r="E499" s="14" t="str">
        <f>IF(tab_Geral[[#This Row],[Municípios]]=tab_Geral[[#This Row],[Informação 1]],"","Não!, Erro!")</f>
        <v/>
      </c>
      <c r="F499" s="14" t="str">
        <f>IF(tab_Geral[[#This Row],[Municípios]]=tab_Geral[[#This Row],[Município]],"","Não!, Erro!")</f>
        <v/>
      </c>
      <c r="G499" s="14" t="str">
        <f>VLOOKUP(tab_Geral[[#This Row],[GeoCodigo]],tab_CETESB[],2,FALSE)</f>
        <v>Riversul</v>
      </c>
      <c r="H499" s="14" t="str">
        <f>VLOOKUP(tab_Geral[[#This Row],[Informação 3]],tab_AgênciaAmbiental,10,FALSE)</f>
        <v>11</v>
      </c>
      <c r="I499" s="14" t="s">
        <v>497</v>
      </c>
      <c r="J499" s="18" t="s">
        <v>497</v>
      </c>
      <c r="K499" s="17"/>
      <c r="L499" s="17" t="s">
        <v>1892</v>
      </c>
      <c r="M499" s="17" t="s">
        <v>795</v>
      </c>
      <c r="N499" s="17" t="s">
        <v>796</v>
      </c>
      <c r="O499" s="17" t="s">
        <v>797</v>
      </c>
      <c r="P499" s="17" t="s">
        <v>798</v>
      </c>
      <c r="Q499" s="17" t="s">
        <v>799</v>
      </c>
      <c r="R499" s="17" t="s">
        <v>800</v>
      </c>
      <c r="S499" s="17" t="s">
        <v>801</v>
      </c>
      <c r="T499" s="15"/>
    </row>
    <row r="500" spans="1:20" x14ac:dyDescent="0.25">
      <c r="A500" s="14">
        <v>487</v>
      </c>
      <c r="B500" s="14">
        <v>3544251</v>
      </c>
      <c r="C500" s="14" t="str">
        <f>IF(ISERR(FIND("-",tab_Geral[[#This Row],[Municípios]],1)),"","Têm Hifen")</f>
        <v/>
      </c>
      <c r="D500" s="14" t="str">
        <f>IF(tab_Geral[[#This Row],[Informação 3]]&lt;&gt;"","","Não Registrado")</f>
        <v/>
      </c>
      <c r="E500" s="14" t="str">
        <f>IF(tab_Geral[[#This Row],[Municípios]]=tab_Geral[[#This Row],[Informação 1]],"","Não!, Erro!")</f>
        <v/>
      </c>
      <c r="F500" s="14" t="str">
        <f>IF(tab_Geral[[#This Row],[Municípios]]=tab_Geral[[#This Row],[Município]],"","Não!, Erro!")</f>
        <v/>
      </c>
      <c r="G500" s="14" t="str">
        <f>VLOOKUP(tab_Geral[[#This Row],[GeoCodigo]],tab_CETESB[],2,FALSE)</f>
        <v>Rosana</v>
      </c>
      <c r="H500" s="14" t="str">
        <f>VLOOKUP(tab_Geral[[#This Row],[Informação 3]],tab_AgênciaAmbiental,10,FALSE)</f>
        <v>29</v>
      </c>
      <c r="I500" s="14" t="s">
        <v>498</v>
      </c>
      <c r="J500" s="18" t="s">
        <v>498</v>
      </c>
      <c r="K500" s="17"/>
      <c r="L500" s="17" t="s">
        <v>1910</v>
      </c>
      <c r="M500" s="17" t="s">
        <v>707</v>
      </c>
      <c r="N500" s="17" t="s">
        <v>708</v>
      </c>
      <c r="O500" s="17" t="s">
        <v>709</v>
      </c>
      <c r="P500" s="17" t="s">
        <v>710</v>
      </c>
      <c r="Q500" s="17" t="s">
        <v>711</v>
      </c>
      <c r="R500" s="17" t="s">
        <v>686</v>
      </c>
      <c r="S500" s="17" t="s">
        <v>712</v>
      </c>
      <c r="T500" s="15"/>
    </row>
    <row r="501" spans="1:20" x14ac:dyDescent="0.25">
      <c r="A501" s="14">
        <v>488</v>
      </c>
      <c r="B501" s="14">
        <v>3544301</v>
      </c>
      <c r="C501" s="14" t="str">
        <f>IF(ISERR(FIND("-",tab_Geral[[#This Row],[Municípios]],1)),"","Têm Hifen")</f>
        <v/>
      </c>
      <c r="D501" s="14" t="str">
        <f>IF(tab_Geral[[#This Row],[Informação 3]]&lt;&gt;"","","Não Registrado")</f>
        <v/>
      </c>
      <c r="E501" s="14" t="str">
        <f>IF(tab_Geral[[#This Row],[Municípios]]=tab_Geral[[#This Row],[Informação 1]],"","Não!, Erro!")</f>
        <v/>
      </c>
      <c r="F501" s="14" t="str">
        <f>IF(tab_Geral[[#This Row],[Municípios]]=tab_Geral[[#This Row],[Município]],"","Não!, Erro!")</f>
        <v/>
      </c>
      <c r="G501" s="14" t="str">
        <f>VLOOKUP(tab_Geral[[#This Row],[GeoCodigo]],tab_CETESB[],2,FALSE)</f>
        <v>Roseira</v>
      </c>
      <c r="H501" s="14" t="str">
        <f>VLOOKUP(tab_Geral[[#This Row],[Informação 3]],tab_AgênciaAmbiental,10,FALSE)</f>
        <v>40</v>
      </c>
      <c r="I501" s="14" t="s">
        <v>499</v>
      </c>
      <c r="J501" s="18" t="s">
        <v>499</v>
      </c>
      <c r="K501" s="17"/>
      <c r="L501" s="17" t="s">
        <v>1921</v>
      </c>
      <c r="M501" s="17" t="s">
        <v>781</v>
      </c>
      <c r="N501" s="17" t="s">
        <v>782</v>
      </c>
      <c r="O501" s="17" t="s">
        <v>783</v>
      </c>
      <c r="P501" s="17" t="s">
        <v>784</v>
      </c>
      <c r="Q501" s="17" t="s">
        <v>785</v>
      </c>
      <c r="R501" s="17" t="s">
        <v>786</v>
      </c>
      <c r="S501" s="17" t="s">
        <v>787</v>
      </c>
      <c r="T501" s="15"/>
    </row>
    <row r="502" spans="1:20" x14ac:dyDescent="0.25">
      <c r="A502" s="14">
        <v>489</v>
      </c>
      <c r="B502" s="14">
        <v>3544400</v>
      </c>
      <c r="C502" s="14" t="str">
        <f>IF(ISERR(FIND("-",tab_Geral[[#This Row],[Municípios]],1)),"","Têm Hifen")</f>
        <v/>
      </c>
      <c r="D502" s="14" t="str">
        <f>IF(tab_Geral[[#This Row],[Informação 3]]&lt;&gt;"","","Não Registrado")</f>
        <v/>
      </c>
      <c r="E502" s="14" t="str">
        <f>IF(tab_Geral[[#This Row],[Municípios]]=tab_Geral[[#This Row],[Informação 1]],"","Não!, Erro!")</f>
        <v/>
      </c>
      <c r="F502" s="14" t="str">
        <f>IF(tab_Geral[[#This Row],[Municípios]]=tab_Geral[[#This Row],[Município]],"","Não!, Erro!")</f>
        <v/>
      </c>
      <c r="G502" s="14" t="str">
        <f>VLOOKUP(tab_Geral[[#This Row],[GeoCodigo]],tab_CETESB[],2,FALSE)</f>
        <v>Rubiácea</v>
      </c>
      <c r="H502" s="14" t="str">
        <f>VLOOKUP(tab_Geral[[#This Row],[Informação 3]],tab_AgênciaAmbiental,10,FALSE)</f>
        <v>2</v>
      </c>
      <c r="I502" s="14" t="s">
        <v>500</v>
      </c>
      <c r="J502" s="18" t="s">
        <v>500</v>
      </c>
      <c r="K502" s="17"/>
      <c r="L502" s="17" t="s">
        <v>1883</v>
      </c>
      <c r="M502" s="17" t="s">
        <v>727</v>
      </c>
      <c r="N502" s="17" t="s">
        <v>728</v>
      </c>
      <c r="O502" s="17" t="s">
        <v>729</v>
      </c>
      <c r="P502" s="17" t="s">
        <v>730</v>
      </c>
      <c r="Q502" s="17" t="s">
        <v>731</v>
      </c>
      <c r="R502" s="17" t="s">
        <v>732</v>
      </c>
      <c r="S502" s="17" t="s">
        <v>936</v>
      </c>
    </row>
    <row r="503" spans="1:20" x14ac:dyDescent="0.25">
      <c r="A503" s="14">
        <v>490</v>
      </c>
      <c r="B503" s="14">
        <v>3544509</v>
      </c>
      <c r="C503" s="14" t="str">
        <f>IF(ISERR(FIND("-",tab_Geral[[#This Row],[Municípios]],1)),"","Têm Hifen")</f>
        <v/>
      </c>
      <c r="D503" s="14" t="str">
        <f>IF(tab_Geral[[#This Row],[Informação 3]]&lt;&gt;"","","Não Registrado")</f>
        <v/>
      </c>
      <c r="E503" s="14" t="str">
        <f>IF(tab_Geral[[#This Row],[Municípios]]=tab_Geral[[#This Row],[Informação 1]],"","Não!, Erro!")</f>
        <v/>
      </c>
      <c r="F503" s="14" t="str">
        <f>IF(tab_Geral[[#This Row],[Municípios]]=tab_Geral[[#This Row],[Município]],"","Não!, Erro!")</f>
        <v/>
      </c>
      <c r="G503" s="14" t="str">
        <f>VLOOKUP(tab_Geral[[#This Row],[GeoCodigo]],tab_CETESB[],2,FALSE)</f>
        <v>Rubinéia</v>
      </c>
      <c r="H503" s="14" t="str">
        <f>VLOOKUP(tab_Geral[[#This Row],[Informação 3]],tab_AgênciaAmbiental,10,FALSE)</f>
        <v>20</v>
      </c>
      <c r="I503" s="14" t="s">
        <v>501</v>
      </c>
      <c r="J503" s="18" t="s">
        <v>501</v>
      </c>
      <c r="K503" s="17"/>
      <c r="L503" s="17" t="s">
        <v>1901</v>
      </c>
      <c r="M503" s="17" t="s">
        <v>788</v>
      </c>
      <c r="N503" s="17" t="s">
        <v>789</v>
      </c>
      <c r="O503" s="17" t="s">
        <v>790</v>
      </c>
      <c r="P503" s="17" t="s">
        <v>791</v>
      </c>
      <c r="Q503" s="17" t="s">
        <v>792</v>
      </c>
      <c r="R503" s="17" t="s">
        <v>793</v>
      </c>
      <c r="S503" s="17" t="s">
        <v>794</v>
      </c>
      <c r="T503" s="15"/>
    </row>
    <row r="504" spans="1:20" x14ac:dyDescent="0.25">
      <c r="A504" s="14">
        <v>491</v>
      </c>
      <c r="B504" s="14">
        <v>3544608</v>
      </c>
      <c r="C504" s="14" t="str">
        <f>IF(ISERR(FIND("-",tab_Geral[[#This Row],[Municípios]],1)),"","Têm Hifen")</f>
        <v/>
      </c>
      <c r="D504" s="14" t="str">
        <f>IF(tab_Geral[[#This Row],[Informação 3]]&lt;&gt;"","","Não Registrado")</f>
        <v/>
      </c>
      <c r="E504" s="14" t="str">
        <f>IF(tab_Geral[[#This Row],[Municípios]]=tab_Geral[[#This Row],[Informação 1]],"","Não!, Erro!")</f>
        <v/>
      </c>
      <c r="F504" s="14" t="str">
        <f>IF(tab_Geral[[#This Row],[Municípios]]=tab_Geral[[#This Row],[Município]],"","Não!, Erro!")</f>
        <v/>
      </c>
      <c r="G504" s="14" t="str">
        <f>VLOOKUP(tab_Geral[[#This Row],[GeoCodigo]],tab_CETESB[],2,FALSE)</f>
        <v>Sabino</v>
      </c>
      <c r="H504" s="14" t="str">
        <f>VLOOKUP(tab_Geral[[#This Row],[Informação 3]],tab_AgênciaAmbiental,10,FALSE)</f>
        <v>23</v>
      </c>
      <c r="I504" s="14" t="s">
        <v>502</v>
      </c>
      <c r="J504" s="18" t="s">
        <v>502</v>
      </c>
      <c r="K504" s="17"/>
      <c r="L504" s="17" t="s">
        <v>1904</v>
      </c>
      <c r="M504" s="17" t="s">
        <v>746</v>
      </c>
      <c r="N504" s="17" t="s">
        <v>747</v>
      </c>
      <c r="O504" s="17" t="s">
        <v>748</v>
      </c>
      <c r="P504" s="17" t="s">
        <v>749</v>
      </c>
      <c r="Q504" s="17" t="s">
        <v>750</v>
      </c>
      <c r="R504" s="17" t="s">
        <v>751</v>
      </c>
      <c r="S504" s="17" t="s">
        <v>752</v>
      </c>
      <c r="T504" s="15"/>
    </row>
    <row r="505" spans="1:20" x14ac:dyDescent="0.25">
      <c r="A505" s="14">
        <v>492</v>
      </c>
      <c r="B505" s="14">
        <v>3544707</v>
      </c>
      <c r="C505" s="14" t="str">
        <f>IF(ISERR(FIND("-",tab_Geral[[#This Row],[Municípios]],1)),"","Têm Hifen")</f>
        <v/>
      </c>
      <c r="D505" s="14" t="str">
        <f>IF(tab_Geral[[#This Row],[Informação 3]]&lt;&gt;"","","Não Registrado")</f>
        <v/>
      </c>
      <c r="E505" s="14" t="str">
        <f>IF(tab_Geral[[#This Row],[Municípios]]=tab_Geral[[#This Row],[Informação 1]],"","Não!, Erro!")</f>
        <v/>
      </c>
      <c r="F505" s="14" t="str">
        <f>IF(tab_Geral[[#This Row],[Municípios]]=tab_Geral[[#This Row],[Município]],"","Não!, Erro!")</f>
        <v/>
      </c>
      <c r="G505" s="14" t="str">
        <f>VLOOKUP(tab_Geral[[#This Row],[GeoCodigo]],tab_CETESB[],2,FALSE)</f>
        <v>Sagres</v>
      </c>
      <c r="H505" s="14" t="str">
        <f>VLOOKUP(tab_Geral[[#This Row],[Informação 3]],tab_AgênciaAmbiental,10,FALSE)</f>
        <v>13</v>
      </c>
      <c r="I505" s="14" t="s">
        <v>503</v>
      </c>
      <c r="J505" s="18" t="s">
        <v>503</v>
      </c>
      <c r="K505" s="17"/>
      <c r="L505" s="17" t="s">
        <v>1894</v>
      </c>
      <c r="M505" s="17" t="s">
        <v>656</v>
      </c>
      <c r="N505" s="17" t="s">
        <v>657</v>
      </c>
      <c r="O505" s="17" t="s">
        <v>658</v>
      </c>
      <c r="P505" s="17" t="s">
        <v>659</v>
      </c>
      <c r="Q505" s="17" t="s">
        <v>660</v>
      </c>
      <c r="R505" s="17" t="s">
        <v>661</v>
      </c>
      <c r="S505" s="17" t="s">
        <v>662</v>
      </c>
      <c r="T505" s="15"/>
    </row>
    <row r="506" spans="1:20" x14ac:dyDescent="0.25">
      <c r="A506" s="14">
        <v>493</v>
      </c>
      <c r="B506" s="14">
        <v>3544806</v>
      </c>
      <c r="C506" s="14" t="str">
        <f>IF(ISERR(FIND("-",tab_Geral[[#This Row],[Municípios]],1)),"","Têm Hifen")</f>
        <v/>
      </c>
      <c r="D506" s="14" t="str">
        <f>IF(tab_Geral[[#This Row],[Informação 3]]&lt;&gt;"","","Não Registrado")</f>
        <v/>
      </c>
      <c r="E506" s="14" t="str">
        <f>IF(tab_Geral[[#This Row],[Municípios]]=tab_Geral[[#This Row],[Informação 1]],"","Não!, Erro!")</f>
        <v/>
      </c>
      <c r="F506" s="14" t="str">
        <f>IF(tab_Geral[[#This Row],[Municípios]]=tab_Geral[[#This Row],[Município]],"","Não!, Erro!")</f>
        <v/>
      </c>
      <c r="G506" s="14" t="str">
        <f>VLOOKUP(tab_Geral[[#This Row],[GeoCodigo]],tab_CETESB[],2,FALSE)</f>
        <v>Sales</v>
      </c>
      <c r="H506" s="14" t="str">
        <f>VLOOKUP(tab_Geral[[#This Row],[Informação 3]],tab_AgênciaAmbiental,10,FALSE)</f>
        <v>36</v>
      </c>
      <c r="I506" s="14" t="s">
        <v>504</v>
      </c>
      <c r="J506" s="18" t="s">
        <v>504</v>
      </c>
      <c r="K506" s="17"/>
      <c r="L506" s="17" t="s">
        <v>1917</v>
      </c>
      <c r="M506" s="17" t="s">
        <v>663</v>
      </c>
      <c r="N506" s="17" t="s">
        <v>664</v>
      </c>
      <c r="O506" s="17" t="s">
        <v>665</v>
      </c>
      <c r="P506" s="17" t="s">
        <v>666</v>
      </c>
      <c r="Q506" s="17" t="s">
        <v>667</v>
      </c>
      <c r="R506" s="17" t="s">
        <v>668</v>
      </c>
      <c r="S506" s="17" t="s">
        <v>938</v>
      </c>
    </row>
    <row r="507" spans="1:20" x14ac:dyDescent="0.25">
      <c r="A507" s="14">
        <v>494</v>
      </c>
      <c r="B507" s="14">
        <v>3544905</v>
      </c>
      <c r="C507" s="14" t="str">
        <f>IF(ISERR(FIND("-",tab_Geral[[#This Row],[Municípios]],1)),"","Têm Hifen")</f>
        <v/>
      </c>
      <c r="D507" s="14" t="str">
        <f>IF(tab_Geral[[#This Row],[Informação 3]]&lt;&gt;"","","Não Registrado")</f>
        <v/>
      </c>
      <c r="E507" s="14" t="str">
        <f>IF(tab_Geral[[#This Row],[Municípios]]=tab_Geral[[#This Row],[Informação 1]],"","Não!, Erro!")</f>
        <v/>
      </c>
      <c r="F507" s="14" t="str">
        <f>IF(tab_Geral[[#This Row],[Municípios]]=tab_Geral[[#This Row],[Município]],"","Não!, Erro!")</f>
        <v/>
      </c>
      <c r="G507" s="14" t="str">
        <f>VLOOKUP(tab_Geral[[#This Row],[GeoCodigo]],tab_CETESB[],2,FALSE)</f>
        <v>Sales Oliveira</v>
      </c>
      <c r="H507" s="14" t="str">
        <f>VLOOKUP(tab_Geral[[#This Row],[Informação 3]],tab_AgênciaAmbiental,10,FALSE)</f>
        <v>31</v>
      </c>
      <c r="I507" s="14" t="s">
        <v>505</v>
      </c>
      <c r="J507" s="18" t="s">
        <v>505</v>
      </c>
      <c r="K507" s="17"/>
      <c r="L507" s="17" t="s">
        <v>1912</v>
      </c>
      <c r="M507" s="17" t="s">
        <v>720</v>
      </c>
      <c r="N507" s="17" t="s">
        <v>721</v>
      </c>
      <c r="O507" s="17" t="s">
        <v>722</v>
      </c>
      <c r="P507" s="17" t="s">
        <v>723</v>
      </c>
      <c r="Q507" s="17" t="s">
        <v>724</v>
      </c>
      <c r="R507" s="17" t="s">
        <v>725</v>
      </c>
      <c r="S507" s="17" t="s">
        <v>726</v>
      </c>
      <c r="T507" s="15"/>
    </row>
    <row r="508" spans="1:20" x14ac:dyDescent="0.25">
      <c r="A508" s="14">
        <v>495</v>
      </c>
      <c r="B508" s="14">
        <v>3545001</v>
      </c>
      <c r="C508" s="14" t="str">
        <f>IF(ISERR(FIND("-",tab_Geral[[#This Row],[Municípios]],1)),"","Têm Hifen")</f>
        <v/>
      </c>
      <c r="D508" s="14" t="str">
        <f>IF(tab_Geral[[#This Row],[Informação 3]]&lt;&gt;"","","Não Registrado")</f>
        <v/>
      </c>
      <c r="E508" s="14" t="str">
        <f>IF(tab_Geral[[#This Row],[Municípios]]=tab_Geral[[#This Row],[Informação 1]],"","Não!, Erro!")</f>
        <v/>
      </c>
      <c r="F508" s="14" t="str">
        <f>IF(tab_Geral[[#This Row],[Municípios]]=tab_Geral[[#This Row],[Município]],"","Não!, Erro!")</f>
        <v/>
      </c>
      <c r="G508" s="14" t="str">
        <f>VLOOKUP(tab_Geral[[#This Row],[GeoCodigo]],tab_CETESB[],2,FALSE)</f>
        <v>Salesópolis</v>
      </c>
      <c r="H508" s="14" t="str">
        <f>VLOOKUP(tab_Geral[[#This Row],[Informação 3]],tab_AgênciaAmbiental,10,FALSE)</f>
        <v>24</v>
      </c>
      <c r="I508" s="14" t="s">
        <v>506</v>
      </c>
      <c r="J508" s="18" t="s">
        <v>506</v>
      </c>
      <c r="K508" s="17"/>
      <c r="L508" s="17" t="s">
        <v>1905</v>
      </c>
      <c r="M508" s="17" t="s">
        <v>871</v>
      </c>
      <c r="N508" s="17" t="s">
        <v>872</v>
      </c>
      <c r="O508" s="17" t="s">
        <v>873</v>
      </c>
      <c r="P508" s="17" t="s">
        <v>874</v>
      </c>
      <c r="Q508" s="17" t="s">
        <v>875</v>
      </c>
      <c r="R508" s="17" t="s">
        <v>686</v>
      </c>
      <c r="S508" s="17" t="s">
        <v>876</v>
      </c>
      <c r="T508" s="15"/>
    </row>
    <row r="509" spans="1:20" x14ac:dyDescent="0.25">
      <c r="A509" s="14">
        <v>496</v>
      </c>
      <c r="B509" s="14">
        <v>3545100</v>
      </c>
      <c r="C509" s="14" t="str">
        <f>IF(ISERR(FIND("-",tab_Geral[[#This Row],[Municípios]],1)),"","Têm Hifen")</f>
        <v/>
      </c>
      <c r="D509" s="14" t="str">
        <f>IF(tab_Geral[[#This Row],[Informação 3]]&lt;&gt;"","","Não Registrado")</f>
        <v/>
      </c>
      <c r="E509" s="14" t="str">
        <f>IF(tab_Geral[[#This Row],[Municípios]]=tab_Geral[[#This Row],[Informação 1]],"","Não!, Erro!")</f>
        <v/>
      </c>
      <c r="F509" s="14" t="str">
        <f>IF(tab_Geral[[#This Row],[Municípios]]=tab_Geral[[#This Row],[Município]],"","Não!, Erro!")</f>
        <v/>
      </c>
      <c r="G509" s="14" t="str">
        <f>VLOOKUP(tab_Geral[[#This Row],[GeoCodigo]],tab_CETESB[],2,FALSE)</f>
        <v>Salmourão</v>
      </c>
      <c r="H509" s="14" t="str">
        <f>VLOOKUP(tab_Geral[[#This Row],[Informação 3]],tab_AgênciaAmbiental,10,FALSE)</f>
        <v>13</v>
      </c>
      <c r="I509" s="14" t="s">
        <v>507</v>
      </c>
      <c r="J509" s="18" t="s">
        <v>507</v>
      </c>
      <c r="K509" s="17"/>
      <c r="L509" s="17" t="s">
        <v>1894</v>
      </c>
      <c r="M509" s="17" t="s">
        <v>656</v>
      </c>
      <c r="N509" s="17" t="s">
        <v>657</v>
      </c>
      <c r="O509" s="17" t="s">
        <v>658</v>
      </c>
      <c r="P509" s="17" t="s">
        <v>659</v>
      </c>
      <c r="Q509" s="17" t="s">
        <v>660</v>
      </c>
      <c r="R509" s="17" t="s">
        <v>661</v>
      </c>
      <c r="S509" s="17" t="s">
        <v>662</v>
      </c>
      <c r="T509" s="15"/>
    </row>
    <row r="510" spans="1:20" x14ac:dyDescent="0.25">
      <c r="A510" s="14">
        <v>497</v>
      </c>
      <c r="B510" s="14">
        <v>3545159</v>
      </c>
      <c r="C510" s="14" t="str">
        <f>IF(ISERR(FIND("-",tab_Geral[[#This Row],[Municípios]],1)),"","Têm Hifen")</f>
        <v/>
      </c>
      <c r="D510" s="14" t="str">
        <f>IF(tab_Geral[[#This Row],[Informação 3]]&lt;&gt;"","","Não Registrado")</f>
        <v/>
      </c>
      <c r="E510" s="14" t="str">
        <f>IF(tab_Geral[[#This Row],[Municípios]]=tab_Geral[[#This Row],[Informação 1]],"","Não!, Erro!")</f>
        <v/>
      </c>
      <c r="F510" s="14" t="str">
        <f>IF(tab_Geral[[#This Row],[Municípios]]=tab_Geral[[#This Row],[Município]],"","Não!, Erro!")</f>
        <v/>
      </c>
      <c r="G510" s="14" t="str">
        <f>VLOOKUP(tab_Geral[[#This Row],[GeoCodigo]],tab_CETESB[],2,FALSE)</f>
        <v>Saltinho</v>
      </c>
      <c r="H510" s="14" t="str">
        <f>VLOOKUP(tab_Geral[[#This Row],[Informação 3]],tab_AgênciaAmbiental,10,FALSE)</f>
        <v>28</v>
      </c>
      <c r="I510" s="14" t="s">
        <v>508</v>
      </c>
      <c r="J510" s="18" t="s">
        <v>508</v>
      </c>
      <c r="K510" s="17"/>
      <c r="L510" s="17" t="s">
        <v>1909</v>
      </c>
      <c r="M510" s="17" t="s">
        <v>688</v>
      </c>
      <c r="N510" s="17" t="s">
        <v>657</v>
      </c>
      <c r="O510" s="17" t="s">
        <v>689</v>
      </c>
      <c r="P510" s="17" t="s">
        <v>690</v>
      </c>
      <c r="Q510" s="17" t="s">
        <v>691</v>
      </c>
      <c r="R510" s="17" t="s">
        <v>692</v>
      </c>
      <c r="S510" s="17" t="s">
        <v>693</v>
      </c>
      <c r="T510" s="15"/>
    </row>
    <row r="511" spans="1:20" x14ac:dyDescent="0.25">
      <c r="A511" s="14">
        <v>498</v>
      </c>
      <c r="B511" s="14">
        <v>3545209</v>
      </c>
      <c r="C511" s="14" t="str">
        <f>IF(ISERR(FIND("-",tab_Geral[[#This Row],[Municípios]],1)),"","Têm Hifen")</f>
        <v/>
      </c>
      <c r="D511" s="14" t="str">
        <f>IF(tab_Geral[[#This Row],[Informação 3]]&lt;&gt;"","","Não Registrado")</f>
        <v/>
      </c>
      <c r="E511" s="14" t="str">
        <f>IF(tab_Geral[[#This Row],[Municípios]]=tab_Geral[[#This Row],[Informação 1]],"","Não!, Erro!")</f>
        <v/>
      </c>
      <c r="F511" s="14" t="str">
        <f>IF(tab_Geral[[#This Row],[Municípios]]=tab_Geral[[#This Row],[Município]],"","Não!, Erro!")</f>
        <v/>
      </c>
      <c r="G511" s="14" t="str">
        <f>VLOOKUP(tab_Geral[[#This Row],[GeoCodigo]],tab_CETESB[],2,FALSE)</f>
        <v>Salto</v>
      </c>
      <c r="H511" s="14" t="str">
        <f>VLOOKUP(tab_Geral[[#This Row],[Informação 3]],tab_AgênciaAmbiental,10,FALSE)</f>
        <v>21</v>
      </c>
      <c r="I511" s="14" t="s">
        <v>509</v>
      </c>
      <c r="J511" s="18" t="s">
        <v>509</v>
      </c>
      <c r="K511" s="17"/>
      <c r="L511" s="17" t="s">
        <v>1902</v>
      </c>
      <c r="M511" s="17" t="s">
        <v>884</v>
      </c>
      <c r="N511" s="17" t="s">
        <v>885</v>
      </c>
      <c r="O511" s="17" t="s">
        <v>886</v>
      </c>
      <c r="P511" s="17" t="s">
        <v>887</v>
      </c>
      <c r="Q511" s="17" t="s">
        <v>888</v>
      </c>
      <c r="R511" s="17" t="s">
        <v>889</v>
      </c>
      <c r="S511" s="17" t="s">
        <v>890</v>
      </c>
      <c r="T511" s="15"/>
    </row>
    <row r="512" spans="1:20" x14ac:dyDescent="0.25">
      <c r="A512" s="14">
        <v>499</v>
      </c>
      <c r="B512" s="14">
        <v>3545308</v>
      </c>
      <c r="C512" s="14" t="str">
        <f>IF(ISERR(FIND("-",tab_Geral[[#This Row],[Municípios]],1)),"","Têm Hifen")</f>
        <v/>
      </c>
      <c r="D512" s="14" t="str">
        <f>IF(tab_Geral[[#This Row],[Informação 3]]&lt;&gt;"","","Não Registrado")</f>
        <v/>
      </c>
      <c r="E512" s="14" t="str">
        <f>IF(tab_Geral[[#This Row],[Municípios]]=tab_Geral[[#This Row],[Informação 1]],"","Não!, Erro!")</f>
        <v/>
      </c>
      <c r="F512" s="14" t="str">
        <f>IF(tab_Geral[[#This Row],[Municípios]]=tab_Geral[[#This Row],[Município]],"","Não!, Erro!")</f>
        <v/>
      </c>
      <c r="G512" s="14" t="str">
        <f>VLOOKUP(tab_Geral[[#This Row],[GeoCodigo]],tab_CETESB[],2,FALSE)</f>
        <v>Salto de Pirapora</v>
      </c>
      <c r="H512" s="14" t="str">
        <f>VLOOKUP(tab_Geral[[#This Row],[Informação 3]],tab_AgênciaAmbiental,10,FALSE)</f>
        <v>39</v>
      </c>
      <c r="I512" s="14" t="s">
        <v>510</v>
      </c>
      <c r="J512" s="18" t="s">
        <v>510</v>
      </c>
      <c r="K512" s="17"/>
      <c r="L512" s="17" t="s">
        <v>1920</v>
      </c>
      <c r="M512" s="17" t="s">
        <v>802</v>
      </c>
      <c r="N512" s="17" t="s">
        <v>803</v>
      </c>
      <c r="O512" s="17" t="s">
        <v>804</v>
      </c>
      <c r="P512" s="17" t="s">
        <v>805</v>
      </c>
      <c r="Q512" s="17" t="s">
        <v>806</v>
      </c>
      <c r="R512" s="17" t="s">
        <v>807</v>
      </c>
      <c r="S512" s="17" t="s">
        <v>808</v>
      </c>
      <c r="T512" s="15"/>
    </row>
    <row r="513" spans="1:20" x14ac:dyDescent="0.25">
      <c r="A513" s="14">
        <v>500</v>
      </c>
      <c r="B513" s="14">
        <v>3545407</v>
      </c>
      <c r="C513" s="14" t="str">
        <f>IF(ISERR(FIND("-",tab_Geral[[#This Row],[Municípios]],1)),"","Têm Hifen")</f>
        <v/>
      </c>
      <c r="D513" s="14" t="str">
        <f>IF(tab_Geral[[#This Row],[Informação 3]]&lt;&gt;"","","Não Registrado")</f>
        <v/>
      </c>
      <c r="E513" s="14" t="str">
        <f>IF(tab_Geral[[#This Row],[Municípios]]=tab_Geral[[#This Row],[Informação 1]],"","Não!, Erro!")</f>
        <v/>
      </c>
      <c r="F513" s="14" t="str">
        <f>IF(tab_Geral[[#This Row],[Municípios]]=tab_Geral[[#This Row],[Município]],"","Não!, Erro!")</f>
        <v/>
      </c>
      <c r="G513" s="14" t="str">
        <f>VLOOKUP(tab_Geral[[#This Row],[GeoCodigo]],tab_CETESB[],2,FALSE)</f>
        <v>Salto Grande</v>
      </c>
      <c r="H513" s="14" t="str">
        <f>VLOOKUP(tab_Geral[[#This Row],[Informação 3]],tab_AgênciaAmbiental,10,FALSE)</f>
        <v>4</v>
      </c>
      <c r="I513" s="14" t="s">
        <v>511</v>
      </c>
      <c r="J513" s="18" t="s">
        <v>511</v>
      </c>
      <c r="K513" s="17"/>
      <c r="L513" s="17" t="s">
        <v>1885</v>
      </c>
      <c r="M513" s="17" t="s">
        <v>830</v>
      </c>
      <c r="N513" s="17" t="s">
        <v>831</v>
      </c>
      <c r="O513" s="17" t="s">
        <v>832</v>
      </c>
      <c r="P513" s="17" t="s">
        <v>833</v>
      </c>
      <c r="Q513" s="17" t="s">
        <v>834</v>
      </c>
      <c r="R513" s="17" t="s">
        <v>835</v>
      </c>
      <c r="S513" s="17" t="s">
        <v>836</v>
      </c>
      <c r="T513" s="15"/>
    </row>
    <row r="514" spans="1:20" x14ac:dyDescent="0.25">
      <c r="A514" s="14">
        <v>501</v>
      </c>
      <c r="B514" s="14">
        <v>3545506</v>
      </c>
      <c r="C514" s="14" t="str">
        <f>IF(ISERR(FIND("-",tab_Geral[[#This Row],[Municípios]],1)),"","Têm Hifen")</f>
        <v/>
      </c>
      <c r="D514" s="14" t="str">
        <f>IF(tab_Geral[[#This Row],[Informação 3]]&lt;&gt;"","","Não Registrado")</f>
        <v/>
      </c>
      <c r="E514" s="14" t="str">
        <f>IF(tab_Geral[[#This Row],[Municípios]]=tab_Geral[[#This Row],[Informação 1]],"","Não!, Erro!")</f>
        <v/>
      </c>
      <c r="F514" s="14" t="str">
        <f>IF(tab_Geral[[#This Row],[Municípios]]=tab_Geral[[#This Row],[Município]],"","Não!, Erro!")</f>
        <v/>
      </c>
      <c r="G514" s="14" t="str">
        <f>VLOOKUP(tab_Geral[[#This Row],[GeoCodigo]],tab_CETESB[],2,FALSE)</f>
        <v>Sandovalina</v>
      </c>
      <c r="H514" s="14" t="str">
        <f>VLOOKUP(tab_Geral[[#This Row],[Informação 3]],tab_AgênciaAmbiental,10,FALSE)</f>
        <v>29</v>
      </c>
      <c r="I514" s="14" t="s">
        <v>512</v>
      </c>
      <c r="J514" s="18" t="s">
        <v>512</v>
      </c>
      <c r="K514" s="17"/>
      <c r="L514" s="17" t="s">
        <v>1910</v>
      </c>
      <c r="M514" s="17" t="s">
        <v>707</v>
      </c>
      <c r="N514" s="17" t="s">
        <v>708</v>
      </c>
      <c r="O514" s="17" t="s">
        <v>709</v>
      </c>
      <c r="P514" s="17" t="s">
        <v>710</v>
      </c>
      <c r="Q514" s="17" t="s">
        <v>711</v>
      </c>
      <c r="R514" s="17" t="s">
        <v>686</v>
      </c>
      <c r="S514" s="17" t="s">
        <v>712</v>
      </c>
      <c r="T514" s="15"/>
    </row>
    <row r="515" spans="1:20" x14ac:dyDescent="0.25">
      <c r="A515" s="14">
        <v>502</v>
      </c>
      <c r="B515" s="14">
        <v>3545605</v>
      </c>
      <c r="C515" s="14" t="str">
        <f>IF(ISERR(FIND("-",tab_Geral[[#This Row],[Municípios]],1)),"","Têm Hifen")</f>
        <v/>
      </c>
      <c r="D515" s="14" t="str">
        <f>IF(tab_Geral[[#This Row],[Informação 3]]&lt;&gt;"","","Não Registrado")</f>
        <v/>
      </c>
      <c r="E515" s="14" t="str">
        <f>IF(tab_Geral[[#This Row],[Municípios]]=tab_Geral[[#This Row],[Informação 1]],"","Não!, Erro!")</f>
        <v/>
      </c>
      <c r="F515" s="14" t="str">
        <f>IF(tab_Geral[[#This Row],[Municípios]]=tab_Geral[[#This Row],[Município]],"","Não!, Erro!")</f>
        <v/>
      </c>
      <c r="G515" s="14" t="str">
        <f>VLOOKUP(tab_Geral[[#This Row],[GeoCodigo]],tab_CETESB[],2,FALSE)</f>
        <v>Santa Adélia</v>
      </c>
      <c r="H515" s="14" t="str">
        <f>VLOOKUP(tab_Geral[[#This Row],[Informação 3]],tab_AgênciaAmbiental,10,FALSE)</f>
        <v>36</v>
      </c>
      <c r="I515" s="14" t="s">
        <v>513</v>
      </c>
      <c r="J515" s="18" t="s">
        <v>513</v>
      </c>
      <c r="K515" s="17"/>
      <c r="L515" s="17" t="s">
        <v>1917</v>
      </c>
      <c r="M515" s="17" t="s">
        <v>663</v>
      </c>
      <c r="N515" s="17" t="s">
        <v>664</v>
      </c>
      <c r="O515" s="17" t="s">
        <v>665</v>
      </c>
      <c r="P515" s="17" t="s">
        <v>666</v>
      </c>
      <c r="Q515" s="17" t="s">
        <v>667</v>
      </c>
      <c r="R515" s="17" t="s">
        <v>668</v>
      </c>
      <c r="S515" s="17" t="s">
        <v>938</v>
      </c>
    </row>
    <row r="516" spans="1:20" x14ac:dyDescent="0.25">
      <c r="A516" s="14">
        <v>503</v>
      </c>
      <c r="B516" s="14">
        <v>3545704</v>
      </c>
      <c r="C516" s="14" t="str">
        <f>IF(ISERR(FIND("-",tab_Geral[[#This Row],[Municípios]],1)),"","Têm Hifen")</f>
        <v/>
      </c>
      <c r="D516" s="14" t="str">
        <f>IF(tab_Geral[[#This Row],[Informação 3]]&lt;&gt;"","","Não Registrado")</f>
        <v/>
      </c>
      <c r="E516" s="14" t="str">
        <f>IF(tab_Geral[[#This Row],[Municípios]]=tab_Geral[[#This Row],[Informação 1]],"","Não!, Erro!")</f>
        <v/>
      </c>
      <c r="F516" s="14" t="str">
        <f>IF(tab_Geral[[#This Row],[Municípios]]=tab_Geral[[#This Row],[Município]],"","Não!, Erro!")</f>
        <v/>
      </c>
      <c r="G516" s="14" t="str">
        <f>VLOOKUP(tab_Geral[[#This Row],[GeoCodigo]],tab_CETESB[],2,FALSE)</f>
        <v>Santa Albertina</v>
      </c>
      <c r="H516" s="14" t="str">
        <f>VLOOKUP(tab_Geral[[#This Row],[Informação 3]],tab_AgênciaAmbiental,10,FALSE)</f>
        <v>20</v>
      </c>
      <c r="I516" s="14" t="s">
        <v>514</v>
      </c>
      <c r="J516" s="18" t="s">
        <v>514</v>
      </c>
      <c r="K516" s="17"/>
      <c r="L516" s="17" t="s">
        <v>1901</v>
      </c>
      <c r="M516" s="17" t="s">
        <v>788</v>
      </c>
      <c r="N516" s="17" t="s">
        <v>789</v>
      </c>
      <c r="O516" s="17" t="s">
        <v>790</v>
      </c>
      <c r="P516" s="17" t="s">
        <v>791</v>
      </c>
      <c r="Q516" s="17" t="s">
        <v>792</v>
      </c>
      <c r="R516" s="17" t="s">
        <v>793</v>
      </c>
      <c r="S516" s="17" t="s">
        <v>794</v>
      </c>
      <c r="T516" s="15"/>
    </row>
    <row r="517" spans="1:20" x14ac:dyDescent="0.25">
      <c r="A517" s="14">
        <v>636</v>
      </c>
      <c r="B517" s="14">
        <v>3545803</v>
      </c>
      <c r="C517" s="14" t="str">
        <f>IF(ISERR(FIND("-",tab_Geral[[#This Row],[Municípios]],1)),"","Têm Hifen")</f>
        <v/>
      </c>
      <c r="D517" s="14" t="str">
        <f>IF(tab_Geral[[#This Row],[Informação 3]]&lt;&gt;"","","Não Registrado")</f>
        <v/>
      </c>
      <c r="E517" s="14" t="str">
        <f>IF(tab_Geral[[#This Row],[Municípios]]=tab_Geral[[#This Row],[Informação 1]],"","Não!, Erro!")</f>
        <v/>
      </c>
      <c r="F517" s="14" t="str">
        <f>IF(tab_Geral[[#This Row],[Municípios]]=tab_Geral[[#This Row],[Município]],"","Não!, Erro!")</f>
        <v>Não!, Erro!</v>
      </c>
      <c r="G517" s="14" t="str">
        <f>VLOOKUP(tab_Geral[[#This Row],[GeoCodigo]],tab_CETESB[],2,FALSE)</f>
        <v>Santa Bárbara D'Oeste</v>
      </c>
      <c r="H517" s="14" t="str">
        <f>VLOOKUP(tab_Geral[[#This Row],[Informação 3]],tab_AgênciaAmbiental,10,FALSE)</f>
        <v>1</v>
      </c>
      <c r="I517" s="14" t="s">
        <v>515</v>
      </c>
      <c r="J517" s="18" t="s">
        <v>515</v>
      </c>
      <c r="K517" s="17"/>
      <c r="L517" s="17" t="s">
        <v>1882</v>
      </c>
      <c r="M517" s="17" t="s">
        <v>753</v>
      </c>
      <c r="N517" s="17" t="s">
        <v>754</v>
      </c>
      <c r="O517" s="17" t="s">
        <v>755</v>
      </c>
      <c r="P517" s="17" t="s">
        <v>756</v>
      </c>
      <c r="Q517" s="17" t="s">
        <v>757</v>
      </c>
      <c r="R517" s="17" t="s">
        <v>758</v>
      </c>
      <c r="S517" s="17" t="s">
        <v>759</v>
      </c>
      <c r="T517" s="15"/>
    </row>
    <row r="518" spans="1:20" x14ac:dyDescent="0.25">
      <c r="A518" s="14">
        <v>504</v>
      </c>
      <c r="B518" s="14">
        <v>3546009</v>
      </c>
      <c r="C518" s="14" t="str">
        <f>IF(ISERR(FIND("-",tab_Geral[[#This Row],[Municípios]],1)),"","Têm Hifen")</f>
        <v/>
      </c>
      <c r="D518" s="14" t="str">
        <f>IF(tab_Geral[[#This Row],[Informação 3]]&lt;&gt;"","","Não Registrado")</f>
        <v/>
      </c>
      <c r="E518" s="14" t="str">
        <f>IF(tab_Geral[[#This Row],[Municípios]]=tab_Geral[[#This Row],[Informação 1]],"","Não!, Erro!")</f>
        <v/>
      </c>
      <c r="F518" s="14" t="str">
        <f>IF(tab_Geral[[#This Row],[Municípios]]=tab_Geral[[#This Row],[Município]],"","Não!, Erro!")</f>
        <v/>
      </c>
      <c r="G518" s="14" t="str">
        <f>VLOOKUP(tab_Geral[[#This Row],[GeoCodigo]],tab_CETESB[],2,FALSE)</f>
        <v>Santa Branca</v>
      </c>
      <c r="H518" s="14" t="str">
        <f>VLOOKUP(tab_Geral[[#This Row],[Informação 3]],tab_AgênciaAmbiental,10,FALSE)</f>
        <v>37</v>
      </c>
      <c r="I518" s="14" t="s">
        <v>516</v>
      </c>
      <c r="J518" s="18" t="s">
        <v>516</v>
      </c>
      <c r="K518" s="17"/>
      <c r="L518" s="17" t="s">
        <v>1918</v>
      </c>
      <c r="M518" s="17" t="s">
        <v>891</v>
      </c>
      <c r="N518" s="17" t="s">
        <v>892</v>
      </c>
      <c r="O518" s="17" t="s">
        <v>893</v>
      </c>
      <c r="P518" s="17" t="s">
        <v>894</v>
      </c>
      <c r="Q518" s="17" t="s">
        <v>895</v>
      </c>
      <c r="R518" s="17" t="s">
        <v>896</v>
      </c>
      <c r="S518" s="17" t="s">
        <v>897</v>
      </c>
      <c r="T518" s="15"/>
    </row>
    <row r="519" spans="1:20" x14ac:dyDescent="0.25">
      <c r="A519" s="14">
        <v>637</v>
      </c>
      <c r="B519" s="14">
        <v>3546108</v>
      </c>
      <c r="C519" s="14" t="str">
        <f>IF(ISERR(FIND("-",tab_Geral[[#This Row],[Municípios]],1)),"","Têm Hifen")</f>
        <v/>
      </c>
      <c r="D519" s="14" t="str">
        <f>IF(tab_Geral[[#This Row],[Informação 3]]&lt;&gt;"","","Não Registrado")</f>
        <v/>
      </c>
      <c r="E519" s="14" t="str">
        <f>IF(tab_Geral[[#This Row],[Municípios]]=tab_Geral[[#This Row],[Informação 1]],"","Não!, Erro!")</f>
        <v/>
      </c>
      <c r="F519" s="14" t="str">
        <f>IF(tab_Geral[[#This Row],[Municípios]]=tab_Geral[[#This Row],[Município]],"","Não!, Erro!")</f>
        <v>Não!, Erro!</v>
      </c>
      <c r="G519" s="14" t="str">
        <f>VLOOKUP(tab_Geral[[#This Row],[GeoCodigo]],tab_CETESB[],2,FALSE)</f>
        <v>Santa Clara d'Oeste</v>
      </c>
      <c r="H519" s="14" t="str">
        <f>VLOOKUP(tab_Geral[[#This Row],[Informação 3]],tab_AgênciaAmbiental,10,FALSE)</f>
        <v>20</v>
      </c>
      <c r="I519" s="14" t="s">
        <v>517</v>
      </c>
      <c r="J519" s="18" t="s">
        <v>517</v>
      </c>
      <c r="K519" s="17"/>
      <c r="L519" s="17" t="s">
        <v>1901</v>
      </c>
      <c r="M519" s="17" t="s">
        <v>788</v>
      </c>
      <c r="N519" s="17" t="s">
        <v>789</v>
      </c>
      <c r="O519" s="17" t="s">
        <v>790</v>
      </c>
      <c r="P519" s="17" t="s">
        <v>791</v>
      </c>
      <c r="Q519" s="17" t="s">
        <v>792</v>
      </c>
      <c r="R519" s="17" t="s">
        <v>793</v>
      </c>
      <c r="S519" s="17" t="s">
        <v>794</v>
      </c>
      <c r="T519" s="15"/>
    </row>
    <row r="520" spans="1:20" x14ac:dyDescent="0.25">
      <c r="A520" s="14">
        <v>505</v>
      </c>
      <c r="B520" s="14">
        <v>3546207</v>
      </c>
      <c r="C520" s="14" t="str">
        <f>IF(ISERR(FIND("-",tab_Geral[[#This Row],[Municípios]],1)),"","Têm Hifen")</f>
        <v/>
      </c>
      <c r="D520" s="14" t="str">
        <f>IF(tab_Geral[[#This Row],[Informação 3]]&lt;&gt;"","","Não Registrado")</f>
        <v/>
      </c>
      <c r="E520" s="14" t="str">
        <f>IF(tab_Geral[[#This Row],[Municípios]]=tab_Geral[[#This Row],[Informação 1]],"","Não!, Erro!")</f>
        <v/>
      </c>
      <c r="F520" s="14" t="str">
        <f>IF(tab_Geral[[#This Row],[Municípios]]=tab_Geral[[#This Row],[Município]],"","Não!, Erro!")</f>
        <v/>
      </c>
      <c r="G520" s="14" t="str">
        <f>VLOOKUP(tab_Geral[[#This Row],[GeoCodigo]],tab_CETESB[],2,FALSE)</f>
        <v>Santa Cruz da Conceição</v>
      </c>
      <c r="H520" s="14" t="str">
        <f>VLOOKUP(tab_Geral[[#This Row],[Informação 3]],tab_AgênciaAmbiental,10,FALSE)</f>
        <v>25</v>
      </c>
      <c r="I520" s="14" t="s">
        <v>518</v>
      </c>
      <c r="J520" s="18" t="s">
        <v>518</v>
      </c>
      <c r="K520" s="17"/>
      <c r="L520" s="17" t="s">
        <v>1906</v>
      </c>
      <c r="M520" s="17" t="s">
        <v>669</v>
      </c>
      <c r="N520" s="17" t="s">
        <v>670</v>
      </c>
      <c r="O520" s="17" t="s">
        <v>671</v>
      </c>
      <c r="P520" s="17" t="s">
        <v>672</v>
      </c>
      <c r="Q520" s="17" t="s">
        <v>673</v>
      </c>
      <c r="R520" s="17" t="s">
        <v>674</v>
      </c>
      <c r="S520" s="17" t="s">
        <v>675</v>
      </c>
      <c r="T520" s="15"/>
    </row>
    <row r="521" spans="1:20" x14ac:dyDescent="0.25">
      <c r="A521" s="14">
        <v>506</v>
      </c>
      <c r="B521" s="14">
        <v>3546256</v>
      </c>
      <c r="C521" s="14" t="str">
        <f>IF(ISERR(FIND("-",tab_Geral[[#This Row],[Municípios]],1)),"","Têm Hifen")</f>
        <v/>
      </c>
      <c r="D521" s="14" t="str">
        <f>IF(tab_Geral[[#This Row],[Informação 3]]&lt;&gt;"","","Não Registrado")</f>
        <v/>
      </c>
      <c r="E521" s="14" t="str">
        <f>IF(tab_Geral[[#This Row],[Municípios]]=tab_Geral[[#This Row],[Informação 1]],"","Não!, Erro!")</f>
        <v/>
      </c>
      <c r="F521" s="14" t="str">
        <f>IF(tab_Geral[[#This Row],[Municípios]]=tab_Geral[[#This Row],[Município]],"","Não!, Erro!")</f>
        <v/>
      </c>
      <c r="G521" s="14" t="str">
        <f>VLOOKUP(tab_Geral[[#This Row],[GeoCodigo]],tab_CETESB[],2,FALSE)</f>
        <v>Santa Cruz da Esperança</v>
      </c>
      <c r="H521" s="14" t="str">
        <f>VLOOKUP(tab_Geral[[#This Row],[Informação 3]],tab_AgênciaAmbiental,10,FALSE)</f>
        <v>31</v>
      </c>
      <c r="I521" s="14" t="s">
        <v>519</v>
      </c>
      <c r="J521" s="18" t="s">
        <v>519</v>
      </c>
      <c r="K521" s="17"/>
      <c r="L521" s="17" t="s">
        <v>1912</v>
      </c>
      <c r="M521" s="17" t="s">
        <v>720</v>
      </c>
      <c r="N521" s="17" t="s">
        <v>721</v>
      </c>
      <c r="O521" s="17" t="s">
        <v>722</v>
      </c>
      <c r="P521" s="17" t="s">
        <v>723</v>
      </c>
      <c r="Q521" s="17" t="s">
        <v>724</v>
      </c>
      <c r="R521" s="17" t="s">
        <v>725</v>
      </c>
      <c r="S521" s="17" t="s">
        <v>726</v>
      </c>
      <c r="T521" s="15"/>
    </row>
    <row r="522" spans="1:20" x14ac:dyDescent="0.25">
      <c r="A522" s="14">
        <v>507</v>
      </c>
      <c r="B522" s="14">
        <v>3546306</v>
      </c>
      <c r="C522" s="14" t="str">
        <f>IF(ISERR(FIND("-",tab_Geral[[#This Row],[Municípios]],1)),"","Têm Hifen")</f>
        <v/>
      </c>
      <c r="D522" s="14" t="str">
        <f>IF(tab_Geral[[#This Row],[Informação 3]]&lt;&gt;"","","Não Registrado")</f>
        <v/>
      </c>
      <c r="E522" s="14" t="str">
        <f>IF(tab_Geral[[#This Row],[Municípios]]=tab_Geral[[#This Row],[Informação 1]],"","Não!, Erro!")</f>
        <v/>
      </c>
      <c r="F522" s="14" t="str">
        <f>IF(tab_Geral[[#This Row],[Municípios]]=tab_Geral[[#This Row],[Município]],"","Não!, Erro!")</f>
        <v/>
      </c>
      <c r="G522" s="14" t="str">
        <f>VLOOKUP(tab_Geral[[#This Row],[GeoCodigo]],tab_CETESB[],2,FALSE)</f>
        <v>Santa Cruz das Palmeiras</v>
      </c>
      <c r="H522" s="14" t="str">
        <f>VLOOKUP(tab_Geral[[#This Row],[Informação 3]],tab_AgênciaAmbiental,10,FALSE)</f>
        <v>35</v>
      </c>
      <c r="I522" s="14" t="s">
        <v>520</v>
      </c>
      <c r="J522" s="18" t="s">
        <v>520</v>
      </c>
      <c r="K522" s="17"/>
      <c r="L522" s="17" t="s">
        <v>1916</v>
      </c>
      <c r="M522" s="17" t="s">
        <v>676</v>
      </c>
      <c r="N522" s="17" t="s">
        <v>657</v>
      </c>
      <c r="O522" s="17" t="s">
        <v>677</v>
      </c>
      <c r="P522" s="17" t="s">
        <v>678</v>
      </c>
      <c r="Q522" s="17" t="s">
        <v>679</v>
      </c>
      <c r="R522" s="17" t="s">
        <v>680</v>
      </c>
      <c r="S522" s="17" t="s">
        <v>937</v>
      </c>
    </row>
    <row r="523" spans="1:20" x14ac:dyDescent="0.25">
      <c r="A523" s="14">
        <v>508</v>
      </c>
      <c r="B523" s="14">
        <v>3546405</v>
      </c>
      <c r="C523" s="14" t="str">
        <f>IF(ISERR(FIND("-",tab_Geral[[#This Row],[Municípios]],1)),"","Têm Hifen")</f>
        <v/>
      </c>
      <c r="D523" s="14" t="str">
        <f>IF(tab_Geral[[#This Row],[Informação 3]]&lt;&gt;"","","Não Registrado")</f>
        <v/>
      </c>
      <c r="E523" s="14" t="str">
        <f>IF(tab_Geral[[#This Row],[Municípios]]=tab_Geral[[#This Row],[Informação 1]],"","Não!, Erro!")</f>
        <v/>
      </c>
      <c r="F523" s="14" t="str">
        <f>IF(tab_Geral[[#This Row],[Municípios]]=tab_Geral[[#This Row],[Município]],"","Não!, Erro!")</f>
        <v/>
      </c>
      <c r="G523" s="14" t="str">
        <f>VLOOKUP(tab_Geral[[#This Row],[GeoCodigo]],tab_CETESB[],2,FALSE)</f>
        <v>Santa Cruz do Rio Pardo</v>
      </c>
      <c r="H523" s="14" t="str">
        <f>VLOOKUP(tab_Geral[[#This Row],[Informação 3]],tab_AgênciaAmbiental,10,FALSE)</f>
        <v>4</v>
      </c>
      <c r="I523" s="14" t="s">
        <v>521</v>
      </c>
      <c r="J523" s="18" t="s">
        <v>521</v>
      </c>
      <c r="K523" s="17"/>
      <c r="L523" s="17" t="s">
        <v>1885</v>
      </c>
      <c r="M523" s="17" t="s">
        <v>830</v>
      </c>
      <c r="N523" s="17" t="s">
        <v>831</v>
      </c>
      <c r="O523" s="17" t="s">
        <v>832</v>
      </c>
      <c r="P523" s="17" t="s">
        <v>833</v>
      </c>
      <c r="Q523" s="17" t="s">
        <v>834</v>
      </c>
      <c r="R523" s="17" t="s">
        <v>835</v>
      </c>
      <c r="S523" s="17" t="s">
        <v>836</v>
      </c>
      <c r="T523" s="15"/>
    </row>
    <row r="524" spans="1:20" x14ac:dyDescent="0.25">
      <c r="A524" s="14">
        <v>509</v>
      </c>
      <c r="B524" s="14">
        <v>3546504</v>
      </c>
      <c r="C524" s="14" t="str">
        <f>IF(ISERR(FIND("-",tab_Geral[[#This Row],[Municípios]],1)),"","Têm Hifen")</f>
        <v/>
      </c>
      <c r="D524" s="14" t="str">
        <f>IF(tab_Geral[[#This Row],[Informação 3]]&lt;&gt;"","","Não Registrado")</f>
        <v/>
      </c>
      <c r="E524" s="14" t="str">
        <f>IF(tab_Geral[[#This Row],[Municípios]]=tab_Geral[[#This Row],[Informação 1]],"","Não!, Erro!")</f>
        <v/>
      </c>
      <c r="F524" s="14" t="str">
        <f>IF(tab_Geral[[#This Row],[Municípios]]=tab_Geral[[#This Row],[Município]],"","Não!, Erro!")</f>
        <v/>
      </c>
      <c r="G524" s="14" t="str">
        <f>VLOOKUP(tab_Geral[[#This Row],[GeoCodigo]],tab_CETESB[],2,FALSE)</f>
        <v>Santa Ernestina</v>
      </c>
      <c r="H524" s="14" t="str">
        <f>VLOOKUP(tab_Geral[[#This Row],[Informação 3]],tab_AgênciaAmbiental,10,FALSE)</f>
        <v>3</v>
      </c>
      <c r="I524" s="14" t="s">
        <v>522</v>
      </c>
      <c r="J524" s="18" t="s">
        <v>522</v>
      </c>
      <c r="K524" s="17"/>
      <c r="L524" s="17" t="s">
        <v>1884</v>
      </c>
      <c r="M524" s="17" t="s">
        <v>760</v>
      </c>
      <c r="N524" s="17" t="s">
        <v>761</v>
      </c>
      <c r="O524" s="17" t="s">
        <v>762</v>
      </c>
      <c r="P524" s="17" t="s">
        <v>763</v>
      </c>
      <c r="Q524" s="17" t="s">
        <v>764</v>
      </c>
      <c r="R524" s="17" t="s">
        <v>765</v>
      </c>
      <c r="S524" s="17" t="s">
        <v>766</v>
      </c>
      <c r="T524" s="15"/>
    </row>
    <row r="525" spans="1:20" x14ac:dyDescent="0.25">
      <c r="A525" s="14">
        <v>510</v>
      </c>
      <c r="B525" s="14">
        <v>3546603</v>
      </c>
      <c r="C525" s="14" t="str">
        <f>IF(ISERR(FIND("-",tab_Geral[[#This Row],[Municípios]],1)),"","Têm Hifen")</f>
        <v/>
      </c>
      <c r="D525" s="14" t="str">
        <f>IF(tab_Geral[[#This Row],[Informação 3]]&lt;&gt;"","","Não Registrado")</f>
        <v/>
      </c>
      <c r="E525" s="14" t="str">
        <f>IF(tab_Geral[[#This Row],[Municípios]]=tab_Geral[[#This Row],[Informação 1]],"","Não!, Erro!")</f>
        <v/>
      </c>
      <c r="F525" s="14" t="str">
        <f>IF(tab_Geral[[#This Row],[Municípios]]=tab_Geral[[#This Row],[Município]],"","Não!, Erro!")</f>
        <v/>
      </c>
      <c r="G525" s="14" t="str">
        <f>VLOOKUP(tab_Geral[[#This Row],[GeoCodigo]],tab_CETESB[],2,FALSE)</f>
        <v>Santa Fé do Sul</v>
      </c>
      <c r="H525" s="14" t="str">
        <f>VLOOKUP(tab_Geral[[#This Row],[Informação 3]],tab_AgênciaAmbiental,10,FALSE)</f>
        <v>20</v>
      </c>
      <c r="I525" s="14" t="s">
        <v>523</v>
      </c>
      <c r="J525" s="18" t="s">
        <v>523</v>
      </c>
      <c r="K525" s="17"/>
      <c r="L525" s="17" t="s">
        <v>1901</v>
      </c>
      <c r="M525" s="17" t="s">
        <v>788</v>
      </c>
      <c r="N525" s="17" t="s">
        <v>789</v>
      </c>
      <c r="O525" s="17" t="s">
        <v>790</v>
      </c>
      <c r="P525" s="17" t="s">
        <v>791</v>
      </c>
      <c r="Q525" s="17" t="s">
        <v>792</v>
      </c>
      <c r="R525" s="17" t="s">
        <v>793</v>
      </c>
      <c r="S525" s="17" t="s">
        <v>794</v>
      </c>
      <c r="T525" s="15"/>
    </row>
    <row r="526" spans="1:20" x14ac:dyDescent="0.25">
      <c r="A526" s="14">
        <v>511</v>
      </c>
      <c r="B526" s="14">
        <v>3546702</v>
      </c>
      <c r="C526" s="14" t="str">
        <f>IF(ISERR(FIND("-",tab_Geral[[#This Row],[Municípios]],1)),"","Têm Hifen")</f>
        <v/>
      </c>
      <c r="D526" s="14" t="str">
        <f>IF(tab_Geral[[#This Row],[Informação 3]]&lt;&gt;"","","Não Registrado")</f>
        <v/>
      </c>
      <c r="E526" s="14" t="str">
        <f>IF(tab_Geral[[#This Row],[Municípios]]=tab_Geral[[#This Row],[Informação 1]],"","Não!, Erro!")</f>
        <v/>
      </c>
      <c r="F526" s="14" t="str">
        <f>IF(tab_Geral[[#This Row],[Municípios]]=tab_Geral[[#This Row],[Município]],"","Não!, Erro!")</f>
        <v/>
      </c>
      <c r="G526" s="14" t="str">
        <f>VLOOKUP(tab_Geral[[#This Row],[GeoCodigo]],tab_CETESB[],2,FALSE)</f>
        <v>Santa Gertrudes</v>
      </c>
      <c r="H526" s="14" t="str">
        <f>VLOOKUP(tab_Geral[[#This Row],[Informação 3]],tab_AgênciaAmbiental,10,FALSE)</f>
        <v>22</v>
      </c>
      <c r="I526" s="14" t="s">
        <v>524</v>
      </c>
      <c r="J526" s="18" t="s">
        <v>524</v>
      </c>
      <c r="K526" s="17"/>
      <c r="L526" s="17" t="s">
        <v>1903</v>
      </c>
      <c r="M526" s="17" t="s">
        <v>816</v>
      </c>
      <c r="N526" s="17" t="s">
        <v>817</v>
      </c>
      <c r="O526" s="17" t="s">
        <v>818</v>
      </c>
      <c r="P526" s="17" t="s">
        <v>819</v>
      </c>
      <c r="Q526" s="17" t="s">
        <v>820</v>
      </c>
      <c r="R526" s="17" t="s">
        <v>821</v>
      </c>
      <c r="S526" s="17" t="s">
        <v>822</v>
      </c>
      <c r="T526" s="15"/>
    </row>
    <row r="527" spans="1:20" x14ac:dyDescent="0.25">
      <c r="A527" s="14">
        <v>512</v>
      </c>
      <c r="B527" s="14">
        <v>3546801</v>
      </c>
      <c r="C527" s="14" t="str">
        <f>IF(ISERR(FIND("-",tab_Geral[[#This Row],[Municípios]],1)),"","Têm Hifen")</f>
        <v/>
      </c>
      <c r="D527" s="14" t="str">
        <f>IF(tab_Geral[[#This Row],[Informação 3]]&lt;&gt;"","","Não Registrado")</f>
        <v/>
      </c>
      <c r="E527" s="14" t="str">
        <f>IF(tab_Geral[[#This Row],[Municípios]]=tab_Geral[[#This Row],[Informação 1]],"","Não!, Erro!")</f>
        <v/>
      </c>
      <c r="F527" s="14" t="str">
        <f>IF(tab_Geral[[#This Row],[Municípios]]=tab_Geral[[#This Row],[Município]],"","Não!, Erro!")</f>
        <v/>
      </c>
      <c r="G527" s="14" t="str">
        <f>VLOOKUP(tab_Geral[[#This Row],[GeoCodigo]],tab_CETESB[],2,FALSE)</f>
        <v>Santa Isabel</v>
      </c>
      <c r="H527" s="14" t="str">
        <f>VLOOKUP(tab_Geral[[#This Row],[Informação 3]],tab_AgênciaAmbiental,10,FALSE)</f>
        <v>24</v>
      </c>
      <c r="I527" s="14" t="s">
        <v>525</v>
      </c>
      <c r="J527" s="18" t="s">
        <v>525</v>
      </c>
      <c r="K527" s="17"/>
      <c r="L527" s="17" t="s">
        <v>1905</v>
      </c>
      <c r="M527" s="17" t="s">
        <v>871</v>
      </c>
      <c r="N527" s="17" t="s">
        <v>872</v>
      </c>
      <c r="O527" s="17" t="s">
        <v>873</v>
      </c>
      <c r="P527" s="17" t="s">
        <v>874</v>
      </c>
      <c r="Q527" s="17" t="s">
        <v>875</v>
      </c>
      <c r="R527" s="17" t="s">
        <v>686</v>
      </c>
      <c r="S527" s="17" t="s">
        <v>876</v>
      </c>
      <c r="T527" s="15"/>
    </row>
    <row r="528" spans="1:20" x14ac:dyDescent="0.25">
      <c r="A528" s="14">
        <v>513</v>
      </c>
      <c r="B528" s="14">
        <v>3546900</v>
      </c>
      <c r="C528" s="14" t="str">
        <f>IF(ISERR(FIND("-",tab_Geral[[#This Row],[Municípios]],1)),"","Têm Hifen")</f>
        <v/>
      </c>
      <c r="D528" s="14" t="str">
        <f>IF(tab_Geral[[#This Row],[Informação 3]]&lt;&gt;"","","Não Registrado")</f>
        <v/>
      </c>
      <c r="E528" s="14" t="str">
        <f>IF(tab_Geral[[#This Row],[Municípios]]=tab_Geral[[#This Row],[Informação 1]],"","Não!, Erro!")</f>
        <v/>
      </c>
      <c r="F528" s="14" t="str">
        <f>IF(tab_Geral[[#This Row],[Municípios]]=tab_Geral[[#This Row],[Município]],"","Não!, Erro!")</f>
        <v/>
      </c>
      <c r="G528" s="14" t="str">
        <f>VLOOKUP(tab_Geral[[#This Row],[GeoCodigo]],tab_CETESB[],2,FALSE)</f>
        <v>Santa Lúcia</v>
      </c>
      <c r="H528" s="14" t="str">
        <f>VLOOKUP(tab_Geral[[#This Row],[Informação 3]],tab_AgênciaAmbiental,10,FALSE)</f>
        <v>3</v>
      </c>
      <c r="I528" s="14" t="s">
        <v>526</v>
      </c>
      <c r="J528" s="18" t="s">
        <v>526</v>
      </c>
      <c r="K528" s="17"/>
      <c r="L528" s="17" t="s">
        <v>1884</v>
      </c>
      <c r="M528" s="17" t="s">
        <v>760</v>
      </c>
      <c r="N528" s="17" t="s">
        <v>761</v>
      </c>
      <c r="O528" s="17" t="s">
        <v>762</v>
      </c>
      <c r="P528" s="17" t="s">
        <v>763</v>
      </c>
      <c r="Q528" s="17" t="s">
        <v>764</v>
      </c>
      <c r="R528" s="17" t="s">
        <v>765</v>
      </c>
      <c r="S528" s="17" t="s">
        <v>766</v>
      </c>
      <c r="T528" s="15"/>
    </row>
    <row r="529" spans="1:20" x14ac:dyDescent="0.25">
      <c r="A529" s="14">
        <v>514</v>
      </c>
      <c r="B529" s="14">
        <v>3547007</v>
      </c>
      <c r="C529" s="14" t="str">
        <f>IF(ISERR(FIND("-",tab_Geral[[#This Row],[Municípios]],1)),"","Têm Hifen")</f>
        <v/>
      </c>
      <c r="D529" s="14" t="str">
        <f>IF(tab_Geral[[#This Row],[Informação 3]]&lt;&gt;"","","Não Registrado")</f>
        <v/>
      </c>
      <c r="E529" s="14" t="str">
        <f>IF(tab_Geral[[#This Row],[Municípios]]=tab_Geral[[#This Row],[Informação 1]],"","Não!, Erro!")</f>
        <v/>
      </c>
      <c r="F529" s="14" t="str">
        <f>IF(tab_Geral[[#This Row],[Municípios]]=tab_Geral[[#This Row],[Município]],"","Não!, Erro!")</f>
        <v/>
      </c>
      <c r="G529" s="14" t="str">
        <f>VLOOKUP(tab_Geral[[#This Row],[GeoCodigo]],tab_CETESB[],2,FALSE)</f>
        <v>Santa Maria da Serra</v>
      </c>
      <c r="H529" s="14" t="str">
        <f>VLOOKUP(tab_Geral[[#This Row],[Informação 3]],tab_AgênciaAmbiental,10,FALSE)</f>
        <v>28</v>
      </c>
      <c r="I529" s="14" t="s">
        <v>527</v>
      </c>
      <c r="J529" s="18" t="s">
        <v>527</v>
      </c>
      <c r="K529" s="17"/>
      <c r="L529" s="17" t="s">
        <v>1909</v>
      </c>
      <c r="M529" s="17" t="s">
        <v>688</v>
      </c>
      <c r="N529" s="17" t="s">
        <v>657</v>
      </c>
      <c r="O529" s="17" t="s">
        <v>689</v>
      </c>
      <c r="P529" s="17" t="s">
        <v>690</v>
      </c>
      <c r="Q529" s="17" t="s">
        <v>691</v>
      </c>
      <c r="R529" s="17" t="s">
        <v>692</v>
      </c>
      <c r="S529" s="17" t="s">
        <v>693</v>
      </c>
      <c r="T529" s="15"/>
    </row>
    <row r="530" spans="1:20" x14ac:dyDescent="0.25">
      <c r="A530" s="14">
        <v>515</v>
      </c>
      <c r="B530" s="14">
        <v>3547106</v>
      </c>
      <c r="C530" s="14" t="str">
        <f>IF(ISERR(FIND("-",tab_Geral[[#This Row],[Municípios]],1)),"","Têm Hifen")</f>
        <v/>
      </c>
      <c r="D530" s="14" t="str">
        <f>IF(tab_Geral[[#This Row],[Informação 3]]&lt;&gt;"","","Não Registrado")</f>
        <v/>
      </c>
      <c r="E530" s="14" t="str">
        <f>IF(tab_Geral[[#This Row],[Municípios]]=tab_Geral[[#This Row],[Informação 1]],"","Não!, Erro!")</f>
        <v/>
      </c>
      <c r="F530" s="14" t="str">
        <f>IF(tab_Geral[[#This Row],[Municípios]]=tab_Geral[[#This Row],[Município]],"","Não!, Erro!")</f>
        <v/>
      </c>
      <c r="G530" s="14" t="str">
        <f>VLOOKUP(tab_Geral[[#This Row],[GeoCodigo]],tab_CETESB[],2,FALSE)</f>
        <v>Santa Mercedes</v>
      </c>
      <c r="H530" s="14" t="str">
        <f>VLOOKUP(tab_Geral[[#This Row],[Informação 3]],tab_AgênciaAmbiental,10,FALSE)</f>
        <v>13</v>
      </c>
      <c r="I530" s="14" t="s">
        <v>528</v>
      </c>
      <c r="J530" s="18" t="s">
        <v>528</v>
      </c>
      <c r="K530" s="17"/>
      <c r="L530" s="17" t="s">
        <v>1894</v>
      </c>
      <c r="M530" s="17" t="s">
        <v>656</v>
      </c>
      <c r="N530" s="17" t="s">
        <v>657</v>
      </c>
      <c r="O530" s="17" t="s">
        <v>658</v>
      </c>
      <c r="P530" s="17" t="s">
        <v>659</v>
      </c>
      <c r="Q530" s="17" t="s">
        <v>660</v>
      </c>
      <c r="R530" s="17" t="s">
        <v>661</v>
      </c>
      <c r="S530" s="17" t="s">
        <v>662</v>
      </c>
      <c r="T530" s="15"/>
    </row>
    <row r="531" spans="1:20" x14ac:dyDescent="0.25">
      <c r="A531" s="14">
        <v>516</v>
      </c>
      <c r="B531" s="14">
        <v>3547502</v>
      </c>
      <c r="C531" s="14" t="str">
        <f>IF(ISERR(FIND("-",tab_Geral[[#This Row],[Municípios]],1)),"","Têm Hifen")</f>
        <v/>
      </c>
      <c r="D531" s="14" t="str">
        <f>IF(tab_Geral[[#This Row],[Informação 3]]&lt;&gt;"","","Não Registrado")</f>
        <v/>
      </c>
      <c r="E531" s="14" t="str">
        <f>IF(tab_Geral[[#This Row],[Municípios]]=tab_Geral[[#This Row],[Informação 1]],"","Não!, Erro!")</f>
        <v/>
      </c>
      <c r="F531" s="14" t="str">
        <f>IF(tab_Geral[[#This Row],[Municípios]]=tab_Geral[[#This Row],[Município]],"","Não!, Erro!")</f>
        <v/>
      </c>
      <c r="G531" s="14" t="str">
        <f>VLOOKUP(tab_Geral[[#This Row],[GeoCodigo]],tab_CETESB[],2,FALSE)</f>
        <v>Santa Rita do Passa Quatro</v>
      </c>
      <c r="H531" s="14" t="str">
        <f>VLOOKUP(tab_Geral[[#This Row],[Informação 3]],tab_AgênciaAmbiental,10,FALSE)</f>
        <v>31</v>
      </c>
      <c r="I531" s="14" t="s">
        <v>530</v>
      </c>
      <c r="J531" s="18" t="s">
        <v>530</v>
      </c>
      <c r="K531" s="17"/>
      <c r="L531" s="17" t="s">
        <v>1912</v>
      </c>
      <c r="M531" s="17" t="s">
        <v>720</v>
      </c>
      <c r="N531" s="17" t="s">
        <v>721</v>
      </c>
      <c r="O531" s="17" t="s">
        <v>722</v>
      </c>
      <c r="P531" s="17" t="s">
        <v>723</v>
      </c>
      <c r="Q531" s="17" t="s">
        <v>724</v>
      </c>
      <c r="R531" s="17" t="s">
        <v>725</v>
      </c>
      <c r="S531" s="17" t="s">
        <v>726</v>
      </c>
      <c r="T531" s="15"/>
    </row>
    <row r="532" spans="1:20" x14ac:dyDescent="0.25">
      <c r="A532" s="14">
        <v>638</v>
      </c>
      <c r="B532" s="14">
        <v>3547403</v>
      </c>
      <c r="C532" s="14" t="str">
        <f>IF(ISERR(FIND("-",tab_Geral[[#This Row],[Municípios]],1)),"","Têm Hifen")</f>
        <v/>
      </c>
      <c r="D532" s="14" t="str">
        <f>IF(tab_Geral[[#This Row],[Informação 3]]&lt;&gt;"","","Não Registrado")</f>
        <v/>
      </c>
      <c r="E532" s="14" t="str">
        <f>IF(tab_Geral[[#This Row],[Municípios]]=tab_Geral[[#This Row],[Informação 1]],"","Não!, Erro!")</f>
        <v/>
      </c>
      <c r="F532" s="14" t="str">
        <f>IF(tab_Geral[[#This Row],[Municípios]]=tab_Geral[[#This Row],[Município]],"","Não!, Erro!")</f>
        <v>Não!, Erro!</v>
      </c>
      <c r="G532" s="14" t="str">
        <f>VLOOKUP(tab_Geral[[#This Row],[GeoCodigo]],tab_CETESB[],2,FALSE)</f>
        <v>Santa Rita d'Oeste</v>
      </c>
      <c r="H532" s="14" t="str">
        <f>VLOOKUP(tab_Geral[[#This Row],[Informação 3]],tab_AgênciaAmbiental,10,FALSE)</f>
        <v>20</v>
      </c>
      <c r="I532" s="14" t="s">
        <v>529</v>
      </c>
      <c r="J532" s="18" t="s">
        <v>529</v>
      </c>
      <c r="K532" s="17"/>
      <c r="L532" s="17" t="s">
        <v>1901</v>
      </c>
      <c r="M532" s="17" t="s">
        <v>788</v>
      </c>
      <c r="N532" s="17" t="s">
        <v>789</v>
      </c>
      <c r="O532" s="17" t="s">
        <v>790</v>
      </c>
      <c r="P532" s="17" t="s">
        <v>791</v>
      </c>
      <c r="Q532" s="17" t="s">
        <v>792</v>
      </c>
      <c r="R532" s="17" t="s">
        <v>793</v>
      </c>
      <c r="S532" s="17" t="s">
        <v>794</v>
      </c>
      <c r="T532" s="15"/>
    </row>
    <row r="533" spans="1:20" x14ac:dyDescent="0.25">
      <c r="A533" s="14">
        <v>517</v>
      </c>
      <c r="B533" s="14">
        <v>3547601</v>
      </c>
      <c r="C533" s="14" t="str">
        <f>IF(ISERR(FIND("-",tab_Geral[[#This Row],[Municípios]],1)),"","Têm Hifen")</f>
        <v/>
      </c>
      <c r="D533" s="14" t="str">
        <f>IF(tab_Geral[[#This Row],[Informação 3]]&lt;&gt;"","","Não Registrado")</f>
        <v/>
      </c>
      <c r="E533" s="14" t="str">
        <f>IF(tab_Geral[[#This Row],[Municípios]]=tab_Geral[[#This Row],[Informação 1]],"","Não!, Erro!")</f>
        <v/>
      </c>
      <c r="F533" s="14" t="str">
        <f>IF(tab_Geral[[#This Row],[Municípios]]=tab_Geral[[#This Row],[Município]],"","Não!, Erro!")</f>
        <v/>
      </c>
      <c r="G533" s="14" t="str">
        <f>VLOOKUP(tab_Geral[[#This Row],[GeoCodigo]],tab_CETESB[],2,FALSE)</f>
        <v>Santa Rosa de Viterbo</v>
      </c>
      <c r="H533" s="14" t="str">
        <f>VLOOKUP(tab_Geral[[#This Row],[Informação 3]],tab_AgênciaAmbiental,10,FALSE)</f>
        <v>31</v>
      </c>
      <c r="I533" s="14" t="s">
        <v>531</v>
      </c>
      <c r="J533" s="18" t="s">
        <v>531</v>
      </c>
      <c r="K533" s="17"/>
      <c r="L533" s="17" t="s">
        <v>1912</v>
      </c>
      <c r="M533" s="17" t="s">
        <v>720</v>
      </c>
      <c r="N533" s="17" t="s">
        <v>721</v>
      </c>
      <c r="O533" s="17" t="s">
        <v>722</v>
      </c>
      <c r="P533" s="17" t="s">
        <v>723</v>
      </c>
      <c r="Q533" s="17" t="s">
        <v>724</v>
      </c>
      <c r="R533" s="17" t="s">
        <v>725</v>
      </c>
      <c r="S533" s="17" t="s">
        <v>726</v>
      </c>
      <c r="T533" s="15"/>
    </row>
    <row r="534" spans="1:20" x14ac:dyDescent="0.25">
      <c r="A534" s="14">
        <v>518</v>
      </c>
      <c r="B534" s="14">
        <v>3547650</v>
      </c>
      <c r="C534" s="14" t="str">
        <f>IF(ISERR(FIND("-",tab_Geral[[#This Row],[Municípios]],1)),"","Têm Hifen")</f>
        <v/>
      </c>
      <c r="D534" s="14" t="str">
        <f>IF(tab_Geral[[#This Row],[Informação 3]]&lt;&gt;"","","Não Registrado")</f>
        <v/>
      </c>
      <c r="E534" s="14" t="str">
        <f>IF(tab_Geral[[#This Row],[Municípios]]=tab_Geral[[#This Row],[Informação 1]],"","Não!, Erro!")</f>
        <v/>
      </c>
      <c r="F534" s="14" t="str">
        <f>IF(tab_Geral[[#This Row],[Municípios]]=tab_Geral[[#This Row],[Município]],"","Não!, Erro!")</f>
        <v/>
      </c>
      <c r="G534" s="14" t="str">
        <f>VLOOKUP(tab_Geral[[#This Row],[GeoCodigo]],tab_CETESB[],2,FALSE)</f>
        <v>Santa Salete</v>
      </c>
      <c r="H534" s="14" t="str">
        <f>VLOOKUP(tab_Geral[[#This Row],[Informação 3]],tab_AgênciaAmbiental,10,FALSE)</f>
        <v>20</v>
      </c>
      <c r="I534" s="14" t="s">
        <v>532</v>
      </c>
      <c r="J534" s="18" t="s">
        <v>532</v>
      </c>
      <c r="K534" s="17"/>
      <c r="L534" s="17" t="s">
        <v>1901</v>
      </c>
      <c r="M534" s="17" t="s">
        <v>788</v>
      </c>
      <c r="N534" s="17" t="s">
        <v>789</v>
      </c>
      <c r="O534" s="17" t="s">
        <v>790</v>
      </c>
      <c r="P534" s="17" t="s">
        <v>791</v>
      </c>
      <c r="Q534" s="17" t="s">
        <v>792</v>
      </c>
      <c r="R534" s="17" t="s">
        <v>793</v>
      </c>
      <c r="S534" s="17" t="s">
        <v>794</v>
      </c>
      <c r="T534" s="15"/>
    </row>
    <row r="535" spans="1:20" x14ac:dyDescent="0.25">
      <c r="A535" s="14">
        <v>519</v>
      </c>
      <c r="B535" s="14">
        <v>3547205</v>
      </c>
      <c r="C535" s="14" t="str">
        <f>IF(ISERR(FIND("-",tab_Geral[[#This Row],[Municípios]],1)),"","Têm Hifen")</f>
        <v/>
      </c>
      <c r="D535" s="14" t="str">
        <f>IF(tab_Geral[[#This Row],[Informação 3]]&lt;&gt;"","","Não Registrado")</f>
        <v/>
      </c>
      <c r="E535" s="14" t="str">
        <f>IF(tab_Geral[[#This Row],[Municípios]]=tab_Geral[[#This Row],[Informação 1]],"","Não!, Erro!")</f>
        <v/>
      </c>
      <c r="F535" s="14" t="str">
        <f>IF(tab_Geral[[#This Row],[Municípios]]=tab_Geral[[#This Row],[Município]],"","Não!, Erro!")</f>
        <v/>
      </c>
      <c r="G535" s="14" t="str">
        <f>VLOOKUP(tab_Geral[[#This Row],[GeoCodigo]],tab_CETESB[],2,FALSE)</f>
        <v>Santana da Ponte Pensa</v>
      </c>
      <c r="H535" s="14" t="str">
        <f>VLOOKUP(tab_Geral[[#This Row],[Informação 3]],tab_AgênciaAmbiental,10,FALSE)</f>
        <v>20</v>
      </c>
      <c r="I535" s="14" t="s">
        <v>533</v>
      </c>
      <c r="J535" s="18" t="s">
        <v>533</v>
      </c>
      <c r="K535" s="17"/>
      <c r="L535" s="17" t="s">
        <v>1901</v>
      </c>
      <c r="M535" s="17" t="s">
        <v>788</v>
      </c>
      <c r="N535" s="17" t="s">
        <v>789</v>
      </c>
      <c r="O535" s="17" t="s">
        <v>790</v>
      </c>
      <c r="P535" s="17" t="s">
        <v>791</v>
      </c>
      <c r="Q535" s="17" t="s">
        <v>792</v>
      </c>
      <c r="R535" s="17" t="s">
        <v>793</v>
      </c>
      <c r="S535" s="17" t="s">
        <v>794</v>
      </c>
      <c r="T535" s="15"/>
    </row>
    <row r="536" spans="1:20" x14ac:dyDescent="0.25">
      <c r="A536" s="14">
        <v>520</v>
      </c>
      <c r="B536" s="14">
        <v>3547304</v>
      </c>
      <c r="C536" s="14" t="str">
        <f>IF(ISERR(FIND("-",tab_Geral[[#This Row],[Municípios]],1)),"","Têm Hifen")</f>
        <v/>
      </c>
      <c r="D536" s="14" t="str">
        <f>IF(tab_Geral[[#This Row],[Informação 3]]&lt;&gt;"","","Não Registrado")</f>
        <v/>
      </c>
      <c r="E536" s="14" t="str">
        <f>IF(tab_Geral[[#This Row],[Municípios]]=tab_Geral[[#This Row],[Informação 1]],"","Não!, Erro!")</f>
        <v/>
      </c>
      <c r="F536" s="14" t="str">
        <f>IF(tab_Geral[[#This Row],[Municípios]]=tab_Geral[[#This Row],[Município]],"","Não!, Erro!")</f>
        <v/>
      </c>
      <c r="G536" s="14" t="str">
        <f>VLOOKUP(tab_Geral[[#This Row],[GeoCodigo]],tab_CETESB[],2,FALSE)</f>
        <v>Santana de Parnaíba</v>
      </c>
      <c r="H536" s="14" t="str">
        <f>VLOOKUP(tab_Geral[[#This Row],[Informação 3]],tab_AgênciaAmbiental,10,FALSE)</f>
        <v>26</v>
      </c>
      <c r="I536" s="14" t="s">
        <v>534</v>
      </c>
      <c r="J536" s="18" t="s">
        <v>534</v>
      </c>
      <c r="K536" s="17"/>
      <c r="L536" s="17" t="s">
        <v>1907</v>
      </c>
      <c r="M536" s="17" t="s">
        <v>857</v>
      </c>
      <c r="N536" s="17" t="s">
        <v>858</v>
      </c>
      <c r="O536" s="17" t="s">
        <v>859</v>
      </c>
      <c r="P536" s="17" t="s">
        <v>860</v>
      </c>
      <c r="Q536" s="17" t="s">
        <v>861</v>
      </c>
      <c r="R536" s="17" t="s">
        <v>862</v>
      </c>
      <c r="S536" s="17" t="s">
        <v>863</v>
      </c>
      <c r="T536" s="15"/>
    </row>
    <row r="537" spans="1:20" x14ac:dyDescent="0.25">
      <c r="A537" s="14">
        <v>521</v>
      </c>
      <c r="B537" s="14">
        <v>3547700</v>
      </c>
      <c r="C537" s="14" t="str">
        <f>IF(ISERR(FIND("-",tab_Geral[[#This Row],[Municípios]],1)),"","Têm Hifen")</f>
        <v/>
      </c>
      <c r="D537" s="14" t="str">
        <f>IF(tab_Geral[[#This Row],[Informação 3]]&lt;&gt;"","","Não Registrado")</f>
        <v/>
      </c>
      <c r="E537" s="14" t="str">
        <f>IF(tab_Geral[[#This Row],[Municípios]]=tab_Geral[[#This Row],[Informação 1]],"","Não!, Erro!")</f>
        <v/>
      </c>
      <c r="F537" s="14" t="str">
        <f>IF(tab_Geral[[#This Row],[Municípios]]=tab_Geral[[#This Row],[Município]],"","Não!, Erro!")</f>
        <v/>
      </c>
      <c r="G537" s="14" t="str">
        <f>VLOOKUP(tab_Geral[[#This Row],[GeoCodigo]],tab_CETESB[],2,FALSE)</f>
        <v>Santo Anastácio</v>
      </c>
      <c r="H537" s="14" t="str">
        <f>VLOOKUP(tab_Geral[[#This Row],[Informação 3]],tab_AgênciaAmbiental,10,FALSE)</f>
        <v>29</v>
      </c>
      <c r="I537" s="14" t="s">
        <v>535</v>
      </c>
      <c r="J537" s="18" t="s">
        <v>535</v>
      </c>
      <c r="K537" s="17"/>
      <c r="L537" s="17" t="s">
        <v>1910</v>
      </c>
      <c r="M537" s="17" t="s">
        <v>707</v>
      </c>
      <c r="N537" s="17" t="s">
        <v>708</v>
      </c>
      <c r="O537" s="17" t="s">
        <v>709</v>
      </c>
      <c r="P537" s="17" t="s">
        <v>710</v>
      </c>
      <c r="Q537" s="17" t="s">
        <v>711</v>
      </c>
      <c r="R537" s="17" t="s">
        <v>686</v>
      </c>
      <c r="S537" s="17" t="s">
        <v>712</v>
      </c>
      <c r="T537" s="15"/>
    </row>
    <row r="538" spans="1:20" x14ac:dyDescent="0.25">
      <c r="A538" s="14">
        <v>522</v>
      </c>
      <c r="B538" s="14">
        <v>3547809</v>
      </c>
      <c r="C538" s="14" t="str">
        <f>IF(ISERR(FIND("-",tab_Geral[[#This Row],[Municípios]],1)),"","Têm Hifen")</f>
        <v/>
      </c>
      <c r="D538" s="14" t="str">
        <f>IF(tab_Geral[[#This Row],[Informação 3]]&lt;&gt;"","","Não Registrado")</f>
        <v/>
      </c>
      <c r="E538" s="14" t="str">
        <f>IF(tab_Geral[[#This Row],[Municípios]]=tab_Geral[[#This Row],[Informação 1]],"","Não!, Erro!")</f>
        <v/>
      </c>
      <c r="F538" s="14" t="str">
        <f>IF(tab_Geral[[#This Row],[Municípios]]=tab_Geral[[#This Row],[Município]],"","Não!, Erro!")</f>
        <v/>
      </c>
      <c r="G538" s="14" t="str">
        <f>VLOOKUP(tab_Geral[[#This Row],[GeoCodigo]],tab_CETESB[],2,FALSE)</f>
        <v>Santo André</v>
      </c>
      <c r="H538" s="14" t="str">
        <f>VLOOKUP(tab_Geral[[#This Row],[Informação 3]],tab_AgênciaAmbiental,10,FALSE)</f>
        <v>42</v>
      </c>
      <c r="I538" s="14" t="s">
        <v>536</v>
      </c>
      <c r="J538" s="18" t="s">
        <v>536</v>
      </c>
      <c r="K538" s="17"/>
      <c r="L538" s="17" t="s">
        <v>1923</v>
      </c>
      <c r="M538" s="17" t="s">
        <v>919</v>
      </c>
      <c r="N538" s="17" t="s">
        <v>920</v>
      </c>
      <c r="O538" s="17" t="s">
        <v>921</v>
      </c>
      <c r="P538" s="17" t="s">
        <v>922</v>
      </c>
      <c r="Q538" s="17" t="s">
        <v>923</v>
      </c>
      <c r="R538" s="17" t="s">
        <v>924</v>
      </c>
      <c r="S538" s="17" t="s">
        <v>933</v>
      </c>
      <c r="T538" s="15"/>
    </row>
    <row r="539" spans="1:20" x14ac:dyDescent="0.25">
      <c r="A539" s="14">
        <v>523</v>
      </c>
      <c r="B539" s="14">
        <v>3547908</v>
      </c>
      <c r="C539" s="14" t="str">
        <f>IF(ISERR(FIND("-",tab_Geral[[#This Row],[Municípios]],1)),"","Têm Hifen")</f>
        <v/>
      </c>
      <c r="D539" s="14" t="str">
        <f>IF(tab_Geral[[#This Row],[Informação 3]]&lt;&gt;"","","Não Registrado")</f>
        <v/>
      </c>
      <c r="E539" s="14" t="str">
        <f>IF(tab_Geral[[#This Row],[Municípios]]=tab_Geral[[#This Row],[Informação 1]],"","Não!, Erro!")</f>
        <v/>
      </c>
      <c r="F539" s="14" t="str">
        <f>IF(tab_Geral[[#This Row],[Municípios]]=tab_Geral[[#This Row],[Município]],"","Não!, Erro!")</f>
        <v/>
      </c>
      <c r="G539" s="14" t="str">
        <f>VLOOKUP(tab_Geral[[#This Row],[GeoCodigo]],tab_CETESB[],2,FALSE)</f>
        <v>Santo Antônio da Alegria</v>
      </c>
      <c r="H539" s="14" t="str">
        <f>VLOOKUP(tab_Geral[[#This Row],[Informação 3]],tab_AgênciaAmbiental,10,FALSE)</f>
        <v>31</v>
      </c>
      <c r="I539" s="14" t="s">
        <v>537</v>
      </c>
      <c r="J539" s="18" t="s">
        <v>537</v>
      </c>
      <c r="K539" s="17"/>
      <c r="L539" s="17" t="s">
        <v>1912</v>
      </c>
      <c r="M539" s="17" t="s">
        <v>720</v>
      </c>
      <c r="N539" s="17" t="s">
        <v>721</v>
      </c>
      <c r="O539" s="17" t="s">
        <v>722</v>
      </c>
      <c r="P539" s="17" t="s">
        <v>723</v>
      </c>
      <c r="Q539" s="17" t="s">
        <v>724</v>
      </c>
      <c r="R539" s="17" t="s">
        <v>725</v>
      </c>
      <c r="S539" s="17" t="s">
        <v>726</v>
      </c>
      <c r="T539" s="15"/>
    </row>
    <row r="540" spans="1:20" x14ac:dyDescent="0.25">
      <c r="A540" s="14">
        <v>524</v>
      </c>
      <c r="B540" s="14">
        <v>3548005</v>
      </c>
      <c r="C540" s="14" t="str">
        <f>IF(ISERR(FIND("-",tab_Geral[[#This Row],[Municípios]],1)),"","Têm Hifen")</f>
        <v/>
      </c>
      <c r="D540" s="14" t="str">
        <f>IF(tab_Geral[[#This Row],[Informação 3]]&lt;&gt;"","","Não Registrado")</f>
        <v/>
      </c>
      <c r="E540" s="14" t="str">
        <f>IF(tab_Geral[[#This Row],[Municípios]]=tab_Geral[[#This Row],[Informação 1]],"","Não!, Erro!")</f>
        <v/>
      </c>
      <c r="F540" s="14" t="str">
        <f>IF(tab_Geral[[#This Row],[Municípios]]=tab_Geral[[#This Row],[Município]],"","Não!, Erro!")</f>
        <v/>
      </c>
      <c r="G540" s="14" t="str">
        <f>VLOOKUP(tab_Geral[[#This Row],[GeoCodigo]],tab_CETESB[],2,FALSE)</f>
        <v>Santo Antônio de Posse</v>
      </c>
      <c r="H540" s="14" t="str">
        <f>VLOOKUP(tab_Geral[[#This Row],[Informação 3]],tab_AgênciaAmbiental,10,FALSE)</f>
        <v>27</v>
      </c>
      <c r="I540" s="14" t="s">
        <v>538</v>
      </c>
      <c r="J540" s="18" t="s">
        <v>538</v>
      </c>
      <c r="K540" s="17"/>
      <c r="L540" s="17" t="s">
        <v>1908</v>
      </c>
      <c r="M540" s="17" t="s">
        <v>767</v>
      </c>
      <c r="N540" s="17" t="s">
        <v>768</v>
      </c>
      <c r="O540" s="17" t="s">
        <v>769</v>
      </c>
      <c r="P540" s="17" t="s">
        <v>770</v>
      </c>
      <c r="Q540" s="17" t="s">
        <v>771</v>
      </c>
      <c r="R540" s="17" t="s">
        <v>772</v>
      </c>
      <c r="S540" s="17" t="s">
        <v>773</v>
      </c>
      <c r="T540" s="15"/>
    </row>
    <row r="541" spans="1:20" x14ac:dyDescent="0.25">
      <c r="A541" s="14">
        <v>525</v>
      </c>
      <c r="B541" s="14">
        <v>3548054</v>
      </c>
      <c r="C541" s="14" t="str">
        <f>IF(ISERR(FIND("-",tab_Geral[[#This Row],[Municípios]],1)),"","Têm Hifen")</f>
        <v/>
      </c>
      <c r="D541" s="14" t="str">
        <f>IF(tab_Geral[[#This Row],[Informação 3]]&lt;&gt;"","","Não Registrado")</f>
        <v/>
      </c>
      <c r="E541" s="14" t="str">
        <f>IF(tab_Geral[[#This Row],[Municípios]]=tab_Geral[[#This Row],[Informação 1]],"","Não!, Erro!")</f>
        <v/>
      </c>
      <c r="F541" s="14" t="str">
        <f>IF(tab_Geral[[#This Row],[Municípios]]=tab_Geral[[#This Row],[Município]],"","Não!, Erro!")</f>
        <v/>
      </c>
      <c r="G541" s="14" t="str">
        <f>VLOOKUP(tab_Geral[[#This Row],[GeoCodigo]],tab_CETESB[],2,FALSE)</f>
        <v>Santo Antônio do Aracanguá</v>
      </c>
      <c r="H541" s="14" t="str">
        <f>VLOOKUP(tab_Geral[[#This Row],[Informação 3]],tab_AgênciaAmbiental,10,FALSE)</f>
        <v>2</v>
      </c>
      <c r="I541" s="14" t="s">
        <v>539</v>
      </c>
      <c r="J541" s="18" t="s">
        <v>539</v>
      </c>
      <c r="K541" s="17"/>
      <c r="L541" s="17" t="s">
        <v>1883</v>
      </c>
      <c r="M541" s="17" t="s">
        <v>727</v>
      </c>
      <c r="N541" s="17" t="s">
        <v>728</v>
      </c>
      <c r="O541" s="17" t="s">
        <v>729</v>
      </c>
      <c r="P541" s="17" t="s">
        <v>730</v>
      </c>
      <c r="Q541" s="17" t="s">
        <v>731</v>
      </c>
      <c r="R541" s="17" t="s">
        <v>732</v>
      </c>
      <c r="S541" s="17" t="s">
        <v>936</v>
      </c>
    </row>
    <row r="542" spans="1:20" x14ac:dyDescent="0.25">
      <c r="A542" s="14">
        <v>526</v>
      </c>
      <c r="B542" s="14">
        <v>3548104</v>
      </c>
      <c r="C542" s="14" t="str">
        <f>IF(ISERR(FIND("-",tab_Geral[[#This Row],[Municípios]],1)),"","Têm Hifen")</f>
        <v/>
      </c>
      <c r="D542" s="14" t="str">
        <f>IF(tab_Geral[[#This Row],[Informação 3]]&lt;&gt;"","","Não Registrado")</f>
        <v/>
      </c>
      <c r="E542" s="14" t="str">
        <f>IF(tab_Geral[[#This Row],[Municípios]]=tab_Geral[[#This Row],[Informação 1]],"","Não!, Erro!")</f>
        <v/>
      </c>
      <c r="F542" s="14" t="str">
        <f>IF(tab_Geral[[#This Row],[Municípios]]=tab_Geral[[#This Row],[Município]],"","Não!, Erro!")</f>
        <v/>
      </c>
      <c r="G542" s="14" t="str">
        <f>VLOOKUP(tab_Geral[[#This Row],[GeoCodigo]],tab_CETESB[],2,FALSE)</f>
        <v>Santo Antônio do Jardim</v>
      </c>
      <c r="H542" s="14" t="str">
        <f>VLOOKUP(tab_Geral[[#This Row],[Informação 3]],tab_AgênciaAmbiental,10,FALSE)</f>
        <v>35</v>
      </c>
      <c r="I542" s="14" t="s">
        <v>540</v>
      </c>
      <c r="J542" s="18" t="s">
        <v>540</v>
      </c>
      <c r="K542" s="17"/>
      <c r="L542" s="17" t="s">
        <v>1916</v>
      </c>
      <c r="M542" s="17" t="s">
        <v>676</v>
      </c>
      <c r="N542" s="17" t="s">
        <v>657</v>
      </c>
      <c r="O542" s="17" t="s">
        <v>677</v>
      </c>
      <c r="P542" s="17" t="s">
        <v>678</v>
      </c>
      <c r="Q542" s="17" t="s">
        <v>679</v>
      </c>
      <c r="R542" s="17" t="s">
        <v>680</v>
      </c>
      <c r="S542" s="17" t="s">
        <v>937</v>
      </c>
    </row>
    <row r="543" spans="1:20" x14ac:dyDescent="0.25">
      <c r="A543" s="14">
        <v>527</v>
      </c>
      <c r="B543" s="14">
        <v>3548203</v>
      </c>
      <c r="C543" s="14" t="str">
        <f>IF(ISERR(FIND("-",tab_Geral[[#This Row],[Municípios]],1)),"","Têm Hifen")</f>
        <v/>
      </c>
      <c r="D543" s="14" t="str">
        <f>IF(tab_Geral[[#This Row],[Informação 3]]&lt;&gt;"","","Não Registrado")</f>
        <v/>
      </c>
      <c r="E543" s="14" t="str">
        <f>IF(tab_Geral[[#This Row],[Municípios]]=tab_Geral[[#This Row],[Informação 1]],"","Não!, Erro!")</f>
        <v/>
      </c>
      <c r="F543" s="14" t="str">
        <f>IF(tab_Geral[[#This Row],[Municípios]]=tab_Geral[[#This Row],[Município]],"","Não!, Erro!")</f>
        <v/>
      </c>
      <c r="G543" s="14" t="str">
        <f>VLOOKUP(tab_Geral[[#This Row],[GeoCodigo]],tab_CETESB[],2,FALSE)</f>
        <v>Santo Antônio do Pinhal</v>
      </c>
      <c r="H543" s="14" t="str">
        <f>VLOOKUP(tab_Geral[[#This Row],[Informação 3]],tab_AgênciaAmbiental,10,FALSE)</f>
        <v>40</v>
      </c>
      <c r="I543" s="14" t="s">
        <v>541</v>
      </c>
      <c r="J543" s="18" t="s">
        <v>541</v>
      </c>
      <c r="K543" s="17"/>
      <c r="L543" s="17" t="s">
        <v>1921</v>
      </c>
      <c r="M543" s="17" t="s">
        <v>781</v>
      </c>
      <c r="N543" s="17" t="s">
        <v>782</v>
      </c>
      <c r="O543" s="17" t="s">
        <v>783</v>
      </c>
      <c r="P543" s="17" t="s">
        <v>784</v>
      </c>
      <c r="Q543" s="17" t="s">
        <v>785</v>
      </c>
      <c r="R543" s="17" t="s">
        <v>786</v>
      </c>
      <c r="S543" s="17" t="s">
        <v>787</v>
      </c>
      <c r="T543" s="15"/>
    </row>
    <row r="544" spans="1:20" x14ac:dyDescent="0.25">
      <c r="A544" s="14">
        <v>528</v>
      </c>
      <c r="B544" s="14">
        <v>3548302</v>
      </c>
      <c r="C544" s="14" t="str">
        <f>IF(ISERR(FIND("-",tab_Geral[[#This Row],[Municípios]],1)),"","Têm Hifen")</f>
        <v/>
      </c>
      <c r="D544" s="14" t="str">
        <f>IF(tab_Geral[[#This Row],[Informação 3]]&lt;&gt;"","","Não Registrado")</f>
        <v/>
      </c>
      <c r="E544" s="14" t="str">
        <f>IF(tab_Geral[[#This Row],[Municípios]]=tab_Geral[[#This Row],[Informação 1]],"","Não!, Erro!")</f>
        <v/>
      </c>
      <c r="F544" s="14" t="str">
        <f>IF(tab_Geral[[#This Row],[Municípios]]=tab_Geral[[#This Row],[Município]],"","Não!, Erro!")</f>
        <v/>
      </c>
      <c r="G544" s="14" t="str">
        <f>VLOOKUP(tab_Geral[[#This Row],[GeoCodigo]],tab_CETESB[],2,FALSE)</f>
        <v>Santo Expedito</v>
      </c>
      <c r="H544" s="14" t="str">
        <f>VLOOKUP(tab_Geral[[#This Row],[Informação 3]],tab_AgênciaAmbiental,10,FALSE)</f>
        <v>29</v>
      </c>
      <c r="I544" s="14" t="s">
        <v>542</v>
      </c>
      <c r="J544" s="18" t="s">
        <v>542</v>
      </c>
      <c r="K544" s="17"/>
      <c r="L544" s="17" t="s">
        <v>1910</v>
      </c>
      <c r="M544" s="17" t="s">
        <v>707</v>
      </c>
      <c r="N544" s="17" t="s">
        <v>708</v>
      </c>
      <c r="O544" s="17" t="s">
        <v>709</v>
      </c>
      <c r="P544" s="17" t="s">
        <v>710</v>
      </c>
      <c r="Q544" s="17" t="s">
        <v>711</v>
      </c>
      <c r="R544" s="17" t="s">
        <v>686</v>
      </c>
      <c r="S544" s="17" t="s">
        <v>712</v>
      </c>
      <c r="T544" s="15"/>
    </row>
    <row r="545" spans="1:20" x14ac:dyDescent="0.25">
      <c r="A545" s="14">
        <v>529</v>
      </c>
      <c r="B545" s="14">
        <v>3548401</v>
      </c>
      <c r="C545" s="14" t="str">
        <f>IF(ISERR(FIND("-",tab_Geral[[#This Row],[Municípios]],1)),"","Têm Hifen")</f>
        <v/>
      </c>
      <c r="D545" s="14" t="str">
        <f>IF(tab_Geral[[#This Row],[Informação 3]]&lt;&gt;"","","Não Registrado")</f>
        <v/>
      </c>
      <c r="E545" s="14" t="str">
        <f>IF(tab_Geral[[#This Row],[Municípios]]=tab_Geral[[#This Row],[Informação 1]],"","Não!, Erro!")</f>
        <v/>
      </c>
      <c r="F545" s="14" t="str">
        <f>IF(tab_Geral[[#This Row],[Municípios]]=tab_Geral[[#This Row],[Município]],"","Não!, Erro!")</f>
        <v/>
      </c>
      <c r="G545" s="14" t="str">
        <f>VLOOKUP(tab_Geral[[#This Row],[GeoCodigo]],tab_CETESB[],2,FALSE)</f>
        <v>Santópolis do Aguapeí</v>
      </c>
      <c r="H545" s="14" t="str">
        <f>VLOOKUP(tab_Geral[[#This Row],[Informação 3]],tab_AgênciaAmbiental,10,FALSE)</f>
        <v>2</v>
      </c>
      <c r="I545" s="14" t="s">
        <v>543</v>
      </c>
      <c r="J545" s="18" t="s">
        <v>543</v>
      </c>
      <c r="K545" s="17"/>
      <c r="L545" s="17" t="s">
        <v>1883</v>
      </c>
      <c r="M545" s="17" t="s">
        <v>727</v>
      </c>
      <c r="N545" s="17" t="s">
        <v>728</v>
      </c>
      <c r="O545" s="17" t="s">
        <v>729</v>
      </c>
      <c r="P545" s="17" t="s">
        <v>730</v>
      </c>
      <c r="Q545" s="17" t="s">
        <v>731</v>
      </c>
      <c r="R545" s="17" t="s">
        <v>732</v>
      </c>
      <c r="S545" s="17" t="s">
        <v>936</v>
      </c>
    </row>
    <row r="546" spans="1:20" x14ac:dyDescent="0.25">
      <c r="A546" s="14">
        <v>530</v>
      </c>
      <c r="B546" s="14">
        <v>3548500</v>
      </c>
      <c r="C546" s="14" t="str">
        <f>IF(ISERR(FIND("-",tab_Geral[[#This Row],[Municípios]],1)),"","Têm Hifen")</f>
        <v/>
      </c>
      <c r="D546" s="14" t="str">
        <f>IF(tab_Geral[[#This Row],[Informação 3]]&lt;&gt;"","","Não Registrado")</f>
        <v/>
      </c>
      <c r="E546" s="14" t="str">
        <f>IF(tab_Geral[[#This Row],[Municípios]]=tab_Geral[[#This Row],[Informação 1]],"","Não!, Erro!")</f>
        <v/>
      </c>
      <c r="F546" s="14" t="str">
        <f>IF(tab_Geral[[#This Row],[Municípios]]=tab_Geral[[#This Row],[Município]],"","Não!, Erro!")</f>
        <v/>
      </c>
      <c r="G546" s="14" t="str">
        <f>VLOOKUP(tab_Geral[[#This Row],[GeoCodigo]],tab_CETESB[],2,FALSE)</f>
        <v>Santos</v>
      </c>
      <c r="H546" s="14" t="str">
        <f>VLOOKUP(tab_Geral[[#This Row],[Informação 3]],tab_AgênciaAmbiental,10,FALSE)</f>
        <v>33</v>
      </c>
      <c r="I546" s="14" t="s">
        <v>544</v>
      </c>
      <c r="J546" s="18" t="s">
        <v>544</v>
      </c>
      <c r="K546" s="17"/>
      <c r="L546" s="17" t="s">
        <v>1914</v>
      </c>
      <c r="M546" s="17" t="s">
        <v>926</v>
      </c>
      <c r="N546" s="17" t="s">
        <v>927</v>
      </c>
      <c r="O546" s="17" t="s">
        <v>928</v>
      </c>
      <c r="P546" s="17" t="s">
        <v>929</v>
      </c>
      <c r="Q546" s="17" t="s">
        <v>930</v>
      </c>
      <c r="R546" s="17" t="s">
        <v>931</v>
      </c>
      <c r="S546" s="17" t="s">
        <v>932</v>
      </c>
      <c r="T546" s="15"/>
    </row>
    <row r="547" spans="1:20" x14ac:dyDescent="0.25">
      <c r="A547" s="14">
        <v>531</v>
      </c>
      <c r="B547" s="14">
        <v>3548609</v>
      </c>
      <c r="C547" s="14" t="str">
        <f>IF(ISERR(FIND("-",tab_Geral[[#This Row],[Municípios]],1)),"","Têm Hifen")</f>
        <v/>
      </c>
      <c r="D547" s="14" t="str">
        <f>IF(tab_Geral[[#This Row],[Informação 3]]&lt;&gt;"","","Não Registrado")</f>
        <v/>
      </c>
      <c r="E547" s="14" t="str">
        <f>IF(tab_Geral[[#This Row],[Municípios]]=tab_Geral[[#This Row],[Informação 1]],"","Não!, Erro!")</f>
        <v/>
      </c>
      <c r="F547" s="14" t="str">
        <f>IF(tab_Geral[[#This Row],[Municípios]]=tab_Geral[[#This Row],[Município]],"","Não!, Erro!")</f>
        <v/>
      </c>
      <c r="G547" s="14" t="str">
        <f>VLOOKUP(tab_Geral[[#This Row],[GeoCodigo]],tab_CETESB[],2,FALSE)</f>
        <v>São Bento do Sapucaí</v>
      </c>
      <c r="H547" s="14" t="str">
        <f>VLOOKUP(tab_Geral[[#This Row],[Informação 3]],tab_AgênciaAmbiental,10,FALSE)</f>
        <v>40</v>
      </c>
      <c r="I547" s="14" t="s">
        <v>545</v>
      </c>
      <c r="J547" s="18" t="s">
        <v>545</v>
      </c>
      <c r="K547" s="17"/>
      <c r="L547" s="17" t="s">
        <v>1921</v>
      </c>
      <c r="M547" s="17" t="s">
        <v>781</v>
      </c>
      <c r="N547" s="17" t="s">
        <v>782</v>
      </c>
      <c r="O547" s="17" t="s">
        <v>783</v>
      </c>
      <c r="P547" s="17" t="s">
        <v>784</v>
      </c>
      <c r="Q547" s="17" t="s">
        <v>785</v>
      </c>
      <c r="R547" s="17" t="s">
        <v>786</v>
      </c>
      <c r="S547" s="17" t="s">
        <v>787</v>
      </c>
      <c r="T547" s="15"/>
    </row>
    <row r="548" spans="1:20" x14ac:dyDescent="0.25">
      <c r="A548" s="14">
        <v>532</v>
      </c>
      <c r="B548" s="14">
        <v>3548708</v>
      </c>
      <c r="C548" s="14" t="str">
        <f>IF(ISERR(FIND("-",tab_Geral[[#This Row],[Municípios]],1)),"","Têm Hifen")</f>
        <v/>
      </c>
      <c r="D548" s="14" t="str">
        <f>IF(tab_Geral[[#This Row],[Informação 3]]&lt;&gt;"","","Não Registrado")</f>
        <v/>
      </c>
      <c r="E548" s="14" t="str">
        <f>IF(tab_Geral[[#This Row],[Municípios]]=tab_Geral[[#This Row],[Informação 1]],"","Não!, Erro!")</f>
        <v/>
      </c>
      <c r="F548" s="14" t="str">
        <f>IF(tab_Geral[[#This Row],[Municípios]]=tab_Geral[[#This Row],[Município]],"","Não!, Erro!")</f>
        <v/>
      </c>
      <c r="G548" s="14" t="str">
        <f>VLOOKUP(tab_Geral[[#This Row],[GeoCodigo]],tab_CETESB[],2,FALSE)</f>
        <v>São Bernardo do Campo</v>
      </c>
      <c r="H548" s="14" t="str">
        <f>VLOOKUP(tab_Geral[[#This Row],[Informação 3]],tab_AgênciaAmbiental,10,FALSE)</f>
        <v>43</v>
      </c>
      <c r="I548" s="14" t="s">
        <v>546</v>
      </c>
      <c r="J548" s="18" t="s">
        <v>546</v>
      </c>
      <c r="K548" s="17"/>
      <c r="L548" s="17" t="s">
        <v>1924</v>
      </c>
      <c r="M548" s="17" t="s">
        <v>919</v>
      </c>
      <c r="N548" s="17" t="s">
        <v>920</v>
      </c>
      <c r="O548" s="17" t="s">
        <v>921</v>
      </c>
      <c r="P548" s="17" t="s">
        <v>922</v>
      </c>
      <c r="Q548" s="17" t="s">
        <v>923</v>
      </c>
      <c r="R548" s="17" t="s">
        <v>924</v>
      </c>
      <c r="S548" s="17" t="s">
        <v>925</v>
      </c>
      <c r="T548" s="15"/>
    </row>
    <row r="549" spans="1:20" x14ac:dyDescent="0.25">
      <c r="A549" s="14">
        <v>533</v>
      </c>
      <c r="B549" s="14">
        <v>3548807</v>
      </c>
      <c r="C549" s="14" t="str">
        <f>IF(ISERR(FIND("-",tab_Geral[[#This Row],[Municípios]],1)),"","Têm Hifen")</f>
        <v/>
      </c>
      <c r="D549" s="14" t="str">
        <f>IF(tab_Geral[[#This Row],[Informação 3]]&lt;&gt;"","","Não Registrado")</f>
        <v/>
      </c>
      <c r="E549" s="14" t="str">
        <f>IF(tab_Geral[[#This Row],[Municípios]]=tab_Geral[[#This Row],[Informação 1]],"","Não!, Erro!")</f>
        <v/>
      </c>
      <c r="F549" s="14" t="str">
        <f>IF(tab_Geral[[#This Row],[Municípios]]=tab_Geral[[#This Row],[Município]],"","Não!, Erro!")</f>
        <v/>
      </c>
      <c r="G549" s="14" t="str">
        <f>VLOOKUP(tab_Geral[[#This Row],[GeoCodigo]],tab_CETESB[],2,FALSE)</f>
        <v>São Caetano do Sul</v>
      </c>
      <c r="H549" s="14" t="str">
        <f>VLOOKUP(tab_Geral[[#This Row],[Informação 3]],tab_AgênciaAmbiental,10,FALSE)</f>
        <v>42</v>
      </c>
      <c r="I549" s="14" t="s">
        <v>547</v>
      </c>
      <c r="J549" s="18" t="s">
        <v>547</v>
      </c>
      <c r="K549" s="17"/>
      <c r="L549" s="17" t="s">
        <v>1923</v>
      </c>
      <c r="M549" s="17" t="s">
        <v>919</v>
      </c>
      <c r="N549" s="17" t="s">
        <v>920</v>
      </c>
      <c r="O549" s="17" t="s">
        <v>921</v>
      </c>
      <c r="P549" s="17" t="s">
        <v>922</v>
      </c>
      <c r="Q549" s="17" t="s">
        <v>923</v>
      </c>
      <c r="R549" s="17" t="s">
        <v>924</v>
      </c>
      <c r="S549" s="17" t="s">
        <v>933</v>
      </c>
      <c r="T549" s="15"/>
    </row>
    <row r="550" spans="1:20" x14ac:dyDescent="0.25">
      <c r="A550" s="14">
        <v>534</v>
      </c>
      <c r="B550" s="14">
        <v>3548906</v>
      </c>
      <c r="C550" s="14" t="str">
        <f>IF(ISERR(FIND("-",tab_Geral[[#This Row],[Municípios]],1)),"","Têm Hifen")</f>
        <v/>
      </c>
      <c r="D550" s="14" t="str">
        <f>IF(tab_Geral[[#This Row],[Informação 3]]&lt;&gt;"","","Não Registrado")</f>
        <v/>
      </c>
      <c r="E550" s="14" t="str">
        <f>IF(tab_Geral[[#This Row],[Municípios]]=tab_Geral[[#This Row],[Informação 1]],"","Não!, Erro!")</f>
        <v/>
      </c>
      <c r="F550" s="14" t="str">
        <f>IF(tab_Geral[[#This Row],[Municípios]]=tab_Geral[[#This Row],[Município]],"","Não!, Erro!")</f>
        <v/>
      </c>
      <c r="G550" s="14" t="str">
        <f>VLOOKUP(tab_Geral[[#This Row],[GeoCodigo]],tab_CETESB[],2,FALSE)</f>
        <v>São Carlos</v>
      </c>
      <c r="H550" s="14" t="str">
        <f>VLOOKUP(tab_Geral[[#This Row],[Informação 3]],tab_AgênciaAmbiental,10,FALSE)</f>
        <v>34</v>
      </c>
      <c r="I550" s="14" t="s">
        <v>548</v>
      </c>
      <c r="J550" s="18" t="s">
        <v>548</v>
      </c>
      <c r="K550" s="17"/>
      <c r="L550" s="17" t="s">
        <v>1915</v>
      </c>
      <c r="M550" s="17" t="s">
        <v>877</v>
      </c>
      <c r="N550" s="17" t="s">
        <v>878</v>
      </c>
      <c r="O550" s="17" t="s">
        <v>879</v>
      </c>
      <c r="P550" s="17" t="s">
        <v>880</v>
      </c>
      <c r="Q550" s="17" t="s">
        <v>881</v>
      </c>
      <c r="R550" s="17" t="s">
        <v>882</v>
      </c>
      <c r="S550" s="17" t="s">
        <v>883</v>
      </c>
      <c r="T550" s="15"/>
    </row>
    <row r="551" spans="1:20" x14ac:dyDescent="0.25">
      <c r="A551" s="14">
        <v>535</v>
      </c>
      <c r="B551" s="14">
        <v>3549003</v>
      </c>
      <c r="C551" s="14" t="str">
        <f>IF(ISERR(FIND("-",tab_Geral[[#This Row],[Municípios]],1)),"","Têm Hifen")</f>
        <v/>
      </c>
      <c r="D551" s="14" t="str">
        <f>IF(tab_Geral[[#This Row],[Informação 3]]&lt;&gt;"","","Não Registrado")</f>
        <v/>
      </c>
      <c r="E551" s="14" t="str">
        <f>IF(tab_Geral[[#This Row],[Municípios]]=tab_Geral[[#This Row],[Informação 1]],"","Não!, Erro!")</f>
        <v/>
      </c>
      <c r="F551" s="14" t="str">
        <f>IF(tab_Geral[[#This Row],[Municípios]]=tab_Geral[[#This Row],[Município]],"","Não!, Erro!")</f>
        <v/>
      </c>
      <c r="G551" s="14" t="str">
        <f>VLOOKUP(tab_Geral[[#This Row],[GeoCodigo]],tab_CETESB[],2,FALSE)</f>
        <v>São Francisco</v>
      </c>
      <c r="H551" s="14" t="str">
        <f>VLOOKUP(tab_Geral[[#This Row],[Informação 3]],tab_AgênciaAmbiental,10,FALSE)</f>
        <v>20</v>
      </c>
      <c r="I551" s="14" t="s">
        <v>549</v>
      </c>
      <c r="J551" s="18" t="s">
        <v>549</v>
      </c>
      <c r="K551" s="17"/>
      <c r="L551" s="17" t="s">
        <v>1901</v>
      </c>
      <c r="M551" s="17" t="s">
        <v>788</v>
      </c>
      <c r="N551" s="17" t="s">
        <v>789</v>
      </c>
      <c r="O551" s="17" t="s">
        <v>790</v>
      </c>
      <c r="P551" s="17" t="s">
        <v>791</v>
      </c>
      <c r="Q551" s="17" t="s">
        <v>792</v>
      </c>
      <c r="R551" s="17" t="s">
        <v>793</v>
      </c>
      <c r="S551" s="17" t="s">
        <v>794</v>
      </c>
      <c r="T551" s="15"/>
    </row>
    <row r="552" spans="1:20" x14ac:dyDescent="0.25">
      <c r="A552" s="14">
        <v>536</v>
      </c>
      <c r="B552" s="14">
        <v>3549102</v>
      </c>
      <c r="C552" s="14" t="str">
        <f>IF(ISERR(FIND("-",tab_Geral[[#This Row],[Municípios]],1)),"","Têm Hifen")</f>
        <v/>
      </c>
      <c r="D552" s="14" t="str">
        <f>IF(tab_Geral[[#This Row],[Informação 3]]&lt;&gt;"","","Não Registrado")</f>
        <v/>
      </c>
      <c r="E552" s="14" t="str">
        <f>IF(tab_Geral[[#This Row],[Municípios]]=tab_Geral[[#This Row],[Informação 1]],"","Não!, Erro!")</f>
        <v/>
      </c>
      <c r="F552" s="14" t="str">
        <f>IF(tab_Geral[[#This Row],[Municípios]]=tab_Geral[[#This Row],[Município]],"","Não!, Erro!")</f>
        <v/>
      </c>
      <c r="G552" s="14" t="str">
        <f>VLOOKUP(tab_Geral[[#This Row],[GeoCodigo]],tab_CETESB[],2,FALSE)</f>
        <v>São João da Boa Vista</v>
      </c>
      <c r="H552" s="14" t="str">
        <f>VLOOKUP(tab_Geral[[#This Row],[Informação 3]],tab_AgênciaAmbiental,10,FALSE)</f>
        <v>35</v>
      </c>
      <c r="I552" s="14" t="s">
        <v>550</v>
      </c>
      <c r="J552" s="18" t="s">
        <v>550</v>
      </c>
      <c r="K552" s="17"/>
      <c r="L552" s="17" t="s">
        <v>1916</v>
      </c>
      <c r="M552" s="17" t="s">
        <v>676</v>
      </c>
      <c r="N552" s="17" t="s">
        <v>657</v>
      </c>
      <c r="O552" s="17" t="s">
        <v>677</v>
      </c>
      <c r="P552" s="17" t="s">
        <v>678</v>
      </c>
      <c r="Q552" s="17" t="s">
        <v>679</v>
      </c>
      <c r="R552" s="17" t="s">
        <v>680</v>
      </c>
      <c r="S552" s="17" t="s">
        <v>937</v>
      </c>
    </row>
    <row r="553" spans="1:20" x14ac:dyDescent="0.25">
      <c r="A553" s="14">
        <v>537</v>
      </c>
      <c r="B553" s="14">
        <v>3549201</v>
      </c>
      <c r="C553" s="14" t="str">
        <f>IF(ISERR(FIND("-",tab_Geral[[#This Row],[Municípios]],1)),"","Têm Hifen")</f>
        <v/>
      </c>
      <c r="D553" s="14" t="str">
        <f>IF(tab_Geral[[#This Row],[Informação 3]]&lt;&gt;"","","Não Registrado")</f>
        <v/>
      </c>
      <c r="E553" s="14" t="str">
        <f>IF(tab_Geral[[#This Row],[Municípios]]=tab_Geral[[#This Row],[Informação 1]],"","Não!, Erro!")</f>
        <v/>
      </c>
      <c r="F553" s="14" t="str">
        <f>IF(tab_Geral[[#This Row],[Municípios]]=tab_Geral[[#This Row],[Município]],"","Não!, Erro!")</f>
        <v/>
      </c>
      <c r="G553" s="14" t="str">
        <f>VLOOKUP(tab_Geral[[#This Row],[GeoCodigo]],tab_CETESB[],2,FALSE)</f>
        <v>São João das Duas Pontes</v>
      </c>
      <c r="H553" s="14" t="str">
        <f>VLOOKUP(tab_Geral[[#This Row],[Informação 3]],tab_AgênciaAmbiental,10,FALSE)</f>
        <v>20</v>
      </c>
      <c r="I553" s="14" t="s">
        <v>551</v>
      </c>
      <c r="J553" s="18" t="s">
        <v>551</v>
      </c>
      <c r="K553" s="17"/>
      <c r="L553" s="17" t="s">
        <v>1901</v>
      </c>
      <c r="M553" s="17" t="s">
        <v>788</v>
      </c>
      <c r="N553" s="17" t="s">
        <v>789</v>
      </c>
      <c r="O553" s="17" t="s">
        <v>790</v>
      </c>
      <c r="P553" s="17" t="s">
        <v>791</v>
      </c>
      <c r="Q553" s="17" t="s">
        <v>792</v>
      </c>
      <c r="R553" s="17" t="s">
        <v>793</v>
      </c>
      <c r="S553" s="17" t="s">
        <v>794</v>
      </c>
      <c r="T553" s="15"/>
    </row>
    <row r="554" spans="1:20" x14ac:dyDescent="0.25">
      <c r="A554" s="14">
        <v>538</v>
      </c>
      <c r="B554" s="14">
        <v>3549250</v>
      </c>
      <c r="C554" s="14" t="str">
        <f>IF(ISERR(FIND("-",tab_Geral[[#This Row],[Municípios]],1)),"","Têm Hifen")</f>
        <v/>
      </c>
      <c r="D554" s="14" t="str">
        <f>IF(tab_Geral[[#This Row],[Informação 3]]&lt;&gt;"","","Não Registrado")</f>
        <v/>
      </c>
      <c r="E554" s="14" t="str">
        <f>IF(tab_Geral[[#This Row],[Municípios]]=tab_Geral[[#This Row],[Informação 1]],"","Não!, Erro!")</f>
        <v/>
      </c>
      <c r="F554" s="14" t="str">
        <f>IF(tab_Geral[[#This Row],[Municípios]]=tab_Geral[[#This Row],[Município]],"","Não!, Erro!")</f>
        <v/>
      </c>
      <c r="G554" s="14" t="str">
        <f>VLOOKUP(tab_Geral[[#This Row],[GeoCodigo]],tab_CETESB[],2,FALSE)</f>
        <v>São João de Iracema</v>
      </c>
      <c r="H554" s="14" t="str">
        <f>VLOOKUP(tab_Geral[[#This Row],[Informação 3]],tab_AgênciaAmbiental,10,FALSE)</f>
        <v>41</v>
      </c>
      <c r="I554" s="14" t="s">
        <v>552</v>
      </c>
      <c r="J554" s="18" t="s">
        <v>552</v>
      </c>
      <c r="K554" s="17"/>
      <c r="L554" s="17" t="s">
        <v>1922</v>
      </c>
      <c r="M554" s="17" t="s">
        <v>739</v>
      </c>
      <c r="N554" s="17" t="s">
        <v>740</v>
      </c>
      <c r="O554" s="17" t="s">
        <v>741</v>
      </c>
      <c r="P554" s="17" t="s">
        <v>742</v>
      </c>
      <c r="Q554" s="17" t="s">
        <v>743</v>
      </c>
      <c r="R554" s="17" t="s">
        <v>744</v>
      </c>
      <c r="S554" s="17" t="s">
        <v>745</v>
      </c>
      <c r="T554" s="15"/>
    </row>
    <row r="555" spans="1:20" x14ac:dyDescent="0.25">
      <c r="A555" s="14">
        <v>639</v>
      </c>
      <c r="B555" s="14">
        <v>3549300</v>
      </c>
      <c r="C555" s="14" t="str">
        <f>IF(ISERR(FIND("-",tab_Geral[[#This Row],[Municípios]],1)),"","Têm Hifen")</f>
        <v/>
      </c>
      <c r="D555" s="14" t="str">
        <f>IF(tab_Geral[[#This Row],[Informação 3]]&lt;&gt;"","","Não Registrado")</f>
        <v/>
      </c>
      <c r="E555" s="14" t="str">
        <f>IF(tab_Geral[[#This Row],[Municípios]]=tab_Geral[[#This Row],[Informação 1]],"","Não!, Erro!")</f>
        <v/>
      </c>
      <c r="F555" s="14" t="str">
        <f>IF(tab_Geral[[#This Row],[Municípios]]=tab_Geral[[#This Row],[Município]],"","Não!, Erro!")</f>
        <v>Não!, Erro!</v>
      </c>
      <c r="G555" s="14" t="str">
        <f>VLOOKUP(tab_Geral[[#This Row],[GeoCodigo]],tab_CETESB[],2,FALSE)</f>
        <v>São João do Pau d'Alho</v>
      </c>
      <c r="H555" s="14" t="str">
        <f>VLOOKUP(tab_Geral[[#This Row],[Informação 3]],tab_AgênciaAmbiental,10,FALSE)</f>
        <v>13</v>
      </c>
      <c r="I555" s="14" t="s">
        <v>553</v>
      </c>
      <c r="J555" s="18" t="s">
        <v>553</v>
      </c>
      <c r="K555" s="17"/>
      <c r="L555" s="17" t="s">
        <v>1894</v>
      </c>
      <c r="M555" s="17" t="s">
        <v>656</v>
      </c>
      <c r="N555" s="17" t="s">
        <v>657</v>
      </c>
      <c r="O555" s="17" t="s">
        <v>658</v>
      </c>
      <c r="P555" s="17" t="s">
        <v>659</v>
      </c>
      <c r="Q555" s="17" t="s">
        <v>660</v>
      </c>
      <c r="R555" s="17" t="s">
        <v>661</v>
      </c>
      <c r="S555" s="19" t="s">
        <v>662</v>
      </c>
      <c r="T555" s="15"/>
    </row>
    <row r="556" spans="1:20" x14ac:dyDescent="0.25">
      <c r="A556" s="14">
        <v>539</v>
      </c>
      <c r="B556" s="14">
        <v>3549409</v>
      </c>
      <c r="C556" s="14" t="str">
        <f>IF(ISERR(FIND("-",tab_Geral[[#This Row],[Municípios]],1)),"","Têm Hifen")</f>
        <v/>
      </c>
      <c r="D556" s="14" t="str">
        <f>IF(tab_Geral[[#This Row],[Informação 3]]&lt;&gt;"","","Não Registrado")</f>
        <v/>
      </c>
      <c r="E556" s="14" t="str">
        <f>IF(tab_Geral[[#This Row],[Municípios]]=tab_Geral[[#This Row],[Informação 1]],"","Não!, Erro!")</f>
        <v/>
      </c>
      <c r="F556" s="14" t="str">
        <f>IF(tab_Geral[[#This Row],[Municípios]]=tab_Geral[[#This Row],[Município]],"","Não!, Erro!")</f>
        <v/>
      </c>
      <c r="G556" s="14" t="str">
        <f>VLOOKUP(tab_Geral[[#This Row],[GeoCodigo]],tab_CETESB[],2,FALSE)</f>
        <v>São Joaquim da Barra</v>
      </c>
      <c r="H556" s="14" t="str">
        <f>VLOOKUP(tab_Geral[[#This Row],[Informação 3]],tab_AgênciaAmbiental,10,FALSE)</f>
        <v>31</v>
      </c>
      <c r="I556" s="14" t="s">
        <v>554</v>
      </c>
      <c r="J556" s="18" t="s">
        <v>554</v>
      </c>
      <c r="K556" s="17"/>
      <c r="L556" s="17" t="s">
        <v>1912</v>
      </c>
      <c r="M556" s="17" t="s">
        <v>720</v>
      </c>
      <c r="N556" s="17" t="s">
        <v>721</v>
      </c>
      <c r="O556" s="17" t="s">
        <v>722</v>
      </c>
      <c r="P556" s="17" t="s">
        <v>723</v>
      </c>
      <c r="Q556" s="17" t="s">
        <v>724</v>
      </c>
      <c r="R556" s="17" t="s">
        <v>725</v>
      </c>
      <c r="S556" s="17" t="s">
        <v>726</v>
      </c>
      <c r="T556" s="15"/>
    </row>
    <row r="557" spans="1:20" x14ac:dyDescent="0.25">
      <c r="A557" s="14">
        <v>540</v>
      </c>
      <c r="B557" s="14">
        <v>3549508</v>
      </c>
      <c r="C557" s="14" t="str">
        <f>IF(ISERR(FIND("-",tab_Geral[[#This Row],[Municípios]],1)),"","Têm Hifen")</f>
        <v/>
      </c>
      <c r="D557" s="14" t="str">
        <f>IF(tab_Geral[[#This Row],[Informação 3]]&lt;&gt;"","","Não Registrado")</f>
        <v/>
      </c>
      <c r="E557" s="14" t="str">
        <f>IF(tab_Geral[[#This Row],[Municípios]]=tab_Geral[[#This Row],[Informação 1]],"","Não!, Erro!")</f>
        <v/>
      </c>
      <c r="F557" s="14" t="str">
        <f>IF(tab_Geral[[#This Row],[Municípios]]=tab_Geral[[#This Row],[Município]],"","Não!, Erro!")</f>
        <v/>
      </c>
      <c r="G557" s="14" t="str">
        <f>VLOOKUP(tab_Geral[[#This Row],[GeoCodigo]],tab_CETESB[],2,FALSE)</f>
        <v>São José da Bela Vista</v>
      </c>
      <c r="H557" s="14" t="str">
        <f>VLOOKUP(tab_Geral[[#This Row],[Informação 3]],tab_AgênciaAmbiental,10,FALSE)</f>
        <v>15</v>
      </c>
      <c r="I557" s="14" t="s">
        <v>555</v>
      </c>
      <c r="J557" s="18" t="s">
        <v>555</v>
      </c>
      <c r="K557" s="17"/>
      <c r="L557" s="17" t="s">
        <v>1896</v>
      </c>
      <c r="M557" s="17" t="s">
        <v>809</v>
      </c>
      <c r="N557" s="17" t="s">
        <v>810</v>
      </c>
      <c r="O557" s="17" t="s">
        <v>811</v>
      </c>
      <c r="P557" s="17" t="s">
        <v>812</v>
      </c>
      <c r="Q557" s="17" t="s">
        <v>813</v>
      </c>
      <c r="R557" s="17" t="s">
        <v>814</v>
      </c>
      <c r="S557" s="17" t="s">
        <v>815</v>
      </c>
      <c r="T557" s="15"/>
    </row>
    <row r="558" spans="1:20" x14ac:dyDescent="0.25">
      <c r="A558" s="14">
        <v>541</v>
      </c>
      <c r="B558" s="14">
        <v>3549607</v>
      </c>
      <c r="C558" s="14" t="str">
        <f>IF(ISERR(FIND("-",tab_Geral[[#This Row],[Municípios]],1)),"","Têm Hifen")</f>
        <v/>
      </c>
      <c r="D558" s="14" t="str">
        <f>IF(tab_Geral[[#This Row],[Informação 3]]&lt;&gt;"","","Não Registrado")</f>
        <v/>
      </c>
      <c r="E558" s="14" t="str">
        <f>IF(tab_Geral[[#This Row],[Municípios]]=tab_Geral[[#This Row],[Informação 1]],"","Não!, Erro!")</f>
        <v/>
      </c>
      <c r="F558" s="14" t="str">
        <f>IF(tab_Geral[[#This Row],[Municípios]]=tab_Geral[[#This Row],[Município]],"","Não!, Erro!")</f>
        <v/>
      </c>
      <c r="G558" s="14" t="str">
        <f>VLOOKUP(tab_Geral[[#This Row],[GeoCodigo]],tab_CETESB[],2,FALSE)</f>
        <v>São José do Barreiro</v>
      </c>
      <c r="H558" s="14" t="str">
        <f>VLOOKUP(tab_Geral[[#This Row],[Informação 3]],tab_AgênciaAmbiental,10,FALSE)</f>
        <v>40</v>
      </c>
      <c r="I558" s="14" t="s">
        <v>556</v>
      </c>
      <c r="J558" s="18" t="s">
        <v>556</v>
      </c>
      <c r="K558" s="17"/>
      <c r="L558" s="17" t="s">
        <v>1921</v>
      </c>
      <c r="M558" s="17" t="s">
        <v>781</v>
      </c>
      <c r="N558" s="17" t="s">
        <v>782</v>
      </c>
      <c r="O558" s="17" t="s">
        <v>783</v>
      </c>
      <c r="P558" s="17" t="s">
        <v>784</v>
      </c>
      <c r="Q558" s="17" t="s">
        <v>785</v>
      </c>
      <c r="R558" s="17" t="s">
        <v>786</v>
      </c>
      <c r="S558" s="17" t="s">
        <v>787</v>
      </c>
      <c r="T558" s="15"/>
    </row>
    <row r="559" spans="1:20" x14ac:dyDescent="0.25">
      <c r="A559" s="14">
        <v>542</v>
      </c>
      <c r="B559" s="14">
        <v>3549706</v>
      </c>
      <c r="C559" s="14" t="str">
        <f>IF(ISERR(FIND("-",tab_Geral[[#This Row],[Municípios]],1)),"","Têm Hifen")</f>
        <v/>
      </c>
      <c r="D559" s="14" t="str">
        <f>IF(tab_Geral[[#This Row],[Informação 3]]&lt;&gt;"","","Não Registrado")</f>
        <v/>
      </c>
      <c r="E559" s="14" t="str">
        <f>IF(tab_Geral[[#This Row],[Municípios]]=tab_Geral[[#This Row],[Informação 1]],"","Não!, Erro!")</f>
        <v/>
      </c>
      <c r="F559" s="14" t="str">
        <f>IF(tab_Geral[[#This Row],[Municípios]]=tab_Geral[[#This Row],[Município]],"","Não!, Erro!")</f>
        <v/>
      </c>
      <c r="G559" s="14" t="str">
        <f>VLOOKUP(tab_Geral[[#This Row],[GeoCodigo]],tab_CETESB[],2,FALSE)</f>
        <v>São José do Rio Pardo</v>
      </c>
      <c r="H559" s="14" t="str">
        <f>VLOOKUP(tab_Geral[[#This Row],[Informação 3]],tab_AgênciaAmbiental,10,FALSE)</f>
        <v>35</v>
      </c>
      <c r="I559" s="14" t="s">
        <v>557</v>
      </c>
      <c r="J559" s="18" t="s">
        <v>557</v>
      </c>
      <c r="K559" s="17"/>
      <c r="L559" s="17" t="s">
        <v>1916</v>
      </c>
      <c r="M559" s="17" t="s">
        <v>676</v>
      </c>
      <c r="N559" s="17" t="s">
        <v>657</v>
      </c>
      <c r="O559" s="17" t="s">
        <v>677</v>
      </c>
      <c r="P559" s="17" t="s">
        <v>678</v>
      </c>
      <c r="Q559" s="17" t="s">
        <v>679</v>
      </c>
      <c r="R559" s="17" t="s">
        <v>680</v>
      </c>
      <c r="S559" s="17" t="s">
        <v>937</v>
      </c>
    </row>
    <row r="560" spans="1:20" x14ac:dyDescent="0.25">
      <c r="A560" s="14">
        <v>543</v>
      </c>
      <c r="B560" s="14">
        <v>3549805</v>
      </c>
      <c r="C560" s="14" t="str">
        <f>IF(ISERR(FIND("-",tab_Geral[[#This Row],[Municípios]],1)),"","Têm Hifen")</f>
        <v/>
      </c>
      <c r="D560" s="14" t="str">
        <f>IF(tab_Geral[[#This Row],[Informação 3]]&lt;&gt;"","","Não Registrado")</f>
        <v/>
      </c>
      <c r="E560" s="14" t="str">
        <f>IF(tab_Geral[[#This Row],[Municípios]]=tab_Geral[[#This Row],[Informação 1]],"","Não!, Erro!")</f>
        <v/>
      </c>
      <c r="F560" s="14" t="str">
        <f>IF(tab_Geral[[#This Row],[Municípios]]=tab_Geral[[#This Row],[Município]],"","Não!, Erro!")</f>
        <v/>
      </c>
      <c r="G560" s="14" t="str">
        <f>VLOOKUP(tab_Geral[[#This Row],[GeoCodigo]],tab_CETESB[],2,FALSE)</f>
        <v>São José do Rio Preto</v>
      </c>
      <c r="H560" s="14" t="str">
        <f>VLOOKUP(tab_Geral[[#This Row],[Informação 3]],tab_AgênciaAmbiental,10,FALSE)</f>
        <v>36</v>
      </c>
      <c r="I560" s="14" t="s">
        <v>558</v>
      </c>
      <c r="J560" s="18" t="s">
        <v>558</v>
      </c>
      <c r="K560" s="17"/>
      <c r="L560" s="17" t="s">
        <v>1917</v>
      </c>
      <c r="M560" s="17" t="s">
        <v>663</v>
      </c>
      <c r="N560" s="17" t="s">
        <v>664</v>
      </c>
      <c r="O560" s="17" t="s">
        <v>665</v>
      </c>
      <c r="P560" s="17" t="s">
        <v>666</v>
      </c>
      <c r="Q560" s="17" t="s">
        <v>667</v>
      </c>
      <c r="R560" s="17" t="s">
        <v>668</v>
      </c>
      <c r="S560" s="17" t="s">
        <v>938</v>
      </c>
    </row>
    <row r="561" spans="1:20" x14ac:dyDescent="0.25">
      <c r="A561" s="14">
        <v>544</v>
      </c>
      <c r="B561" s="14">
        <v>3549904</v>
      </c>
      <c r="C561" s="14" t="str">
        <f>IF(ISERR(FIND("-",tab_Geral[[#This Row],[Municípios]],1)),"","Têm Hifen")</f>
        <v/>
      </c>
      <c r="D561" s="14" t="str">
        <f>IF(tab_Geral[[#This Row],[Informação 3]]&lt;&gt;"","","Não Registrado")</f>
        <v/>
      </c>
      <c r="E561" s="14" t="str">
        <f>IF(tab_Geral[[#This Row],[Municípios]]=tab_Geral[[#This Row],[Informação 1]],"","Não!, Erro!")</f>
        <v/>
      </c>
      <c r="F561" s="14" t="str">
        <f>IF(tab_Geral[[#This Row],[Municípios]]=tab_Geral[[#This Row],[Município]],"","Não!, Erro!")</f>
        <v/>
      </c>
      <c r="G561" s="14" t="str">
        <f>VLOOKUP(tab_Geral[[#This Row],[GeoCodigo]],tab_CETESB[],2,FALSE)</f>
        <v>São José dos Campos</v>
      </c>
      <c r="H561" s="14" t="str">
        <f>VLOOKUP(tab_Geral[[#This Row],[Informação 3]],tab_AgênciaAmbiental,10,FALSE)</f>
        <v>37</v>
      </c>
      <c r="I561" s="14" t="s">
        <v>559</v>
      </c>
      <c r="J561" s="18" t="s">
        <v>559</v>
      </c>
      <c r="K561" s="17"/>
      <c r="L561" s="17" t="s">
        <v>1918</v>
      </c>
      <c r="M561" s="17" t="s">
        <v>891</v>
      </c>
      <c r="N561" s="17" t="s">
        <v>892</v>
      </c>
      <c r="O561" s="17" t="s">
        <v>893</v>
      </c>
      <c r="P561" s="17" t="s">
        <v>894</v>
      </c>
      <c r="Q561" s="17" t="s">
        <v>895</v>
      </c>
      <c r="R561" s="17" t="s">
        <v>896</v>
      </c>
      <c r="S561" s="17" t="s">
        <v>897</v>
      </c>
      <c r="T561" s="15"/>
    </row>
    <row r="562" spans="1:20" x14ac:dyDescent="0.25">
      <c r="A562" s="14">
        <v>545</v>
      </c>
      <c r="B562" s="14">
        <v>3549953</v>
      </c>
      <c r="C562" s="14" t="str">
        <f>IF(ISERR(FIND("-",tab_Geral[[#This Row],[Municípios]],1)),"","Têm Hifen")</f>
        <v/>
      </c>
      <c r="D562" s="14" t="str">
        <f>IF(tab_Geral[[#This Row],[Informação 3]]&lt;&gt;"","","Não Registrado")</f>
        <v/>
      </c>
      <c r="E562" s="14" t="str">
        <f>IF(tab_Geral[[#This Row],[Municípios]]=tab_Geral[[#This Row],[Informação 1]],"","Não!, Erro!")</f>
        <v/>
      </c>
      <c r="F562" s="14" t="str">
        <f>IF(tab_Geral[[#This Row],[Municípios]]=tab_Geral[[#This Row],[Município]],"","Não!, Erro!")</f>
        <v/>
      </c>
      <c r="G562" s="14" t="str">
        <f>VLOOKUP(tab_Geral[[#This Row],[GeoCodigo]],tab_CETESB[],2,FALSE)</f>
        <v>São Lourenço da Serra</v>
      </c>
      <c r="H562" s="14" t="str">
        <f>VLOOKUP(tab_Geral[[#This Row],[Informação 3]],tab_AgênciaAmbiental,10,FALSE)</f>
        <v>14</v>
      </c>
      <c r="I562" s="14" t="s">
        <v>560</v>
      </c>
      <c r="J562" s="18" t="s">
        <v>560</v>
      </c>
      <c r="K562" s="17"/>
      <c r="L562" s="17" t="s">
        <v>1895</v>
      </c>
      <c r="M562" s="17" t="s">
        <v>912</v>
      </c>
      <c r="N562" s="17" t="s">
        <v>913</v>
      </c>
      <c r="O562" s="17" t="s">
        <v>914</v>
      </c>
      <c r="P562" s="17" t="s">
        <v>915</v>
      </c>
      <c r="Q562" s="17" t="s">
        <v>916</v>
      </c>
      <c r="R562" s="17" t="s">
        <v>917</v>
      </c>
      <c r="S562" s="17" t="s">
        <v>918</v>
      </c>
      <c r="T562" s="15"/>
    </row>
    <row r="563" spans="1:20" x14ac:dyDescent="0.25">
      <c r="A563" s="14">
        <v>546</v>
      </c>
      <c r="B563" s="14">
        <v>3550001</v>
      </c>
      <c r="C563" s="14" t="str">
        <f>IF(ISERR(FIND("-",tab_Geral[[#This Row],[Municípios]],1)),"","Têm Hifen")</f>
        <v/>
      </c>
      <c r="D563" s="14" t="str">
        <f>IF(tab_Geral[[#This Row],[Informação 3]]&lt;&gt;"","","Não Registrado")</f>
        <v/>
      </c>
      <c r="E563" s="14" t="str">
        <f>IF(tab_Geral[[#This Row],[Municípios]]=tab_Geral[[#This Row],[Informação 1]],"","Não!, Erro!")</f>
        <v/>
      </c>
      <c r="F563" s="14" t="str">
        <f>IF(tab_Geral[[#This Row],[Municípios]]=tab_Geral[[#This Row],[Município]],"","Não!, Erro!")</f>
        <v/>
      </c>
      <c r="G563" s="14" t="str">
        <f>VLOOKUP(tab_Geral[[#This Row],[GeoCodigo]],tab_CETESB[],2,FALSE)</f>
        <v>São Luís do Paraitinga</v>
      </c>
      <c r="H563" s="14" t="str">
        <f>VLOOKUP(tab_Geral[[#This Row],[Informação 3]],tab_AgênciaAmbiental,10,FALSE)</f>
        <v>40</v>
      </c>
      <c r="I563" s="14" t="s">
        <v>561</v>
      </c>
      <c r="J563" s="18" t="s">
        <v>561</v>
      </c>
      <c r="K563" s="17"/>
      <c r="L563" s="17" t="s">
        <v>1921</v>
      </c>
      <c r="M563" s="17" t="s">
        <v>781</v>
      </c>
      <c r="N563" s="17" t="s">
        <v>782</v>
      </c>
      <c r="O563" s="17" t="s">
        <v>783</v>
      </c>
      <c r="P563" s="17" t="s">
        <v>784</v>
      </c>
      <c r="Q563" s="17" t="s">
        <v>785</v>
      </c>
      <c r="R563" s="17" t="s">
        <v>786</v>
      </c>
      <c r="S563" s="17" t="s">
        <v>787</v>
      </c>
      <c r="T563" s="15"/>
    </row>
    <row r="564" spans="1:20" x14ac:dyDescent="0.25">
      <c r="A564" s="14">
        <v>547</v>
      </c>
      <c r="B564" s="14">
        <v>3550100</v>
      </c>
      <c r="C564" s="14" t="str">
        <f>IF(ISERR(FIND("-",tab_Geral[[#This Row],[Municípios]],1)),"","Têm Hifen")</f>
        <v/>
      </c>
      <c r="D564" s="14" t="str">
        <f>IF(tab_Geral[[#This Row],[Informação 3]]&lt;&gt;"","","Não Registrado")</f>
        <v/>
      </c>
      <c r="E564" s="14" t="str">
        <f>IF(tab_Geral[[#This Row],[Municípios]]=tab_Geral[[#This Row],[Informação 1]],"","Não!, Erro!")</f>
        <v/>
      </c>
      <c r="F564" s="14" t="str">
        <f>IF(tab_Geral[[#This Row],[Municípios]]=tab_Geral[[#This Row],[Município]],"","Não!, Erro!")</f>
        <v/>
      </c>
      <c r="G564" s="14" t="str">
        <f>VLOOKUP(tab_Geral[[#This Row],[GeoCodigo]],tab_CETESB[],2,FALSE)</f>
        <v>São Manuel</v>
      </c>
      <c r="H564" s="14" t="str">
        <f>VLOOKUP(tab_Geral[[#This Row],[Informação 3]],tab_AgênciaAmbiental,10,FALSE)</f>
        <v>9</v>
      </c>
      <c r="I564" s="14" t="s">
        <v>562</v>
      </c>
      <c r="J564" s="18" t="s">
        <v>562</v>
      </c>
      <c r="K564" s="17"/>
      <c r="L564" s="17" t="s">
        <v>1890</v>
      </c>
      <c r="M564" s="17" t="s">
        <v>774</v>
      </c>
      <c r="N564" s="17" t="s">
        <v>775</v>
      </c>
      <c r="O564" s="17" t="s">
        <v>776</v>
      </c>
      <c r="P564" s="17" t="s">
        <v>777</v>
      </c>
      <c r="Q564" s="17" t="s">
        <v>778</v>
      </c>
      <c r="R564" s="17" t="s">
        <v>779</v>
      </c>
      <c r="S564" s="17" t="s">
        <v>780</v>
      </c>
      <c r="T564" s="15"/>
    </row>
    <row r="565" spans="1:20" x14ac:dyDescent="0.25">
      <c r="A565" s="14">
        <v>548</v>
      </c>
      <c r="B565" s="14">
        <v>3550209</v>
      </c>
      <c r="C565" s="14" t="str">
        <f>IF(ISERR(FIND("-",tab_Geral[[#This Row],[Municípios]],1)),"","Têm Hifen")</f>
        <v/>
      </c>
      <c r="D565" s="14" t="str">
        <f>IF(tab_Geral[[#This Row],[Informação 3]]&lt;&gt;"","","Não Registrado")</f>
        <v/>
      </c>
      <c r="E565" s="14" t="str">
        <f>IF(tab_Geral[[#This Row],[Municípios]]=tab_Geral[[#This Row],[Informação 1]],"","Não!, Erro!")</f>
        <v/>
      </c>
      <c r="F565" s="14" t="str">
        <f>IF(tab_Geral[[#This Row],[Municípios]]=tab_Geral[[#This Row],[Município]],"","Não!, Erro!")</f>
        <v/>
      </c>
      <c r="G565" s="14" t="str">
        <f>VLOOKUP(tab_Geral[[#This Row],[GeoCodigo]],tab_CETESB[],2,FALSE)</f>
        <v>São Miguel Arcanjo</v>
      </c>
      <c r="H565" s="14" t="str">
        <f>VLOOKUP(tab_Geral[[#This Row],[Informação 3]],tab_AgênciaAmbiental,10,FALSE)</f>
        <v>17</v>
      </c>
      <c r="I565" s="14" t="s">
        <v>563</v>
      </c>
      <c r="J565" s="18" t="s">
        <v>563</v>
      </c>
      <c r="K565" s="17"/>
      <c r="L565" s="17" t="s">
        <v>1898</v>
      </c>
      <c r="M565" s="17" t="s">
        <v>701</v>
      </c>
      <c r="N565" s="17" t="s">
        <v>657</v>
      </c>
      <c r="O565" s="17" t="s">
        <v>702</v>
      </c>
      <c r="P565" s="17" t="s">
        <v>703</v>
      </c>
      <c r="Q565" s="17" t="s">
        <v>704</v>
      </c>
      <c r="R565" s="17" t="s">
        <v>705</v>
      </c>
      <c r="S565" s="17" t="s">
        <v>706</v>
      </c>
      <c r="T565" s="15"/>
    </row>
    <row r="566" spans="1:20" x14ac:dyDescent="0.25">
      <c r="A566" s="14">
        <v>641</v>
      </c>
      <c r="B566" s="14">
        <v>3550308</v>
      </c>
      <c r="C566" s="14" t="str">
        <f>IF(ISERR(FIND("-",tab_Geral[[#This Row],[Municípios]],1)),"","Têm Hifen")</f>
        <v/>
      </c>
      <c r="D566" s="14" t="str">
        <f>IF(tab_Geral[[#This Row],[Informação 3]]&lt;&gt;"","","Não Registrado")</f>
        <v>Não Registrado</v>
      </c>
      <c r="E566" s="14" t="str">
        <f>IF(tab_Geral[[#This Row],[Municípios]]=tab_Geral[[#This Row],[Informação 1]],"","Não!, Erro!")</f>
        <v/>
      </c>
      <c r="F566" s="14" t="str">
        <f>IF(tab_Geral[[#This Row],[Municípios]]=tab_Geral[[#This Row],[Município]],"","Não!, Erro!")</f>
        <v>Não!, Erro!</v>
      </c>
      <c r="G566" s="14" t="str">
        <f>VLOOKUP(tab_Geral[[#This Row],[GeoCodigo]],tab_CETESB[],2,FALSE)</f>
        <v>São Paulo</v>
      </c>
      <c r="H566" s="14" t="e">
        <f>VLOOKUP(tab_Geral[[#This Row],[Informação 3]],tab_AgênciaAmbiental,10,FALSE)</f>
        <v>#N/A</v>
      </c>
      <c r="J566" s="18"/>
      <c r="K566" s="17"/>
      <c r="L566" s="17" t="s">
        <v>1925</v>
      </c>
      <c r="M566" s="17"/>
      <c r="N566" s="17"/>
      <c r="O566" s="17"/>
      <c r="P566" s="17"/>
      <c r="Q566" s="17"/>
      <c r="R566" s="17"/>
      <c r="S566" s="19"/>
    </row>
    <row r="567" spans="1:20" x14ac:dyDescent="0.25">
      <c r="A567" s="14">
        <v>549</v>
      </c>
      <c r="B567" s="14">
        <v>3550407</v>
      </c>
      <c r="C567" s="14" t="str">
        <f>IF(ISERR(FIND("-",tab_Geral[[#This Row],[Municípios]],1)),"","Têm Hifen")</f>
        <v/>
      </c>
      <c r="D567" s="14" t="str">
        <f>IF(tab_Geral[[#This Row],[Informação 3]]&lt;&gt;"","","Não Registrado")</f>
        <v/>
      </c>
      <c r="E567" s="14" t="str">
        <f>IF(tab_Geral[[#This Row],[Municípios]]=tab_Geral[[#This Row],[Informação 1]],"","Não!, Erro!")</f>
        <v/>
      </c>
      <c r="F567" s="14" t="str">
        <f>IF(tab_Geral[[#This Row],[Municípios]]=tab_Geral[[#This Row],[Município]],"","Não!, Erro!")</f>
        <v/>
      </c>
      <c r="G567" s="14" t="str">
        <f>VLOOKUP(tab_Geral[[#This Row],[GeoCodigo]],tab_CETESB[],2,FALSE)</f>
        <v>São Pedro</v>
      </c>
      <c r="H567" s="14" t="str">
        <f>VLOOKUP(tab_Geral[[#This Row],[Informação 3]],tab_AgênciaAmbiental,10,FALSE)</f>
        <v>28</v>
      </c>
      <c r="I567" s="14" t="s">
        <v>564</v>
      </c>
      <c r="J567" s="18" t="s">
        <v>564</v>
      </c>
      <c r="K567" s="17"/>
      <c r="L567" s="17" t="s">
        <v>1909</v>
      </c>
      <c r="M567" s="17" t="s">
        <v>688</v>
      </c>
      <c r="N567" s="17" t="s">
        <v>657</v>
      </c>
      <c r="O567" s="17" t="s">
        <v>689</v>
      </c>
      <c r="P567" s="17" t="s">
        <v>690</v>
      </c>
      <c r="Q567" s="17" t="s">
        <v>691</v>
      </c>
      <c r="R567" s="17" t="s">
        <v>692</v>
      </c>
      <c r="S567" s="17" t="s">
        <v>693</v>
      </c>
    </row>
    <row r="568" spans="1:20" x14ac:dyDescent="0.25">
      <c r="A568" s="14">
        <v>550</v>
      </c>
      <c r="B568" s="14">
        <v>3550506</v>
      </c>
      <c r="C568" s="14" t="str">
        <f>IF(ISERR(FIND("-",tab_Geral[[#This Row],[Municípios]],1)),"","Têm Hifen")</f>
        <v/>
      </c>
      <c r="D568" s="14" t="str">
        <f>IF(tab_Geral[[#This Row],[Informação 3]]&lt;&gt;"","","Não Registrado")</f>
        <v/>
      </c>
      <c r="E568" s="14" t="str">
        <f>IF(tab_Geral[[#This Row],[Municípios]]=tab_Geral[[#This Row],[Informação 1]],"","Não!, Erro!")</f>
        <v/>
      </c>
      <c r="F568" s="14" t="str">
        <f>IF(tab_Geral[[#This Row],[Municípios]]=tab_Geral[[#This Row],[Município]],"","Não!, Erro!")</f>
        <v/>
      </c>
      <c r="G568" s="14" t="str">
        <f>VLOOKUP(tab_Geral[[#This Row],[GeoCodigo]],tab_CETESB[],2,FALSE)</f>
        <v>São Pedro do Turvo</v>
      </c>
      <c r="H568" s="14" t="str">
        <f>VLOOKUP(tab_Geral[[#This Row],[Informação 3]],tab_AgênciaAmbiental,10,FALSE)</f>
        <v>4</v>
      </c>
      <c r="I568" s="14" t="s">
        <v>565</v>
      </c>
      <c r="J568" s="18" t="s">
        <v>565</v>
      </c>
      <c r="K568" s="17"/>
      <c r="L568" s="17" t="s">
        <v>1885</v>
      </c>
      <c r="M568" s="17" t="s">
        <v>830</v>
      </c>
      <c r="N568" s="17" t="s">
        <v>831</v>
      </c>
      <c r="O568" s="17" t="s">
        <v>832</v>
      </c>
      <c r="P568" s="17" t="s">
        <v>833</v>
      </c>
      <c r="Q568" s="17" t="s">
        <v>834</v>
      </c>
      <c r="R568" s="17" t="s">
        <v>835</v>
      </c>
      <c r="S568" s="17" t="s">
        <v>836</v>
      </c>
    </row>
    <row r="569" spans="1:20" x14ac:dyDescent="0.25">
      <c r="A569" s="14">
        <v>551</v>
      </c>
      <c r="B569" s="14">
        <v>3550605</v>
      </c>
      <c r="C569" s="14" t="str">
        <f>IF(ISERR(FIND("-",tab_Geral[[#This Row],[Municípios]],1)),"","Têm Hifen")</f>
        <v/>
      </c>
      <c r="D569" s="14" t="str">
        <f>IF(tab_Geral[[#This Row],[Informação 3]]&lt;&gt;"","","Não Registrado")</f>
        <v/>
      </c>
      <c r="E569" s="14" t="str">
        <f>IF(tab_Geral[[#This Row],[Municípios]]=tab_Geral[[#This Row],[Informação 1]],"","Não!, Erro!")</f>
        <v/>
      </c>
      <c r="F569" s="14" t="str">
        <f>IF(tab_Geral[[#This Row],[Municípios]]=tab_Geral[[#This Row],[Município]],"","Não!, Erro!")</f>
        <v/>
      </c>
      <c r="G569" s="14" t="str">
        <f>VLOOKUP(tab_Geral[[#This Row],[GeoCodigo]],tab_CETESB[],2,FALSE)</f>
        <v>São Roque</v>
      </c>
      <c r="H569" s="14" t="str">
        <f>VLOOKUP(tab_Geral[[#This Row],[Informação 3]],tab_AgênciaAmbiental,10,FALSE)</f>
        <v>18</v>
      </c>
      <c r="I569" s="14" t="s">
        <v>566</v>
      </c>
      <c r="J569" s="18" t="s">
        <v>566</v>
      </c>
      <c r="K569" s="17"/>
      <c r="L569" s="17" t="s">
        <v>1899</v>
      </c>
      <c r="M569" s="17" t="s">
        <v>733</v>
      </c>
      <c r="N569" s="17" t="s">
        <v>657</v>
      </c>
      <c r="O569" s="17" t="s">
        <v>734</v>
      </c>
      <c r="P569" s="17" t="s">
        <v>735</v>
      </c>
      <c r="Q569" s="17" t="s">
        <v>736</v>
      </c>
      <c r="R569" s="17" t="s">
        <v>737</v>
      </c>
      <c r="S569" s="17" t="s">
        <v>738</v>
      </c>
    </row>
    <row r="570" spans="1:20" x14ac:dyDescent="0.25">
      <c r="A570" s="14">
        <v>552</v>
      </c>
      <c r="B570" s="14">
        <v>3550704</v>
      </c>
      <c r="C570" s="14" t="str">
        <f>IF(ISERR(FIND("-",tab_Geral[[#This Row],[Municípios]],1)),"","Têm Hifen")</f>
        <v/>
      </c>
      <c r="D570" s="14" t="str">
        <f>IF(tab_Geral[[#This Row],[Informação 3]]&lt;&gt;"","","Não Registrado")</f>
        <v/>
      </c>
      <c r="E570" s="14" t="str">
        <f>IF(tab_Geral[[#This Row],[Municípios]]=tab_Geral[[#This Row],[Informação 1]],"","Não!, Erro!")</f>
        <v/>
      </c>
      <c r="F570" s="14" t="str">
        <f>IF(tab_Geral[[#This Row],[Municípios]]=tab_Geral[[#This Row],[Município]],"","Não!, Erro!")</f>
        <v/>
      </c>
      <c r="G570" s="14" t="str">
        <f>VLOOKUP(tab_Geral[[#This Row],[GeoCodigo]],tab_CETESB[],2,FALSE)</f>
        <v>São Sebastião</v>
      </c>
      <c r="H570" s="14" t="str">
        <f>VLOOKUP(tab_Geral[[#This Row],[Informação 3]],tab_AgênciaAmbiental,10,FALSE)</f>
        <v>38</v>
      </c>
      <c r="I570" s="14" t="s">
        <v>567</v>
      </c>
      <c r="J570" s="18" t="s">
        <v>567</v>
      </c>
      <c r="K570" s="17"/>
      <c r="L570" s="17" t="s">
        <v>1919</v>
      </c>
      <c r="M570" s="17" t="s">
        <v>905</v>
      </c>
      <c r="N570" s="17" t="s">
        <v>906</v>
      </c>
      <c r="O570" s="17" t="s">
        <v>907</v>
      </c>
      <c r="P570" s="17" t="s">
        <v>908</v>
      </c>
      <c r="Q570" s="17" t="s">
        <v>909</v>
      </c>
      <c r="R570" s="17" t="s">
        <v>910</v>
      </c>
      <c r="S570" s="17" t="s">
        <v>911</v>
      </c>
    </row>
    <row r="571" spans="1:20" x14ac:dyDescent="0.25">
      <c r="A571" s="14">
        <v>553</v>
      </c>
      <c r="B571" s="14">
        <v>3550803</v>
      </c>
      <c r="C571" s="14" t="str">
        <f>IF(ISERR(FIND("-",tab_Geral[[#This Row],[Municípios]],1)),"","Têm Hifen")</f>
        <v/>
      </c>
      <c r="D571" s="14" t="str">
        <f>IF(tab_Geral[[#This Row],[Informação 3]]&lt;&gt;"","","Não Registrado")</f>
        <v/>
      </c>
      <c r="E571" s="14" t="str">
        <f>IF(tab_Geral[[#This Row],[Municípios]]=tab_Geral[[#This Row],[Informação 1]],"","Não!, Erro!")</f>
        <v/>
      </c>
      <c r="F571" s="14" t="str">
        <f>IF(tab_Geral[[#This Row],[Municípios]]=tab_Geral[[#This Row],[Município]],"","Não!, Erro!")</f>
        <v/>
      </c>
      <c r="G571" s="14" t="str">
        <f>VLOOKUP(tab_Geral[[#This Row],[GeoCodigo]],tab_CETESB[],2,FALSE)</f>
        <v>São Sebastião da Grama</v>
      </c>
      <c r="H571" s="14" t="str">
        <f>VLOOKUP(tab_Geral[[#This Row],[Informação 3]],tab_AgênciaAmbiental,10,FALSE)</f>
        <v>35</v>
      </c>
      <c r="I571" s="14" t="s">
        <v>568</v>
      </c>
      <c r="J571" s="18" t="s">
        <v>568</v>
      </c>
      <c r="K571" s="17"/>
      <c r="L571" s="17" t="s">
        <v>1916</v>
      </c>
      <c r="M571" s="17" t="s">
        <v>676</v>
      </c>
      <c r="N571" s="17" t="s">
        <v>657</v>
      </c>
      <c r="O571" s="17" t="s">
        <v>677</v>
      </c>
      <c r="P571" s="17" t="s">
        <v>678</v>
      </c>
      <c r="Q571" s="17" t="s">
        <v>679</v>
      </c>
      <c r="R571" s="17" t="s">
        <v>680</v>
      </c>
      <c r="S571" s="17" t="s">
        <v>937</v>
      </c>
    </row>
    <row r="572" spans="1:20" x14ac:dyDescent="0.25">
      <c r="A572" s="14">
        <v>554</v>
      </c>
      <c r="B572" s="14">
        <v>3550902</v>
      </c>
      <c r="C572" s="14" t="str">
        <f>IF(ISERR(FIND("-",tab_Geral[[#This Row],[Municípios]],1)),"","Têm Hifen")</f>
        <v/>
      </c>
      <c r="D572" s="14" t="str">
        <f>IF(tab_Geral[[#This Row],[Informação 3]]&lt;&gt;"","","Não Registrado")</f>
        <v/>
      </c>
      <c r="E572" s="14" t="str">
        <f>IF(tab_Geral[[#This Row],[Municípios]]=tab_Geral[[#This Row],[Informação 1]],"","Não!, Erro!")</f>
        <v/>
      </c>
      <c r="F572" s="14" t="str">
        <f>IF(tab_Geral[[#This Row],[Municípios]]=tab_Geral[[#This Row],[Município]],"","Não!, Erro!")</f>
        <v/>
      </c>
      <c r="G572" s="14" t="str">
        <f>VLOOKUP(tab_Geral[[#This Row],[GeoCodigo]],tab_CETESB[],2,FALSE)</f>
        <v>São Simão</v>
      </c>
      <c r="H572" s="14" t="str">
        <f>VLOOKUP(tab_Geral[[#This Row],[Informação 3]],tab_AgênciaAmbiental,10,FALSE)</f>
        <v>31</v>
      </c>
      <c r="I572" s="14" t="s">
        <v>569</v>
      </c>
      <c r="J572" s="18" t="s">
        <v>569</v>
      </c>
      <c r="K572" s="17"/>
      <c r="L572" s="17" t="s">
        <v>1912</v>
      </c>
      <c r="M572" s="17" t="s">
        <v>720</v>
      </c>
      <c r="N572" s="17" t="s">
        <v>721</v>
      </c>
      <c r="O572" s="17" t="s">
        <v>722</v>
      </c>
      <c r="P572" s="17" t="s">
        <v>723</v>
      </c>
      <c r="Q572" s="17" t="s">
        <v>724</v>
      </c>
      <c r="R572" s="17" t="s">
        <v>725</v>
      </c>
      <c r="S572" s="17" t="s">
        <v>726</v>
      </c>
    </row>
    <row r="573" spans="1:20" x14ac:dyDescent="0.25">
      <c r="A573" s="14">
        <v>555</v>
      </c>
      <c r="B573" s="14">
        <v>3551009</v>
      </c>
      <c r="C573" s="14" t="str">
        <f>IF(ISERR(FIND("-",tab_Geral[[#This Row],[Municípios]],1)),"","Têm Hifen")</f>
        <v/>
      </c>
      <c r="D573" s="14" t="str">
        <f>IF(tab_Geral[[#This Row],[Informação 3]]&lt;&gt;"","","Não Registrado")</f>
        <v/>
      </c>
      <c r="E573" s="14" t="str">
        <f>IF(tab_Geral[[#This Row],[Municípios]]=tab_Geral[[#This Row],[Informação 1]],"","Não!, Erro!")</f>
        <v/>
      </c>
      <c r="F573" s="14" t="str">
        <f>IF(tab_Geral[[#This Row],[Municípios]]=tab_Geral[[#This Row],[Município]],"","Não!, Erro!")</f>
        <v/>
      </c>
      <c r="G573" s="14" t="str">
        <f>VLOOKUP(tab_Geral[[#This Row],[GeoCodigo]],tab_CETESB[],2,FALSE)</f>
        <v>São Vicente</v>
      </c>
      <c r="H573" s="14" t="str">
        <f>VLOOKUP(tab_Geral[[#This Row],[Informação 3]],tab_AgênciaAmbiental,10,FALSE)</f>
        <v>33</v>
      </c>
      <c r="I573" s="14" t="s">
        <v>570</v>
      </c>
      <c r="J573" s="18" t="s">
        <v>570</v>
      </c>
      <c r="K573" s="17"/>
      <c r="L573" s="17" t="s">
        <v>1914</v>
      </c>
      <c r="M573" s="17" t="s">
        <v>926</v>
      </c>
      <c r="N573" s="17" t="s">
        <v>927</v>
      </c>
      <c r="O573" s="17" t="s">
        <v>928</v>
      </c>
      <c r="P573" s="17" t="s">
        <v>929</v>
      </c>
      <c r="Q573" s="17" t="s">
        <v>930</v>
      </c>
      <c r="R573" s="17" t="s">
        <v>931</v>
      </c>
      <c r="S573" s="17" t="s">
        <v>932</v>
      </c>
    </row>
    <row r="574" spans="1:20" x14ac:dyDescent="0.25">
      <c r="A574" s="14">
        <v>556</v>
      </c>
      <c r="B574" s="14">
        <v>3551108</v>
      </c>
      <c r="C574" s="14" t="str">
        <f>IF(ISERR(FIND("-",tab_Geral[[#This Row],[Municípios]],1)),"","Têm Hifen")</f>
        <v/>
      </c>
      <c r="D574" s="14" t="str">
        <f>IF(tab_Geral[[#This Row],[Informação 3]]&lt;&gt;"","","Não Registrado")</f>
        <v/>
      </c>
      <c r="E574" s="14" t="str">
        <f>IF(tab_Geral[[#This Row],[Municípios]]=tab_Geral[[#This Row],[Informação 1]],"","Não!, Erro!")</f>
        <v/>
      </c>
      <c r="F574" s="14" t="str">
        <f>IF(tab_Geral[[#This Row],[Municípios]]=tab_Geral[[#This Row],[Município]],"","Não!, Erro!")</f>
        <v/>
      </c>
      <c r="G574" s="14" t="str">
        <f>VLOOKUP(tab_Geral[[#This Row],[GeoCodigo]],tab_CETESB[],2,FALSE)</f>
        <v>Sarapuí</v>
      </c>
      <c r="H574" s="14" t="str">
        <f>VLOOKUP(tab_Geral[[#This Row],[Informação 3]],tab_AgênciaAmbiental,10,FALSE)</f>
        <v>17</v>
      </c>
      <c r="I574" s="14" t="s">
        <v>571</v>
      </c>
      <c r="J574" s="18" t="s">
        <v>571</v>
      </c>
      <c r="K574" s="17"/>
      <c r="L574" s="17" t="s">
        <v>1898</v>
      </c>
      <c r="M574" s="17" t="s">
        <v>701</v>
      </c>
      <c r="N574" s="17" t="s">
        <v>657</v>
      </c>
      <c r="O574" s="17" t="s">
        <v>702</v>
      </c>
      <c r="P574" s="17" t="s">
        <v>703</v>
      </c>
      <c r="Q574" s="17" t="s">
        <v>704</v>
      </c>
      <c r="R574" s="17" t="s">
        <v>705</v>
      </c>
      <c r="S574" s="17" t="s">
        <v>706</v>
      </c>
    </row>
    <row r="575" spans="1:20" x14ac:dyDescent="0.25">
      <c r="A575" s="14">
        <v>557</v>
      </c>
      <c r="B575" s="14">
        <v>3551207</v>
      </c>
      <c r="C575" s="14" t="str">
        <f>IF(ISERR(FIND("-",tab_Geral[[#This Row],[Municípios]],1)),"","Têm Hifen")</f>
        <v/>
      </c>
      <c r="D575" s="14" t="str">
        <f>IF(tab_Geral[[#This Row],[Informação 3]]&lt;&gt;"","","Não Registrado")</f>
        <v/>
      </c>
      <c r="E575" s="14" t="str">
        <f>IF(tab_Geral[[#This Row],[Municípios]]=tab_Geral[[#This Row],[Informação 1]],"","Não!, Erro!")</f>
        <v/>
      </c>
      <c r="F575" s="14" t="str">
        <f>IF(tab_Geral[[#This Row],[Municípios]]=tab_Geral[[#This Row],[Município]],"","Não!, Erro!")</f>
        <v/>
      </c>
      <c r="G575" s="14" t="str">
        <f>VLOOKUP(tab_Geral[[#This Row],[GeoCodigo]],tab_CETESB[],2,FALSE)</f>
        <v>Sarutaiá</v>
      </c>
      <c r="H575" s="14" t="str">
        <f>VLOOKUP(tab_Geral[[#This Row],[Informação 3]],tab_AgênciaAmbiental,10,FALSE)</f>
        <v>6</v>
      </c>
      <c r="I575" s="14" t="s">
        <v>572</v>
      </c>
      <c r="J575" s="18" t="s">
        <v>572</v>
      </c>
      <c r="K575" s="17"/>
      <c r="L575" s="17" t="s">
        <v>1887</v>
      </c>
      <c r="M575" s="17" t="s">
        <v>681</v>
      </c>
      <c r="N575" s="17" t="s">
        <v>682</v>
      </c>
      <c r="O575" s="17" t="s">
        <v>683</v>
      </c>
      <c r="P575" s="17" t="s">
        <v>684</v>
      </c>
      <c r="Q575" s="17" t="s">
        <v>685</v>
      </c>
      <c r="R575" s="17" t="s">
        <v>686</v>
      </c>
      <c r="S575" s="17" t="s">
        <v>687</v>
      </c>
    </row>
    <row r="576" spans="1:20" x14ac:dyDescent="0.25">
      <c r="A576" s="14">
        <v>558</v>
      </c>
      <c r="B576" s="14">
        <v>3551306</v>
      </c>
      <c r="C576" s="14" t="str">
        <f>IF(ISERR(FIND("-",tab_Geral[[#This Row],[Municípios]],1)),"","Têm Hifen")</f>
        <v/>
      </c>
      <c r="D576" s="14" t="str">
        <f>IF(tab_Geral[[#This Row],[Informação 3]]&lt;&gt;"","","Não Registrado")</f>
        <v/>
      </c>
      <c r="E576" s="14" t="str">
        <f>IF(tab_Geral[[#This Row],[Municípios]]=tab_Geral[[#This Row],[Informação 1]],"","Não!, Erro!")</f>
        <v/>
      </c>
      <c r="F576" s="14" t="str">
        <f>IF(tab_Geral[[#This Row],[Municípios]]=tab_Geral[[#This Row],[Município]],"","Não!, Erro!")</f>
        <v/>
      </c>
      <c r="G576" s="14" t="str">
        <f>VLOOKUP(tab_Geral[[#This Row],[GeoCodigo]],tab_CETESB[],2,FALSE)</f>
        <v>Sebastianópolis do Sul</v>
      </c>
      <c r="H576" s="14" t="str">
        <f>VLOOKUP(tab_Geral[[#This Row],[Informação 3]],tab_AgênciaAmbiental,10,FALSE)</f>
        <v>41</v>
      </c>
      <c r="I576" s="14" t="s">
        <v>573</v>
      </c>
      <c r="J576" s="18" t="s">
        <v>573</v>
      </c>
      <c r="K576" s="17"/>
      <c r="L576" s="17" t="s">
        <v>1922</v>
      </c>
      <c r="M576" s="17" t="s">
        <v>739</v>
      </c>
      <c r="N576" s="17" t="s">
        <v>740</v>
      </c>
      <c r="O576" s="17" t="s">
        <v>741</v>
      </c>
      <c r="P576" s="17" t="s">
        <v>742</v>
      </c>
      <c r="Q576" s="17" t="s">
        <v>743</v>
      </c>
      <c r="R576" s="17" t="s">
        <v>744</v>
      </c>
      <c r="S576" s="17" t="s">
        <v>745</v>
      </c>
    </row>
    <row r="577" spans="1:19" x14ac:dyDescent="0.25">
      <c r="A577" s="14">
        <v>559</v>
      </c>
      <c r="B577" s="14">
        <v>3551405</v>
      </c>
      <c r="C577" s="14" t="str">
        <f>IF(ISERR(FIND("-",tab_Geral[[#This Row],[Municípios]],1)),"","Têm Hifen")</f>
        <v/>
      </c>
      <c r="D577" s="14" t="str">
        <f>IF(tab_Geral[[#This Row],[Informação 3]]&lt;&gt;"","","Não Registrado")</f>
        <v/>
      </c>
      <c r="E577" s="14" t="str">
        <f>IF(tab_Geral[[#This Row],[Municípios]]=tab_Geral[[#This Row],[Informação 1]],"","Não!, Erro!")</f>
        <v/>
      </c>
      <c r="F577" s="14" t="str">
        <f>IF(tab_Geral[[#This Row],[Municípios]]=tab_Geral[[#This Row],[Município]],"","Não!, Erro!")</f>
        <v/>
      </c>
      <c r="G577" s="14" t="str">
        <f>VLOOKUP(tab_Geral[[#This Row],[GeoCodigo]],tab_CETESB[],2,FALSE)</f>
        <v>Serra Azul</v>
      </c>
      <c r="H577" s="14" t="str">
        <f>VLOOKUP(tab_Geral[[#This Row],[Informação 3]],tab_AgênciaAmbiental,10,FALSE)</f>
        <v>31</v>
      </c>
      <c r="I577" s="14" t="s">
        <v>574</v>
      </c>
      <c r="J577" s="18" t="s">
        <v>574</v>
      </c>
      <c r="K577" s="17"/>
      <c r="L577" s="17" t="s">
        <v>1912</v>
      </c>
      <c r="M577" s="17" t="s">
        <v>720</v>
      </c>
      <c r="N577" s="17" t="s">
        <v>721</v>
      </c>
      <c r="O577" s="17" t="s">
        <v>722</v>
      </c>
      <c r="P577" s="17" t="s">
        <v>723</v>
      </c>
      <c r="Q577" s="17" t="s">
        <v>724</v>
      </c>
      <c r="R577" s="17" t="s">
        <v>725</v>
      </c>
      <c r="S577" s="17" t="s">
        <v>726</v>
      </c>
    </row>
    <row r="578" spans="1:19" x14ac:dyDescent="0.25">
      <c r="A578" s="14">
        <v>560</v>
      </c>
      <c r="B578" s="14">
        <v>3551603</v>
      </c>
      <c r="C578" s="14" t="str">
        <f>IF(ISERR(FIND("-",tab_Geral[[#This Row],[Municípios]],1)),"","Têm Hifen")</f>
        <v/>
      </c>
      <c r="D578" s="14" t="str">
        <f>IF(tab_Geral[[#This Row],[Informação 3]]&lt;&gt;"","","Não Registrado")</f>
        <v/>
      </c>
      <c r="E578" s="14" t="str">
        <f>IF(tab_Geral[[#This Row],[Municípios]]=tab_Geral[[#This Row],[Informação 1]],"","Não!, Erro!")</f>
        <v/>
      </c>
      <c r="F578" s="14" t="str">
        <f>IF(tab_Geral[[#This Row],[Municípios]]=tab_Geral[[#This Row],[Município]],"","Não!, Erro!")</f>
        <v/>
      </c>
      <c r="G578" s="14" t="str">
        <f>VLOOKUP(tab_Geral[[#This Row],[GeoCodigo]],tab_CETESB[],2,FALSE)</f>
        <v>Serra Negra</v>
      </c>
      <c r="H578" s="14" t="str">
        <f>VLOOKUP(tab_Geral[[#This Row],[Informação 3]],tab_AgênciaAmbiental,10,FALSE)</f>
        <v>25</v>
      </c>
      <c r="I578" s="14" t="s">
        <v>575</v>
      </c>
      <c r="J578" s="18" t="s">
        <v>575</v>
      </c>
      <c r="K578" s="17"/>
      <c r="L578" s="17" t="s">
        <v>1906</v>
      </c>
      <c r="M578" s="17" t="s">
        <v>669</v>
      </c>
      <c r="N578" s="17" t="s">
        <v>670</v>
      </c>
      <c r="O578" s="17" t="s">
        <v>671</v>
      </c>
      <c r="P578" s="17" t="s">
        <v>672</v>
      </c>
      <c r="Q578" s="17" t="s">
        <v>673</v>
      </c>
      <c r="R578" s="17" t="s">
        <v>674</v>
      </c>
      <c r="S578" s="17" t="s">
        <v>675</v>
      </c>
    </row>
    <row r="579" spans="1:19" x14ac:dyDescent="0.25">
      <c r="A579" s="14">
        <v>561</v>
      </c>
      <c r="B579" s="14">
        <v>3551504</v>
      </c>
      <c r="C579" s="14" t="str">
        <f>IF(ISERR(FIND("-",tab_Geral[[#This Row],[Municípios]],1)),"","Têm Hifen")</f>
        <v/>
      </c>
      <c r="D579" s="14" t="str">
        <f>IF(tab_Geral[[#This Row],[Informação 3]]&lt;&gt;"","","Não Registrado")</f>
        <v/>
      </c>
      <c r="E579" s="14" t="str">
        <f>IF(tab_Geral[[#This Row],[Municípios]]=tab_Geral[[#This Row],[Informação 1]],"","Não!, Erro!")</f>
        <v/>
      </c>
      <c r="F579" s="14" t="str">
        <f>IF(tab_Geral[[#This Row],[Municípios]]=tab_Geral[[#This Row],[Município]],"","Não!, Erro!")</f>
        <v/>
      </c>
      <c r="G579" s="14" t="str">
        <f>VLOOKUP(tab_Geral[[#This Row],[GeoCodigo]],tab_CETESB[],2,FALSE)</f>
        <v>Serrana</v>
      </c>
      <c r="H579" s="14" t="str">
        <f>VLOOKUP(tab_Geral[[#This Row],[Informação 3]],tab_AgênciaAmbiental,10,FALSE)</f>
        <v>31</v>
      </c>
      <c r="I579" s="14" t="s">
        <v>576</v>
      </c>
      <c r="J579" s="18" t="s">
        <v>576</v>
      </c>
      <c r="K579" s="17"/>
      <c r="L579" s="17" t="s">
        <v>1912</v>
      </c>
      <c r="M579" s="17" t="s">
        <v>720</v>
      </c>
      <c r="N579" s="17" t="s">
        <v>721</v>
      </c>
      <c r="O579" s="17" t="s">
        <v>722</v>
      </c>
      <c r="P579" s="17" t="s">
        <v>723</v>
      </c>
      <c r="Q579" s="17" t="s">
        <v>724</v>
      </c>
      <c r="R579" s="17" t="s">
        <v>725</v>
      </c>
      <c r="S579" s="17" t="s">
        <v>726</v>
      </c>
    </row>
    <row r="580" spans="1:19" x14ac:dyDescent="0.25">
      <c r="A580" s="14">
        <v>562</v>
      </c>
      <c r="B580" s="14">
        <v>3551702</v>
      </c>
      <c r="C580" s="14" t="str">
        <f>IF(ISERR(FIND("-",tab_Geral[[#This Row],[Municípios]],1)),"","Têm Hifen")</f>
        <v/>
      </c>
      <c r="D580" s="14" t="str">
        <f>IF(tab_Geral[[#This Row],[Informação 3]]&lt;&gt;"","","Não Registrado")</f>
        <v/>
      </c>
      <c r="E580" s="14" t="str">
        <f>IF(tab_Geral[[#This Row],[Municípios]]=tab_Geral[[#This Row],[Informação 1]],"","Não!, Erro!")</f>
        <v/>
      </c>
      <c r="F580" s="14" t="str">
        <f>IF(tab_Geral[[#This Row],[Municípios]]=tab_Geral[[#This Row],[Município]],"","Não!, Erro!")</f>
        <v/>
      </c>
      <c r="G580" s="14" t="str">
        <f>VLOOKUP(tab_Geral[[#This Row],[GeoCodigo]],tab_CETESB[],2,FALSE)</f>
        <v>Sertãozinho</v>
      </c>
      <c r="H580" s="14" t="str">
        <f>VLOOKUP(tab_Geral[[#This Row],[Informação 3]],tab_AgênciaAmbiental,10,FALSE)</f>
        <v>31</v>
      </c>
      <c r="I580" s="14" t="s">
        <v>577</v>
      </c>
      <c r="J580" s="18" t="s">
        <v>577</v>
      </c>
      <c r="K580" s="17"/>
      <c r="L580" s="17" t="s">
        <v>1912</v>
      </c>
      <c r="M580" s="17" t="s">
        <v>720</v>
      </c>
      <c r="N580" s="17" t="s">
        <v>721</v>
      </c>
      <c r="O580" s="17" t="s">
        <v>722</v>
      </c>
      <c r="P580" s="17" t="s">
        <v>723</v>
      </c>
      <c r="Q580" s="17" t="s">
        <v>724</v>
      </c>
      <c r="R580" s="17" t="s">
        <v>725</v>
      </c>
      <c r="S580" s="17" t="s">
        <v>726</v>
      </c>
    </row>
    <row r="581" spans="1:19" x14ac:dyDescent="0.25">
      <c r="A581" s="14">
        <v>563</v>
      </c>
      <c r="B581" s="14">
        <v>3551801</v>
      </c>
      <c r="C581" s="14" t="str">
        <f>IF(ISERR(FIND("-",tab_Geral[[#This Row],[Municípios]],1)),"","Têm Hifen")</f>
        <v/>
      </c>
      <c r="D581" s="14" t="str">
        <f>IF(tab_Geral[[#This Row],[Informação 3]]&lt;&gt;"","","Não Registrado")</f>
        <v/>
      </c>
      <c r="E581" s="14" t="str">
        <f>IF(tab_Geral[[#This Row],[Municípios]]=tab_Geral[[#This Row],[Informação 1]],"","Não!, Erro!")</f>
        <v/>
      </c>
      <c r="F581" s="14" t="str">
        <f>IF(tab_Geral[[#This Row],[Municípios]]=tab_Geral[[#This Row],[Município]],"","Não!, Erro!")</f>
        <v/>
      </c>
      <c r="G581" s="14" t="str">
        <f>VLOOKUP(tab_Geral[[#This Row],[GeoCodigo]],tab_CETESB[],2,FALSE)</f>
        <v>Sete Barras</v>
      </c>
      <c r="H581" s="14" t="str">
        <f>VLOOKUP(tab_Geral[[#This Row],[Informação 3]],tab_AgênciaAmbiental,10,FALSE)</f>
        <v>30</v>
      </c>
      <c r="I581" s="14" t="s">
        <v>578</v>
      </c>
      <c r="J581" s="18" t="s">
        <v>578</v>
      </c>
      <c r="K581" s="17"/>
      <c r="L581" s="17" t="s">
        <v>1911</v>
      </c>
      <c r="M581" s="17" t="s">
        <v>843</v>
      </c>
      <c r="N581" s="17" t="s">
        <v>844</v>
      </c>
      <c r="O581" s="17" t="s">
        <v>845</v>
      </c>
      <c r="P581" s="17" t="s">
        <v>846</v>
      </c>
      <c r="Q581" s="17" t="s">
        <v>847</v>
      </c>
      <c r="R581" s="17" t="s">
        <v>848</v>
      </c>
      <c r="S581" s="17" t="s">
        <v>849</v>
      </c>
    </row>
    <row r="582" spans="1:19" x14ac:dyDescent="0.25">
      <c r="A582" s="14">
        <v>564</v>
      </c>
      <c r="B582" s="14">
        <v>3551900</v>
      </c>
      <c r="C582" s="14" t="str">
        <f>IF(ISERR(FIND("-",tab_Geral[[#This Row],[Municípios]],1)),"","Têm Hifen")</f>
        <v/>
      </c>
      <c r="D582" s="14" t="str">
        <f>IF(tab_Geral[[#This Row],[Informação 3]]&lt;&gt;"","","Não Registrado")</f>
        <v/>
      </c>
      <c r="E582" s="14" t="str">
        <f>IF(tab_Geral[[#This Row],[Municípios]]=tab_Geral[[#This Row],[Informação 1]],"","Não!, Erro!")</f>
        <v/>
      </c>
      <c r="F582" s="14" t="str">
        <f>IF(tab_Geral[[#This Row],[Municípios]]=tab_Geral[[#This Row],[Município]],"","Não!, Erro!")</f>
        <v/>
      </c>
      <c r="G582" s="14" t="str">
        <f>VLOOKUP(tab_Geral[[#This Row],[GeoCodigo]],tab_CETESB[],2,FALSE)</f>
        <v>Severínia</v>
      </c>
      <c r="H582" s="14" t="str">
        <f>VLOOKUP(tab_Geral[[#This Row],[Informação 3]],tab_AgênciaAmbiental,10,FALSE)</f>
        <v>7</v>
      </c>
      <c r="I582" s="14" t="s">
        <v>579</v>
      </c>
      <c r="J582" s="18" t="s">
        <v>579</v>
      </c>
      <c r="K582" s="17"/>
      <c r="L582" s="17" t="s">
        <v>1888</v>
      </c>
      <c r="M582" s="17" t="s">
        <v>713</v>
      </c>
      <c r="N582" s="17" t="s">
        <v>714</v>
      </c>
      <c r="O582" s="17" t="s">
        <v>715</v>
      </c>
      <c r="P582" s="17" t="s">
        <v>716</v>
      </c>
      <c r="Q582" s="17" t="s">
        <v>717</v>
      </c>
      <c r="R582" s="17" t="s">
        <v>718</v>
      </c>
      <c r="S582" s="17" t="s">
        <v>719</v>
      </c>
    </row>
    <row r="583" spans="1:19" x14ac:dyDescent="0.25">
      <c r="A583" s="14">
        <v>565</v>
      </c>
      <c r="B583" s="14">
        <v>3552007</v>
      </c>
      <c r="C583" s="14" t="str">
        <f>IF(ISERR(FIND("-",tab_Geral[[#This Row],[Municípios]],1)),"","Têm Hifen")</f>
        <v/>
      </c>
      <c r="D583" s="14" t="str">
        <f>IF(tab_Geral[[#This Row],[Informação 3]]&lt;&gt;"","","Não Registrado")</f>
        <v/>
      </c>
      <c r="E583" s="14" t="str">
        <f>IF(tab_Geral[[#This Row],[Municípios]]=tab_Geral[[#This Row],[Informação 1]],"","Não!, Erro!")</f>
        <v/>
      </c>
      <c r="F583" s="14" t="str">
        <f>IF(tab_Geral[[#This Row],[Municípios]]=tab_Geral[[#This Row],[Município]],"","Não!, Erro!")</f>
        <v/>
      </c>
      <c r="G583" s="14" t="str">
        <f>VLOOKUP(tab_Geral[[#This Row],[GeoCodigo]],tab_CETESB[],2,FALSE)</f>
        <v>Silveiras</v>
      </c>
      <c r="H583" s="14" t="str">
        <f>VLOOKUP(tab_Geral[[#This Row],[Informação 3]],tab_AgênciaAmbiental,10,FALSE)</f>
        <v>40</v>
      </c>
      <c r="I583" s="14" t="s">
        <v>580</v>
      </c>
      <c r="J583" s="18" t="s">
        <v>580</v>
      </c>
      <c r="K583" s="17"/>
      <c r="L583" s="17" t="s">
        <v>1921</v>
      </c>
      <c r="M583" s="17" t="s">
        <v>781</v>
      </c>
      <c r="N583" s="17" t="s">
        <v>782</v>
      </c>
      <c r="O583" s="17" t="s">
        <v>783</v>
      </c>
      <c r="P583" s="17" t="s">
        <v>784</v>
      </c>
      <c r="Q583" s="17" t="s">
        <v>785</v>
      </c>
      <c r="R583" s="17" t="s">
        <v>786</v>
      </c>
      <c r="S583" s="17" t="s">
        <v>787</v>
      </c>
    </row>
    <row r="584" spans="1:19" x14ac:dyDescent="0.25">
      <c r="A584" s="14">
        <v>566</v>
      </c>
      <c r="B584" s="14">
        <v>3552106</v>
      </c>
      <c r="C584" s="14" t="str">
        <f>IF(ISERR(FIND("-",tab_Geral[[#This Row],[Municípios]],1)),"","Têm Hifen")</f>
        <v/>
      </c>
      <c r="D584" s="14" t="str">
        <f>IF(tab_Geral[[#This Row],[Informação 3]]&lt;&gt;"","","Não Registrado")</f>
        <v/>
      </c>
      <c r="E584" s="14" t="str">
        <f>IF(tab_Geral[[#This Row],[Municípios]]=tab_Geral[[#This Row],[Informação 1]],"","Não!, Erro!")</f>
        <v/>
      </c>
      <c r="F584" s="14" t="str">
        <f>IF(tab_Geral[[#This Row],[Municípios]]=tab_Geral[[#This Row],[Município]],"","Não!, Erro!")</f>
        <v/>
      </c>
      <c r="G584" s="14" t="str">
        <f>VLOOKUP(tab_Geral[[#This Row],[GeoCodigo]],tab_CETESB[],2,FALSE)</f>
        <v>Socorro</v>
      </c>
      <c r="H584" s="14" t="str">
        <f>VLOOKUP(tab_Geral[[#This Row],[Informação 3]],tab_AgênciaAmbiental,10,FALSE)</f>
        <v>25</v>
      </c>
      <c r="I584" s="14" t="s">
        <v>581</v>
      </c>
      <c r="J584" s="18" t="s">
        <v>581</v>
      </c>
      <c r="K584" s="17"/>
      <c r="L584" s="17" t="s">
        <v>1906</v>
      </c>
      <c r="M584" s="17" t="s">
        <v>669</v>
      </c>
      <c r="N584" s="17" t="s">
        <v>670</v>
      </c>
      <c r="O584" s="17" t="s">
        <v>671</v>
      </c>
      <c r="P584" s="17" t="s">
        <v>672</v>
      </c>
      <c r="Q584" s="17" t="s">
        <v>673</v>
      </c>
      <c r="R584" s="17" t="s">
        <v>674</v>
      </c>
      <c r="S584" s="17" t="s">
        <v>675</v>
      </c>
    </row>
    <row r="585" spans="1:19" x14ac:dyDescent="0.25">
      <c r="A585" s="14">
        <v>567</v>
      </c>
      <c r="B585" s="14">
        <v>3552205</v>
      </c>
      <c r="C585" s="14" t="str">
        <f>IF(ISERR(FIND("-",tab_Geral[[#This Row],[Municípios]],1)),"","Têm Hifen")</f>
        <v/>
      </c>
      <c r="D585" s="14" t="str">
        <f>IF(tab_Geral[[#This Row],[Informação 3]]&lt;&gt;"","","Não Registrado")</f>
        <v/>
      </c>
      <c r="E585" s="14" t="str">
        <f>IF(tab_Geral[[#This Row],[Municípios]]=tab_Geral[[#This Row],[Informação 1]],"","Não!, Erro!")</f>
        <v/>
      </c>
      <c r="F585" s="14" t="str">
        <f>IF(tab_Geral[[#This Row],[Municípios]]=tab_Geral[[#This Row],[Município]],"","Não!, Erro!")</f>
        <v/>
      </c>
      <c r="G585" s="14" t="str">
        <f>VLOOKUP(tab_Geral[[#This Row],[GeoCodigo]],tab_CETESB[],2,FALSE)</f>
        <v>Sorocaba</v>
      </c>
      <c r="H585" s="14" t="str">
        <f>VLOOKUP(tab_Geral[[#This Row],[Informação 3]],tab_AgênciaAmbiental,10,FALSE)</f>
        <v>39</v>
      </c>
      <c r="I585" s="14" t="s">
        <v>582</v>
      </c>
      <c r="J585" s="18" t="s">
        <v>582</v>
      </c>
      <c r="K585" s="17"/>
      <c r="L585" s="17" t="s">
        <v>1920</v>
      </c>
      <c r="M585" s="17" t="s">
        <v>802</v>
      </c>
      <c r="N585" s="17" t="s">
        <v>803</v>
      </c>
      <c r="O585" s="17" t="s">
        <v>804</v>
      </c>
      <c r="P585" s="17" t="s">
        <v>805</v>
      </c>
      <c r="Q585" s="17" t="s">
        <v>806</v>
      </c>
      <c r="R585" s="17" t="s">
        <v>807</v>
      </c>
      <c r="S585" s="17" t="s">
        <v>808</v>
      </c>
    </row>
    <row r="586" spans="1:19" x14ac:dyDescent="0.25">
      <c r="A586" s="14">
        <v>568</v>
      </c>
      <c r="B586" s="14">
        <v>3552304</v>
      </c>
      <c r="C586" s="14" t="str">
        <f>IF(ISERR(FIND("-",tab_Geral[[#This Row],[Municípios]],1)),"","Têm Hifen")</f>
        <v/>
      </c>
      <c r="D586" s="14" t="str">
        <f>IF(tab_Geral[[#This Row],[Informação 3]]&lt;&gt;"","","Não Registrado")</f>
        <v/>
      </c>
      <c r="E586" s="14" t="str">
        <f>IF(tab_Geral[[#This Row],[Municípios]]=tab_Geral[[#This Row],[Informação 1]],"","Não!, Erro!")</f>
        <v/>
      </c>
      <c r="F586" s="14" t="str">
        <f>IF(tab_Geral[[#This Row],[Municípios]]=tab_Geral[[#This Row],[Município]],"","Não!, Erro!")</f>
        <v/>
      </c>
      <c r="G586" s="14" t="str">
        <f>VLOOKUP(tab_Geral[[#This Row],[GeoCodigo]],tab_CETESB[],2,FALSE)</f>
        <v>Sud Mennucci</v>
      </c>
      <c r="H586" s="14" t="str">
        <f>VLOOKUP(tab_Geral[[#This Row],[Informação 3]],tab_AgênciaAmbiental,10,FALSE)</f>
        <v>20</v>
      </c>
      <c r="I586" s="14" t="s">
        <v>583</v>
      </c>
      <c r="J586" s="18" t="s">
        <v>583</v>
      </c>
      <c r="K586" s="17"/>
      <c r="L586" s="17" t="s">
        <v>1901</v>
      </c>
      <c r="M586" s="17" t="s">
        <v>788</v>
      </c>
      <c r="N586" s="17" t="s">
        <v>789</v>
      </c>
      <c r="O586" s="17" t="s">
        <v>790</v>
      </c>
      <c r="P586" s="17" t="s">
        <v>791</v>
      </c>
      <c r="Q586" s="17" t="s">
        <v>792</v>
      </c>
      <c r="R586" s="17" t="s">
        <v>793</v>
      </c>
      <c r="S586" s="17" t="s">
        <v>794</v>
      </c>
    </row>
    <row r="587" spans="1:19" x14ac:dyDescent="0.25">
      <c r="A587" s="14">
        <v>569</v>
      </c>
      <c r="B587" s="14">
        <v>3552403</v>
      </c>
      <c r="C587" s="14" t="str">
        <f>IF(ISERR(FIND("-",tab_Geral[[#This Row],[Municípios]],1)),"","Têm Hifen")</f>
        <v/>
      </c>
      <c r="D587" s="14" t="str">
        <f>IF(tab_Geral[[#This Row],[Informação 3]]&lt;&gt;"","","Não Registrado")</f>
        <v/>
      </c>
      <c r="E587" s="14" t="str">
        <f>IF(tab_Geral[[#This Row],[Municípios]]=tab_Geral[[#This Row],[Informação 1]],"","Não!, Erro!")</f>
        <v/>
      </c>
      <c r="F587" s="14" t="str">
        <f>IF(tab_Geral[[#This Row],[Municípios]]=tab_Geral[[#This Row],[Município]],"","Não!, Erro!")</f>
        <v/>
      </c>
      <c r="G587" s="14" t="str">
        <f>VLOOKUP(tab_Geral[[#This Row],[GeoCodigo]],tab_CETESB[],2,FALSE)</f>
        <v>Sumaré</v>
      </c>
      <c r="H587" s="14" t="str">
        <f>VLOOKUP(tab_Geral[[#This Row],[Informação 3]],tab_AgênciaAmbiental,10,FALSE)</f>
        <v>1</v>
      </c>
      <c r="I587" s="14" t="s">
        <v>584</v>
      </c>
      <c r="J587" s="18" t="s">
        <v>584</v>
      </c>
      <c r="K587" s="17"/>
      <c r="L587" s="17" t="s">
        <v>1882</v>
      </c>
      <c r="M587" s="17" t="s">
        <v>753</v>
      </c>
      <c r="N587" s="17" t="s">
        <v>754</v>
      </c>
      <c r="O587" s="17" t="s">
        <v>755</v>
      </c>
      <c r="P587" s="17" t="s">
        <v>756</v>
      </c>
      <c r="Q587" s="17" t="s">
        <v>757</v>
      </c>
      <c r="R587" s="17" t="s">
        <v>758</v>
      </c>
      <c r="S587" s="17" t="s">
        <v>759</v>
      </c>
    </row>
    <row r="588" spans="1:19" x14ac:dyDescent="0.25">
      <c r="A588" s="14">
        <v>570</v>
      </c>
      <c r="B588" s="14">
        <v>3552551</v>
      </c>
      <c r="C588" s="14" t="str">
        <f>IF(ISERR(FIND("-",tab_Geral[[#This Row],[Municípios]],1)),"","Têm Hifen")</f>
        <v/>
      </c>
      <c r="D588" s="14" t="str">
        <f>IF(tab_Geral[[#This Row],[Informação 3]]&lt;&gt;"","","Não Registrado")</f>
        <v/>
      </c>
      <c r="E588" s="14" t="str">
        <f>IF(tab_Geral[[#This Row],[Municípios]]=tab_Geral[[#This Row],[Informação 1]],"","Não!, Erro!")</f>
        <v/>
      </c>
      <c r="F588" s="14" t="str">
        <f>IF(tab_Geral[[#This Row],[Municípios]]=tab_Geral[[#This Row],[Município]],"","Não!, Erro!")</f>
        <v/>
      </c>
      <c r="G588" s="14" t="str">
        <f>VLOOKUP(tab_Geral[[#This Row],[GeoCodigo]],tab_CETESB[],2,FALSE)</f>
        <v>Suzanápolis</v>
      </c>
      <c r="H588" s="14" t="str">
        <f>VLOOKUP(tab_Geral[[#This Row],[Informação 3]],tab_AgênciaAmbiental,10,FALSE)</f>
        <v>20</v>
      </c>
      <c r="I588" s="14" t="s">
        <v>585</v>
      </c>
      <c r="J588" s="18" t="s">
        <v>585</v>
      </c>
      <c r="K588" s="17"/>
      <c r="L588" s="17" t="s">
        <v>1901</v>
      </c>
      <c r="M588" s="17" t="s">
        <v>788</v>
      </c>
      <c r="N588" s="17" t="s">
        <v>789</v>
      </c>
      <c r="O588" s="17" t="s">
        <v>790</v>
      </c>
      <c r="P588" s="17" t="s">
        <v>791</v>
      </c>
      <c r="Q588" s="17" t="s">
        <v>792</v>
      </c>
      <c r="R588" s="17" t="s">
        <v>793</v>
      </c>
      <c r="S588" s="17" t="s">
        <v>794</v>
      </c>
    </row>
    <row r="589" spans="1:19" x14ac:dyDescent="0.25">
      <c r="A589" s="14">
        <v>571</v>
      </c>
      <c r="B589" s="14">
        <v>3552502</v>
      </c>
      <c r="C589" s="14" t="str">
        <f>IF(ISERR(FIND("-",tab_Geral[[#This Row],[Municípios]],1)),"","Têm Hifen")</f>
        <v/>
      </c>
      <c r="D589" s="14" t="str">
        <f>IF(tab_Geral[[#This Row],[Informação 3]]&lt;&gt;"","","Não Registrado")</f>
        <v/>
      </c>
      <c r="E589" s="14" t="str">
        <f>IF(tab_Geral[[#This Row],[Municípios]]=tab_Geral[[#This Row],[Informação 1]],"","Não!, Erro!")</f>
        <v/>
      </c>
      <c r="F589" s="14" t="str">
        <f>IF(tab_Geral[[#This Row],[Municípios]]=tab_Geral[[#This Row],[Município]],"","Não!, Erro!")</f>
        <v/>
      </c>
      <c r="G589" s="14" t="str">
        <f>VLOOKUP(tab_Geral[[#This Row],[GeoCodigo]],tab_CETESB[],2,FALSE)</f>
        <v>Suzano</v>
      </c>
      <c r="H589" s="14" t="str">
        <f>VLOOKUP(tab_Geral[[#This Row],[Informação 3]],tab_AgênciaAmbiental,10,FALSE)</f>
        <v>24</v>
      </c>
      <c r="I589" s="14" t="s">
        <v>586</v>
      </c>
      <c r="J589" s="18" t="s">
        <v>586</v>
      </c>
      <c r="K589" s="17"/>
      <c r="L589" s="17" t="s">
        <v>1905</v>
      </c>
      <c r="M589" s="17" t="s">
        <v>871</v>
      </c>
      <c r="N589" s="17" t="s">
        <v>872</v>
      </c>
      <c r="O589" s="17" t="s">
        <v>873</v>
      </c>
      <c r="P589" s="17" t="s">
        <v>874</v>
      </c>
      <c r="Q589" s="17" t="s">
        <v>875</v>
      </c>
      <c r="R589" s="17" t="s">
        <v>686</v>
      </c>
      <c r="S589" s="17" t="s">
        <v>876</v>
      </c>
    </row>
    <row r="590" spans="1:19" x14ac:dyDescent="0.25">
      <c r="A590" s="14">
        <v>572</v>
      </c>
      <c r="B590" s="14">
        <v>3552601</v>
      </c>
      <c r="C590" s="14" t="str">
        <f>IF(ISERR(FIND("-",tab_Geral[[#This Row],[Municípios]],1)),"","Têm Hifen")</f>
        <v/>
      </c>
      <c r="D590" s="14" t="str">
        <f>IF(tab_Geral[[#This Row],[Informação 3]]&lt;&gt;"","","Não Registrado")</f>
        <v/>
      </c>
      <c r="E590" s="14" t="str">
        <f>IF(tab_Geral[[#This Row],[Municípios]]=tab_Geral[[#This Row],[Informação 1]],"","Não!, Erro!")</f>
        <v/>
      </c>
      <c r="F590" s="14" t="str">
        <f>IF(tab_Geral[[#This Row],[Municípios]]=tab_Geral[[#This Row],[Município]],"","Não!, Erro!")</f>
        <v/>
      </c>
      <c r="G590" s="14" t="str">
        <f>VLOOKUP(tab_Geral[[#This Row],[GeoCodigo]],tab_CETESB[],2,FALSE)</f>
        <v>Tabapuã</v>
      </c>
      <c r="H590" s="14" t="str">
        <f>VLOOKUP(tab_Geral[[#This Row],[Informação 3]],tab_AgênciaAmbiental,10,FALSE)</f>
        <v>36</v>
      </c>
      <c r="I590" s="14" t="s">
        <v>587</v>
      </c>
      <c r="J590" s="18" t="s">
        <v>587</v>
      </c>
      <c r="K590" s="17"/>
      <c r="L590" s="17" t="s">
        <v>1917</v>
      </c>
      <c r="M590" s="17" t="s">
        <v>663</v>
      </c>
      <c r="N590" s="17" t="s">
        <v>664</v>
      </c>
      <c r="O590" s="17" t="s">
        <v>665</v>
      </c>
      <c r="P590" s="17" t="s">
        <v>666</v>
      </c>
      <c r="Q590" s="17" t="s">
        <v>667</v>
      </c>
      <c r="R590" s="17" t="s">
        <v>668</v>
      </c>
      <c r="S590" s="17" t="s">
        <v>938</v>
      </c>
    </row>
    <row r="591" spans="1:19" x14ac:dyDescent="0.25">
      <c r="A591" s="14">
        <v>573</v>
      </c>
      <c r="B591" s="14">
        <v>3552700</v>
      </c>
      <c r="C591" s="14" t="str">
        <f>IF(ISERR(FIND("-",tab_Geral[[#This Row],[Municípios]],1)),"","Têm Hifen")</f>
        <v/>
      </c>
      <c r="D591" s="14" t="str">
        <f>IF(tab_Geral[[#This Row],[Informação 3]]&lt;&gt;"","","Não Registrado")</f>
        <v/>
      </c>
      <c r="E591" s="14" t="str">
        <f>IF(tab_Geral[[#This Row],[Municípios]]=tab_Geral[[#This Row],[Informação 1]],"","Não!, Erro!")</f>
        <v/>
      </c>
      <c r="F591" s="14" t="str">
        <f>IF(tab_Geral[[#This Row],[Municípios]]=tab_Geral[[#This Row],[Município]],"","Não!, Erro!")</f>
        <v/>
      </c>
      <c r="G591" s="14" t="str">
        <f>VLOOKUP(tab_Geral[[#This Row],[GeoCodigo]],tab_CETESB[],2,FALSE)</f>
        <v>Tabatinga</v>
      </c>
      <c r="H591" s="14" t="str">
        <f>VLOOKUP(tab_Geral[[#This Row],[Informação 3]],tab_AgênciaAmbiental,10,FALSE)</f>
        <v>3</v>
      </c>
      <c r="I591" s="14" t="s">
        <v>588</v>
      </c>
      <c r="J591" s="18" t="s">
        <v>588</v>
      </c>
      <c r="K591" s="17"/>
      <c r="L591" s="17" t="s">
        <v>1884</v>
      </c>
      <c r="M591" s="17" t="s">
        <v>760</v>
      </c>
      <c r="N591" s="17" t="s">
        <v>761</v>
      </c>
      <c r="O591" s="17" t="s">
        <v>762</v>
      </c>
      <c r="P591" s="17" t="s">
        <v>763</v>
      </c>
      <c r="Q591" s="17" t="s">
        <v>764</v>
      </c>
      <c r="R591" s="17" t="s">
        <v>765</v>
      </c>
      <c r="S591" s="17" t="s">
        <v>766</v>
      </c>
    </row>
    <row r="592" spans="1:19" x14ac:dyDescent="0.25">
      <c r="A592" s="14">
        <v>574</v>
      </c>
      <c r="B592" s="14">
        <v>3552809</v>
      </c>
      <c r="C592" s="14" t="str">
        <f>IF(ISERR(FIND("-",tab_Geral[[#This Row],[Municípios]],1)),"","Têm Hifen")</f>
        <v/>
      </c>
      <c r="D592" s="14" t="str">
        <f>IF(tab_Geral[[#This Row],[Informação 3]]&lt;&gt;"","","Não Registrado")</f>
        <v/>
      </c>
      <c r="E592" s="14" t="str">
        <f>IF(tab_Geral[[#This Row],[Municípios]]=tab_Geral[[#This Row],[Informação 1]],"","Não!, Erro!")</f>
        <v/>
      </c>
      <c r="F592" s="14" t="str">
        <f>IF(tab_Geral[[#This Row],[Municípios]]=tab_Geral[[#This Row],[Município]],"","Não!, Erro!")</f>
        <v/>
      </c>
      <c r="G592" s="14" t="str">
        <f>VLOOKUP(tab_Geral[[#This Row],[GeoCodigo]],tab_CETESB[],2,FALSE)</f>
        <v>Taboão da Serra</v>
      </c>
      <c r="H592" s="14" t="str">
        <f>VLOOKUP(tab_Geral[[#This Row],[Informação 3]],tab_AgênciaAmbiental,10,FALSE)</f>
        <v>14</v>
      </c>
      <c r="I592" s="14" t="s">
        <v>589</v>
      </c>
      <c r="J592" s="18" t="s">
        <v>589</v>
      </c>
      <c r="K592" s="17"/>
      <c r="L592" s="17" t="s">
        <v>1895</v>
      </c>
      <c r="M592" s="17" t="s">
        <v>912</v>
      </c>
      <c r="N592" s="17" t="s">
        <v>913</v>
      </c>
      <c r="O592" s="17" t="s">
        <v>914</v>
      </c>
      <c r="P592" s="17" t="s">
        <v>915</v>
      </c>
      <c r="Q592" s="17" t="s">
        <v>916</v>
      </c>
      <c r="R592" s="17" t="s">
        <v>917</v>
      </c>
      <c r="S592" s="17" t="s">
        <v>918</v>
      </c>
    </row>
    <row r="593" spans="1:19" x14ac:dyDescent="0.25">
      <c r="A593" s="14">
        <v>575</v>
      </c>
      <c r="B593" s="14">
        <v>3552908</v>
      </c>
      <c r="C593" s="14" t="str">
        <f>IF(ISERR(FIND("-",tab_Geral[[#This Row],[Municípios]],1)),"","Têm Hifen")</f>
        <v/>
      </c>
      <c r="D593" s="14" t="str">
        <f>IF(tab_Geral[[#This Row],[Informação 3]]&lt;&gt;"","","Não Registrado")</f>
        <v/>
      </c>
      <c r="E593" s="14" t="str">
        <f>IF(tab_Geral[[#This Row],[Municípios]]=tab_Geral[[#This Row],[Informação 1]],"","Não!, Erro!")</f>
        <v/>
      </c>
      <c r="F593" s="14" t="str">
        <f>IF(tab_Geral[[#This Row],[Municípios]]=tab_Geral[[#This Row],[Município]],"","Não!, Erro!")</f>
        <v/>
      </c>
      <c r="G593" s="14" t="str">
        <f>VLOOKUP(tab_Geral[[#This Row],[GeoCodigo]],tab_CETESB[],2,FALSE)</f>
        <v>Taciba</v>
      </c>
      <c r="H593" s="14" t="str">
        <f>VLOOKUP(tab_Geral[[#This Row],[Informação 3]],tab_AgênciaAmbiental,10,FALSE)</f>
        <v>29</v>
      </c>
      <c r="I593" s="14" t="s">
        <v>590</v>
      </c>
      <c r="J593" s="18" t="s">
        <v>590</v>
      </c>
      <c r="K593" s="17"/>
      <c r="L593" s="17" t="s">
        <v>1910</v>
      </c>
      <c r="M593" s="17" t="s">
        <v>707</v>
      </c>
      <c r="N593" s="17" t="s">
        <v>708</v>
      </c>
      <c r="O593" s="17" t="s">
        <v>709</v>
      </c>
      <c r="P593" s="17" t="s">
        <v>710</v>
      </c>
      <c r="Q593" s="17" t="s">
        <v>711</v>
      </c>
      <c r="R593" s="17" t="s">
        <v>686</v>
      </c>
      <c r="S593" s="17" t="s">
        <v>712</v>
      </c>
    </row>
    <row r="594" spans="1:19" x14ac:dyDescent="0.25">
      <c r="A594" s="14">
        <v>576</v>
      </c>
      <c r="B594" s="14">
        <v>3553005</v>
      </c>
      <c r="C594" s="14" t="str">
        <f>IF(ISERR(FIND("-",tab_Geral[[#This Row],[Municípios]],1)),"","Têm Hifen")</f>
        <v/>
      </c>
      <c r="D594" s="14" t="str">
        <f>IF(tab_Geral[[#This Row],[Informação 3]]&lt;&gt;"","","Não Registrado")</f>
        <v/>
      </c>
      <c r="E594" s="14" t="str">
        <f>IF(tab_Geral[[#This Row],[Municípios]]=tab_Geral[[#This Row],[Informação 1]],"","Não!, Erro!")</f>
        <v/>
      </c>
      <c r="F594" s="14" t="str">
        <f>IF(tab_Geral[[#This Row],[Municípios]]=tab_Geral[[#This Row],[Município]],"","Não!, Erro!")</f>
        <v/>
      </c>
      <c r="G594" s="14" t="str">
        <f>VLOOKUP(tab_Geral[[#This Row],[GeoCodigo]],tab_CETESB[],2,FALSE)</f>
        <v>Taguaí</v>
      </c>
      <c r="H594" s="14" t="str">
        <f>VLOOKUP(tab_Geral[[#This Row],[Informação 3]],tab_AgênciaAmbiental,10,FALSE)</f>
        <v>6</v>
      </c>
      <c r="I594" s="14" t="s">
        <v>591</v>
      </c>
      <c r="J594" s="18" t="s">
        <v>591</v>
      </c>
      <c r="K594" s="17"/>
      <c r="L594" s="17" t="s">
        <v>1887</v>
      </c>
      <c r="M594" s="17" t="s">
        <v>681</v>
      </c>
      <c r="N594" s="17" t="s">
        <v>682</v>
      </c>
      <c r="O594" s="17" t="s">
        <v>683</v>
      </c>
      <c r="P594" s="17" t="s">
        <v>684</v>
      </c>
      <c r="Q594" s="17" t="s">
        <v>685</v>
      </c>
      <c r="R594" s="17" t="s">
        <v>686</v>
      </c>
      <c r="S594" s="17" t="s">
        <v>687</v>
      </c>
    </row>
    <row r="595" spans="1:19" x14ac:dyDescent="0.25">
      <c r="A595" s="14">
        <v>577</v>
      </c>
      <c r="B595" s="14">
        <v>3553104</v>
      </c>
      <c r="C595" s="14" t="str">
        <f>IF(ISERR(FIND("-",tab_Geral[[#This Row],[Municípios]],1)),"","Têm Hifen")</f>
        <v/>
      </c>
      <c r="D595" s="14" t="str">
        <f>IF(tab_Geral[[#This Row],[Informação 3]]&lt;&gt;"","","Não Registrado")</f>
        <v/>
      </c>
      <c r="E595" s="14" t="str">
        <f>IF(tab_Geral[[#This Row],[Municípios]]=tab_Geral[[#This Row],[Informação 1]],"","Não!, Erro!")</f>
        <v/>
      </c>
      <c r="F595" s="14" t="str">
        <f>IF(tab_Geral[[#This Row],[Municípios]]=tab_Geral[[#This Row],[Município]],"","Não!, Erro!")</f>
        <v/>
      </c>
      <c r="G595" s="14" t="str">
        <f>VLOOKUP(tab_Geral[[#This Row],[GeoCodigo]],tab_CETESB[],2,FALSE)</f>
        <v>Taiaçu</v>
      </c>
      <c r="H595" s="14" t="str">
        <f>VLOOKUP(tab_Geral[[#This Row],[Informação 3]],tab_AgênciaAmbiental,10,FALSE)</f>
        <v>19</v>
      </c>
      <c r="I595" s="14" t="s">
        <v>592</v>
      </c>
      <c r="J595" s="18" t="s">
        <v>592</v>
      </c>
      <c r="K595" s="17"/>
      <c r="L595" s="17" t="s">
        <v>1900</v>
      </c>
      <c r="M595" s="17" t="s">
        <v>850</v>
      </c>
      <c r="N595" s="17" t="s">
        <v>851</v>
      </c>
      <c r="O595" s="17" t="s">
        <v>852</v>
      </c>
      <c r="P595" s="17" t="s">
        <v>853</v>
      </c>
      <c r="Q595" s="17" t="s">
        <v>854</v>
      </c>
      <c r="R595" s="17" t="s">
        <v>855</v>
      </c>
      <c r="S595" s="17" t="s">
        <v>856</v>
      </c>
    </row>
    <row r="596" spans="1:19" x14ac:dyDescent="0.25">
      <c r="A596" s="14">
        <v>578</v>
      </c>
      <c r="B596" s="14">
        <v>3553203</v>
      </c>
      <c r="C596" s="14" t="str">
        <f>IF(ISERR(FIND("-",tab_Geral[[#This Row],[Municípios]],1)),"","Têm Hifen")</f>
        <v/>
      </c>
      <c r="D596" s="14" t="str">
        <f>IF(tab_Geral[[#This Row],[Informação 3]]&lt;&gt;"","","Não Registrado")</f>
        <v/>
      </c>
      <c r="E596" s="14" t="str">
        <f>IF(tab_Geral[[#This Row],[Municípios]]=tab_Geral[[#This Row],[Informação 1]],"","Não!, Erro!")</f>
        <v/>
      </c>
      <c r="F596" s="14" t="str">
        <f>IF(tab_Geral[[#This Row],[Municípios]]=tab_Geral[[#This Row],[Município]],"","Não!, Erro!")</f>
        <v/>
      </c>
      <c r="G596" s="14" t="str">
        <f>VLOOKUP(tab_Geral[[#This Row],[GeoCodigo]],tab_CETESB[],2,FALSE)</f>
        <v>Taiúva</v>
      </c>
      <c r="H596" s="14" t="str">
        <f>VLOOKUP(tab_Geral[[#This Row],[Informação 3]],tab_AgênciaAmbiental,10,FALSE)</f>
        <v>19</v>
      </c>
      <c r="I596" s="14" t="s">
        <v>593</v>
      </c>
      <c r="J596" s="18" t="s">
        <v>593</v>
      </c>
      <c r="K596" s="17"/>
      <c r="L596" s="17" t="s">
        <v>1900</v>
      </c>
      <c r="M596" s="17" t="s">
        <v>850</v>
      </c>
      <c r="N596" s="17" t="s">
        <v>851</v>
      </c>
      <c r="O596" s="17" t="s">
        <v>852</v>
      </c>
      <c r="P596" s="17" t="s">
        <v>853</v>
      </c>
      <c r="Q596" s="17" t="s">
        <v>854</v>
      </c>
      <c r="R596" s="17" t="s">
        <v>855</v>
      </c>
      <c r="S596" s="17" t="s">
        <v>856</v>
      </c>
    </row>
    <row r="597" spans="1:19" x14ac:dyDescent="0.25">
      <c r="A597" s="14">
        <v>579</v>
      </c>
      <c r="B597" s="14">
        <v>3553302</v>
      </c>
      <c r="C597" s="14" t="str">
        <f>IF(ISERR(FIND("-",tab_Geral[[#This Row],[Municípios]],1)),"","Têm Hifen")</f>
        <v/>
      </c>
      <c r="D597" s="14" t="str">
        <f>IF(tab_Geral[[#This Row],[Informação 3]]&lt;&gt;"","","Não Registrado")</f>
        <v/>
      </c>
      <c r="E597" s="14" t="str">
        <f>IF(tab_Geral[[#This Row],[Municípios]]=tab_Geral[[#This Row],[Informação 1]],"","Não!, Erro!")</f>
        <v/>
      </c>
      <c r="F597" s="14" t="str">
        <f>IF(tab_Geral[[#This Row],[Municípios]]=tab_Geral[[#This Row],[Município]],"","Não!, Erro!")</f>
        <v/>
      </c>
      <c r="G597" s="14" t="str">
        <f>VLOOKUP(tab_Geral[[#This Row],[GeoCodigo]],tab_CETESB[],2,FALSE)</f>
        <v>Tambaú</v>
      </c>
      <c r="H597" s="14" t="str">
        <f>VLOOKUP(tab_Geral[[#This Row],[Informação 3]],tab_AgênciaAmbiental,10,FALSE)</f>
        <v>35</v>
      </c>
      <c r="I597" s="14" t="s">
        <v>594</v>
      </c>
      <c r="J597" s="18" t="s">
        <v>594</v>
      </c>
      <c r="K597" s="17"/>
      <c r="L597" s="17" t="s">
        <v>1916</v>
      </c>
      <c r="M597" s="17" t="s">
        <v>676</v>
      </c>
      <c r="N597" s="17" t="s">
        <v>657</v>
      </c>
      <c r="O597" s="17" t="s">
        <v>677</v>
      </c>
      <c r="P597" s="17" t="s">
        <v>678</v>
      </c>
      <c r="Q597" s="17" t="s">
        <v>679</v>
      </c>
      <c r="R597" s="17" t="s">
        <v>680</v>
      </c>
      <c r="S597" s="17" t="s">
        <v>937</v>
      </c>
    </row>
    <row r="598" spans="1:19" x14ac:dyDescent="0.25">
      <c r="A598" s="14">
        <v>580</v>
      </c>
      <c r="B598" s="14">
        <v>3553401</v>
      </c>
      <c r="C598" s="14" t="str">
        <f>IF(ISERR(FIND("-",tab_Geral[[#This Row],[Municípios]],1)),"","Têm Hifen")</f>
        <v/>
      </c>
      <c r="D598" s="14" t="str">
        <f>IF(tab_Geral[[#This Row],[Informação 3]]&lt;&gt;"","","Não Registrado")</f>
        <v/>
      </c>
      <c r="E598" s="14" t="str">
        <f>IF(tab_Geral[[#This Row],[Municípios]]=tab_Geral[[#This Row],[Informação 1]],"","Não!, Erro!")</f>
        <v/>
      </c>
      <c r="F598" s="14" t="str">
        <f>IF(tab_Geral[[#This Row],[Municípios]]=tab_Geral[[#This Row],[Município]],"","Não!, Erro!")</f>
        <v/>
      </c>
      <c r="G598" s="14" t="str">
        <f>VLOOKUP(tab_Geral[[#This Row],[GeoCodigo]],tab_CETESB[],2,FALSE)</f>
        <v>Tanabi</v>
      </c>
      <c r="H598" s="14" t="str">
        <f>VLOOKUP(tab_Geral[[#This Row],[Informação 3]],tab_AgênciaAmbiental,10,FALSE)</f>
        <v>41</v>
      </c>
      <c r="I598" s="14" t="s">
        <v>595</v>
      </c>
      <c r="J598" s="18" t="s">
        <v>595</v>
      </c>
      <c r="K598" s="17"/>
      <c r="L598" s="17" t="s">
        <v>1922</v>
      </c>
      <c r="M598" s="17" t="s">
        <v>739</v>
      </c>
      <c r="N598" s="17" t="s">
        <v>740</v>
      </c>
      <c r="O598" s="17" t="s">
        <v>741</v>
      </c>
      <c r="P598" s="17" t="s">
        <v>742</v>
      </c>
      <c r="Q598" s="17" t="s">
        <v>743</v>
      </c>
      <c r="R598" s="17" t="s">
        <v>744</v>
      </c>
      <c r="S598" s="17" t="s">
        <v>745</v>
      </c>
    </row>
    <row r="599" spans="1:19" x14ac:dyDescent="0.25">
      <c r="A599" s="14">
        <v>581</v>
      </c>
      <c r="B599" s="14">
        <v>3553500</v>
      </c>
      <c r="C599" s="14" t="str">
        <f>IF(ISERR(FIND("-",tab_Geral[[#This Row],[Municípios]],1)),"","Têm Hifen")</f>
        <v/>
      </c>
      <c r="D599" s="14" t="str">
        <f>IF(tab_Geral[[#This Row],[Informação 3]]&lt;&gt;"","","Não Registrado")</f>
        <v/>
      </c>
      <c r="E599" s="14" t="str">
        <f>IF(tab_Geral[[#This Row],[Municípios]]=tab_Geral[[#This Row],[Informação 1]],"","Não!, Erro!")</f>
        <v/>
      </c>
      <c r="F599" s="14" t="str">
        <f>IF(tab_Geral[[#This Row],[Municípios]]=tab_Geral[[#This Row],[Município]],"","Não!, Erro!")</f>
        <v/>
      </c>
      <c r="G599" s="14" t="str">
        <f>VLOOKUP(tab_Geral[[#This Row],[GeoCodigo]],tab_CETESB[],2,FALSE)</f>
        <v>Tapiraí</v>
      </c>
      <c r="H599" s="14" t="str">
        <f>VLOOKUP(tab_Geral[[#This Row],[Informação 3]],tab_AgênciaAmbiental,10,FALSE)</f>
        <v>39</v>
      </c>
      <c r="I599" s="14" t="s">
        <v>596</v>
      </c>
      <c r="J599" s="18" t="s">
        <v>596</v>
      </c>
      <c r="K599" s="17"/>
      <c r="L599" s="17" t="s">
        <v>1920</v>
      </c>
      <c r="M599" s="17" t="s">
        <v>802</v>
      </c>
      <c r="N599" s="17" t="s">
        <v>803</v>
      </c>
      <c r="O599" s="17" t="s">
        <v>804</v>
      </c>
      <c r="P599" s="17" t="s">
        <v>805</v>
      </c>
      <c r="Q599" s="17" t="s">
        <v>806</v>
      </c>
      <c r="R599" s="17" t="s">
        <v>807</v>
      </c>
      <c r="S599" s="17" t="s">
        <v>808</v>
      </c>
    </row>
    <row r="600" spans="1:19" x14ac:dyDescent="0.25">
      <c r="A600" s="14">
        <v>582</v>
      </c>
      <c r="B600" s="14">
        <v>3553609</v>
      </c>
      <c r="C600" s="14" t="str">
        <f>IF(ISERR(FIND("-",tab_Geral[[#This Row],[Municípios]],1)),"","Têm Hifen")</f>
        <v/>
      </c>
      <c r="D600" s="14" t="str">
        <f>IF(tab_Geral[[#This Row],[Informação 3]]&lt;&gt;"","","Não Registrado")</f>
        <v/>
      </c>
      <c r="E600" s="14" t="str">
        <f>IF(tab_Geral[[#This Row],[Municípios]]=tab_Geral[[#This Row],[Informação 1]],"","Não!, Erro!")</f>
        <v/>
      </c>
      <c r="F600" s="14" t="str">
        <f>IF(tab_Geral[[#This Row],[Municípios]]=tab_Geral[[#This Row],[Município]],"","Não!, Erro!")</f>
        <v/>
      </c>
      <c r="G600" s="14" t="str">
        <f>VLOOKUP(tab_Geral[[#This Row],[GeoCodigo]],tab_CETESB[],2,FALSE)</f>
        <v>Tapiratiba</v>
      </c>
      <c r="H600" s="14" t="str">
        <f>VLOOKUP(tab_Geral[[#This Row],[Informação 3]],tab_AgênciaAmbiental,10,FALSE)</f>
        <v>35</v>
      </c>
      <c r="I600" s="14" t="s">
        <v>597</v>
      </c>
      <c r="J600" s="18" t="s">
        <v>597</v>
      </c>
      <c r="K600" s="17"/>
      <c r="L600" s="17" t="s">
        <v>1916</v>
      </c>
      <c r="M600" s="17" t="s">
        <v>676</v>
      </c>
      <c r="N600" s="17" t="s">
        <v>657</v>
      </c>
      <c r="O600" s="17" t="s">
        <v>677</v>
      </c>
      <c r="P600" s="17" t="s">
        <v>678</v>
      </c>
      <c r="Q600" s="17" t="s">
        <v>679</v>
      </c>
      <c r="R600" s="17" t="s">
        <v>680</v>
      </c>
      <c r="S600" s="17" t="s">
        <v>937</v>
      </c>
    </row>
    <row r="601" spans="1:19" x14ac:dyDescent="0.25">
      <c r="A601" s="14">
        <v>583</v>
      </c>
      <c r="B601" s="14">
        <v>3553658</v>
      </c>
      <c r="C601" s="14" t="str">
        <f>IF(ISERR(FIND("-",tab_Geral[[#This Row],[Municípios]],1)),"","Têm Hifen")</f>
        <v/>
      </c>
      <c r="D601" s="14" t="str">
        <f>IF(tab_Geral[[#This Row],[Informação 3]]&lt;&gt;"","","Não Registrado")</f>
        <v/>
      </c>
      <c r="E601" s="14" t="str">
        <f>IF(tab_Geral[[#This Row],[Municípios]]=tab_Geral[[#This Row],[Informação 1]],"","Não!, Erro!")</f>
        <v/>
      </c>
      <c r="F601" s="14" t="str">
        <f>IF(tab_Geral[[#This Row],[Municípios]]=tab_Geral[[#This Row],[Município]],"","Não!, Erro!")</f>
        <v/>
      </c>
      <c r="G601" s="14" t="str">
        <f>VLOOKUP(tab_Geral[[#This Row],[GeoCodigo]],tab_CETESB[],2,FALSE)</f>
        <v>Taquaral</v>
      </c>
      <c r="H601" s="14" t="str">
        <f>VLOOKUP(tab_Geral[[#This Row],[Informação 3]],tab_AgênciaAmbiental,10,FALSE)</f>
        <v>19</v>
      </c>
      <c r="I601" s="14" t="s">
        <v>598</v>
      </c>
      <c r="J601" s="18" t="s">
        <v>598</v>
      </c>
      <c r="K601" s="17"/>
      <c r="L601" s="17" t="s">
        <v>1900</v>
      </c>
      <c r="M601" s="17" t="s">
        <v>850</v>
      </c>
      <c r="N601" s="17" t="s">
        <v>851</v>
      </c>
      <c r="O601" s="17" t="s">
        <v>852</v>
      </c>
      <c r="P601" s="17" t="s">
        <v>853</v>
      </c>
      <c r="Q601" s="17" t="s">
        <v>854</v>
      </c>
      <c r="R601" s="17" t="s">
        <v>855</v>
      </c>
      <c r="S601" s="17" t="s">
        <v>856</v>
      </c>
    </row>
    <row r="602" spans="1:19" x14ac:dyDescent="0.25">
      <c r="A602" s="14">
        <v>584</v>
      </c>
      <c r="B602" s="14">
        <v>3553708</v>
      </c>
      <c r="C602" s="14" t="str">
        <f>IF(ISERR(FIND("-",tab_Geral[[#This Row],[Municípios]],1)),"","Têm Hifen")</f>
        <v/>
      </c>
      <c r="D602" s="14" t="str">
        <f>IF(tab_Geral[[#This Row],[Informação 3]]&lt;&gt;"","","Não Registrado")</f>
        <v/>
      </c>
      <c r="E602" s="14" t="str">
        <f>IF(tab_Geral[[#This Row],[Municípios]]=tab_Geral[[#This Row],[Informação 1]],"","Não!, Erro!")</f>
        <v/>
      </c>
      <c r="F602" s="14" t="str">
        <f>IF(tab_Geral[[#This Row],[Municípios]]=tab_Geral[[#This Row],[Município]],"","Não!, Erro!")</f>
        <v/>
      </c>
      <c r="G602" s="14" t="str">
        <f>VLOOKUP(tab_Geral[[#This Row],[GeoCodigo]],tab_CETESB[],2,FALSE)</f>
        <v>Taquaritinga</v>
      </c>
      <c r="H602" s="14" t="str">
        <f>VLOOKUP(tab_Geral[[#This Row],[Informação 3]],tab_AgênciaAmbiental,10,FALSE)</f>
        <v>19</v>
      </c>
      <c r="I602" s="14" t="s">
        <v>599</v>
      </c>
      <c r="J602" s="18" t="s">
        <v>599</v>
      </c>
      <c r="K602" s="17"/>
      <c r="L602" s="17" t="s">
        <v>1900</v>
      </c>
      <c r="M602" s="17" t="s">
        <v>850</v>
      </c>
      <c r="N602" s="17" t="s">
        <v>851</v>
      </c>
      <c r="O602" s="17" t="s">
        <v>852</v>
      </c>
      <c r="P602" s="17" t="s">
        <v>853</v>
      </c>
      <c r="Q602" s="17" t="s">
        <v>854</v>
      </c>
      <c r="R602" s="17" t="s">
        <v>855</v>
      </c>
      <c r="S602" s="17" t="s">
        <v>856</v>
      </c>
    </row>
    <row r="603" spans="1:19" x14ac:dyDescent="0.25">
      <c r="A603" s="14">
        <v>585</v>
      </c>
      <c r="B603" s="14">
        <v>3553807</v>
      </c>
      <c r="C603" s="14" t="str">
        <f>IF(ISERR(FIND("-",tab_Geral[[#This Row],[Municípios]],1)),"","Têm Hifen")</f>
        <v/>
      </c>
      <c r="D603" s="14" t="str">
        <f>IF(tab_Geral[[#This Row],[Informação 3]]&lt;&gt;"","","Não Registrado")</f>
        <v/>
      </c>
      <c r="E603" s="14" t="str">
        <f>IF(tab_Geral[[#This Row],[Municípios]]=tab_Geral[[#This Row],[Informação 1]],"","Não!, Erro!")</f>
        <v/>
      </c>
      <c r="F603" s="14" t="str">
        <f>IF(tab_Geral[[#This Row],[Municípios]]=tab_Geral[[#This Row],[Município]],"","Não!, Erro!")</f>
        <v/>
      </c>
      <c r="G603" s="14" t="str">
        <f>VLOOKUP(tab_Geral[[#This Row],[GeoCodigo]],tab_CETESB[],2,FALSE)</f>
        <v>Taquarituba</v>
      </c>
      <c r="H603" s="14" t="str">
        <f>VLOOKUP(tab_Geral[[#This Row],[Informação 3]],tab_AgênciaAmbiental,10,FALSE)</f>
        <v>6</v>
      </c>
      <c r="I603" s="14" t="s">
        <v>600</v>
      </c>
      <c r="J603" s="18" t="s">
        <v>600</v>
      </c>
      <c r="K603" s="17"/>
      <c r="L603" s="17" t="s">
        <v>1887</v>
      </c>
      <c r="M603" s="17" t="s">
        <v>681</v>
      </c>
      <c r="N603" s="17" t="s">
        <v>682</v>
      </c>
      <c r="O603" s="17" t="s">
        <v>683</v>
      </c>
      <c r="P603" s="17" t="s">
        <v>684</v>
      </c>
      <c r="Q603" s="17" t="s">
        <v>685</v>
      </c>
      <c r="R603" s="17" t="s">
        <v>686</v>
      </c>
      <c r="S603" s="17" t="s">
        <v>687</v>
      </c>
    </row>
    <row r="604" spans="1:19" x14ac:dyDescent="0.25">
      <c r="A604" s="14">
        <v>586</v>
      </c>
      <c r="B604" s="14">
        <v>3553856</v>
      </c>
      <c r="C604" s="14" t="str">
        <f>IF(ISERR(FIND("-",tab_Geral[[#This Row],[Municípios]],1)),"","Têm Hifen")</f>
        <v/>
      </c>
      <c r="D604" s="14" t="str">
        <f>IF(tab_Geral[[#This Row],[Informação 3]]&lt;&gt;"","","Não Registrado")</f>
        <v/>
      </c>
      <c r="E604" s="14" t="str">
        <f>IF(tab_Geral[[#This Row],[Municípios]]=tab_Geral[[#This Row],[Informação 1]],"","Não!, Erro!")</f>
        <v/>
      </c>
      <c r="F604" s="14" t="str">
        <f>IF(tab_Geral[[#This Row],[Municípios]]=tab_Geral[[#This Row],[Município]],"","Não!, Erro!")</f>
        <v/>
      </c>
      <c r="G604" s="14" t="str">
        <f>VLOOKUP(tab_Geral[[#This Row],[GeoCodigo]],tab_CETESB[],2,FALSE)</f>
        <v>Taquarivaí</v>
      </c>
      <c r="H604" s="14" t="str">
        <f>VLOOKUP(tab_Geral[[#This Row],[Informação 3]],tab_AgênciaAmbiental,10,FALSE)</f>
        <v>11</v>
      </c>
      <c r="I604" s="14" t="s">
        <v>601</v>
      </c>
      <c r="J604" s="18" t="s">
        <v>601</v>
      </c>
      <c r="K604" s="17"/>
      <c r="L604" s="17" t="s">
        <v>1892</v>
      </c>
      <c r="M604" s="17" t="s">
        <v>795</v>
      </c>
      <c r="N604" s="17" t="s">
        <v>796</v>
      </c>
      <c r="O604" s="17" t="s">
        <v>797</v>
      </c>
      <c r="P604" s="17" t="s">
        <v>798</v>
      </c>
      <c r="Q604" s="17" t="s">
        <v>799</v>
      </c>
      <c r="R604" s="17" t="s">
        <v>800</v>
      </c>
      <c r="S604" s="17" t="s">
        <v>801</v>
      </c>
    </row>
    <row r="605" spans="1:19" x14ac:dyDescent="0.25">
      <c r="A605" s="14">
        <v>587</v>
      </c>
      <c r="B605" s="14">
        <v>3553906</v>
      </c>
      <c r="C605" s="14" t="str">
        <f>IF(ISERR(FIND("-",tab_Geral[[#This Row],[Municípios]],1)),"","Têm Hifen")</f>
        <v/>
      </c>
      <c r="D605" s="14" t="str">
        <f>IF(tab_Geral[[#This Row],[Informação 3]]&lt;&gt;"","","Não Registrado")</f>
        <v/>
      </c>
      <c r="E605" s="14" t="str">
        <f>IF(tab_Geral[[#This Row],[Municípios]]=tab_Geral[[#This Row],[Informação 1]],"","Não!, Erro!")</f>
        <v/>
      </c>
      <c r="F605" s="14" t="str">
        <f>IF(tab_Geral[[#This Row],[Municípios]]=tab_Geral[[#This Row],[Município]],"","Não!, Erro!")</f>
        <v/>
      </c>
      <c r="G605" s="14" t="str">
        <f>VLOOKUP(tab_Geral[[#This Row],[GeoCodigo]],tab_CETESB[],2,FALSE)</f>
        <v>Tarabai</v>
      </c>
      <c r="H605" s="14" t="str">
        <f>VLOOKUP(tab_Geral[[#This Row],[Informação 3]],tab_AgênciaAmbiental,10,FALSE)</f>
        <v>29</v>
      </c>
      <c r="I605" s="14" t="s">
        <v>602</v>
      </c>
      <c r="J605" s="18" t="s">
        <v>602</v>
      </c>
      <c r="K605" s="17"/>
      <c r="L605" s="17" t="s">
        <v>1910</v>
      </c>
      <c r="M605" s="17" t="s">
        <v>707</v>
      </c>
      <c r="N605" s="17" t="s">
        <v>708</v>
      </c>
      <c r="O605" s="17" t="s">
        <v>709</v>
      </c>
      <c r="P605" s="17" t="s">
        <v>710</v>
      </c>
      <c r="Q605" s="17" t="s">
        <v>711</v>
      </c>
      <c r="R605" s="17" t="s">
        <v>686</v>
      </c>
      <c r="S605" s="17" t="s">
        <v>712</v>
      </c>
    </row>
    <row r="606" spans="1:19" x14ac:dyDescent="0.25">
      <c r="A606" s="14">
        <v>588</v>
      </c>
      <c r="B606" s="14">
        <v>3553955</v>
      </c>
      <c r="C606" s="14" t="str">
        <f>IF(ISERR(FIND("-",tab_Geral[[#This Row],[Municípios]],1)),"","Têm Hifen")</f>
        <v/>
      </c>
      <c r="D606" s="14" t="str">
        <f>IF(tab_Geral[[#This Row],[Informação 3]]&lt;&gt;"","","Não Registrado")</f>
        <v/>
      </c>
      <c r="E606" s="14" t="str">
        <f>IF(tab_Geral[[#This Row],[Municípios]]=tab_Geral[[#This Row],[Informação 1]],"","Não!, Erro!")</f>
        <v/>
      </c>
      <c r="F606" s="14" t="str">
        <f>IF(tab_Geral[[#This Row],[Municípios]]=tab_Geral[[#This Row],[Município]],"","Não!, Erro!")</f>
        <v/>
      </c>
      <c r="G606" s="14" t="str">
        <f>VLOOKUP(tab_Geral[[#This Row],[GeoCodigo]],tab_CETESB[],2,FALSE)</f>
        <v>Tarumã</v>
      </c>
      <c r="H606" s="14" t="str">
        <f>VLOOKUP(tab_Geral[[#This Row],[Informação 3]],tab_AgênciaAmbiental,10,FALSE)</f>
        <v>4</v>
      </c>
      <c r="I606" s="14" t="s">
        <v>603</v>
      </c>
      <c r="J606" s="18" t="s">
        <v>603</v>
      </c>
      <c r="K606" s="17"/>
      <c r="L606" s="17" t="s">
        <v>1885</v>
      </c>
      <c r="M606" s="17" t="s">
        <v>830</v>
      </c>
      <c r="N606" s="17" t="s">
        <v>831</v>
      </c>
      <c r="O606" s="17" t="s">
        <v>832</v>
      </c>
      <c r="P606" s="17" t="s">
        <v>833</v>
      </c>
      <c r="Q606" s="17" t="s">
        <v>834</v>
      </c>
      <c r="R606" s="17" t="s">
        <v>835</v>
      </c>
      <c r="S606" s="17" t="s">
        <v>836</v>
      </c>
    </row>
    <row r="607" spans="1:19" x14ac:dyDescent="0.25">
      <c r="A607" s="14">
        <v>589</v>
      </c>
      <c r="B607" s="14">
        <v>3554003</v>
      </c>
      <c r="C607" s="14" t="str">
        <f>IF(ISERR(FIND("-",tab_Geral[[#This Row],[Municípios]],1)),"","Têm Hifen")</f>
        <v/>
      </c>
      <c r="D607" s="14" t="str">
        <f>IF(tab_Geral[[#This Row],[Informação 3]]&lt;&gt;"","","Não Registrado")</f>
        <v/>
      </c>
      <c r="E607" s="14" t="str">
        <f>IF(tab_Geral[[#This Row],[Municípios]]=tab_Geral[[#This Row],[Informação 1]],"","Não!, Erro!")</f>
        <v/>
      </c>
      <c r="F607" s="14" t="str">
        <f>IF(tab_Geral[[#This Row],[Municípios]]=tab_Geral[[#This Row],[Município]],"","Não!, Erro!")</f>
        <v/>
      </c>
      <c r="G607" s="14" t="str">
        <f>VLOOKUP(tab_Geral[[#This Row],[GeoCodigo]],tab_CETESB[],2,FALSE)</f>
        <v>Tatuí</v>
      </c>
      <c r="H607" s="14" t="str">
        <f>VLOOKUP(tab_Geral[[#This Row],[Informação 3]],tab_AgênciaAmbiental,10,FALSE)</f>
        <v>39</v>
      </c>
      <c r="I607" s="14" t="s">
        <v>604</v>
      </c>
      <c r="J607" s="18" t="s">
        <v>604</v>
      </c>
      <c r="K607" s="17"/>
      <c r="L607" s="17" t="s">
        <v>1920</v>
      </c>
      <c r="M607" s="17" t="s">
        <v>802</v>
      </c>
      <c r="N607" s="17" t="s">
        <v>803</v>
      </c>
      <c r="O607" s="17" t="s">
        <v>804</v>
      </c>
      <c r="P607" s="17" t="s">
        <v>805</v>
      </c>
      <c r="Q607" s="17" t="s">
        <v>806</v>
      </c>
      <c r="R607" s="17" t="s">
        <v>807</v>
      </c>
      <c r="S607" s="17" t="s">
        <v>808</v>
      </c>
    </row>
    <row r="608" spans="1:19" x14ac:dyDescent="0.25">
      <c r="A608" s="14">
        <v>590</v>
      </c>
      <c r="B608" s="14">
        <v>3554102</v>
      </c>
      <c r="C608" s="14" t="str">
        <f>IF(ISERR(FIND("-",tab_Geral[[#This Row],[Municípios]],1)),"","Têm Hifen")</f>
        <v/>
      </c>
      <c r="D608" s="14" t="str">
        <f>IF(tab_Geral[[#This Row],[Informação 3]]&lt;&gt;"","","Não Registrado")</f>
        <v/>
      </c>
      <c r="E608" s="14" t="str">
        <f>IF(tab_Geral[[#This Row],[Municípios]]=tab_Geral[[#This Row],[Informação 1]],"","Não!, Erro!")</f>
        <v/>
      </c>
      <c r="F608" s="14" t="str">
        <f>IF(tab_Geral[[#This Row],[Municípios]]=tab_Geral[[#This Row],[Município]],"","Não!, Erro!")</f>
        <v/>
      </c>
      <c r="G608" s="14" t="str">
        <f>VLOOKUP(tab_Geral[[#This Row],[GeoCodigo]],tab_CETESB[],2,FALSE)</f>
        <v>Taubaté</v>
      </c>
      <c r="H608" s="14" t="str">
        <f>VLOOKUP(tab_Geral[[#This Row],[Informação 3]],tab_AgênciaAmbiental,10,FALSE)</f>
        <v>40</v>
      </c>
      <c r="I608" s="14" t="s">
        <v>605</v>
      </c>
      <c r="J608" s="18" t="s">
        <v>605</v>
      </c>
      <c r="K608" s="17"/>
      <c r="L608" s="17" t="s">
        <v>1921</v>
      </c>
      <c r="M608" s="17" t="s">
        <v>781</v>
      </c>
      <c r="N608" s="17" t="s">
        <v>782</v>
      </c>
      <c r="O608" s="17" t="s">
        <v>783</v>
      </c>
      <c r="P608" s="17" t="s">
        <v>784</v>
      </c>
      <c r="Q608" s="17" t="s">
        <v>785</v>
      </c>
      <c r="R608" s="17" t="s">
        <v>786</v>
      </c>
      <c r="S608" s="17" t="s">
        <v>787</v>
      </c>
    </row>
    <row r="609" spans="1:19" x14ac:dyDescent="0.25">
      <c r="A609" s="14">
        <v>591</v>
      </c>
      <c r="B609" s="14">
        <v>3554201</v>
      </c>
      <c r="C609" s="14" t="str">
        <f>IF(ISERR(FIND("-",tab_Geral[[#This Row],[Municípios]],1)),"","Têm Hifen")</f>
        <v/>
      </c>
      <c r="D609" s="14" t="str">
        <f>IF(tab_Geral[[#This Row],[Informação 3]]&lt;&gt;"","","Não Registrado")</f>
        <v/>
      </c>
      <c r="E609" s="14" t="str">
        <f>IF(tab_Geral[[#This Row],[Municípios]]=tab_Geral[[#This Row],[Informação 1]],"","Não!, Erro!")</f>
        <v/>
      </c>
      <c r="F609" s="14" t="str">
        <f>IF(tab_Geral[[#This Row],[Municípios]]=tab_Geral[[#This Row],[Município]],"","Não!, Erro!")</f>
        <v/>
      </c>
      <c r="G609" s="14" t="str">
        <f>VLOOKUP(tab_Geral[[#This Row],[GeoCodigo]],tab_CETESB[],2,FALSE)</f>
        <v>Tejupá</v>
      </c>
      <c r="H609" s="14" t="str">
        <f>VLOOKUP(tab_Geral[[#This Row],[Informação 3]],tab_AgênciaAmbiental,10,FALSE)</f>
        <v>6</v>
      </c>
      <c r="I609" s="14" t="s">
        <v>606</v>
      </c>
      <c r="J609" s="18" t="s">
        <v>606</v>
      </c>
      <c r="K609" s="17"/>
      <c r="L609" s="17" t="s">
        <v>1887</v>
      </c>
      <c r="M609" s="17" t="s">
        <v>681</v>
      </c>
      <c r="N609" s="17" t="s">
        <v>682</v>
      </c>
      <c r="O609" s="17" t="s">
        <v>683</v>
      </c>
      <c r="P609" s="17" t="s">
        <v>684</v>
      </c>
      <c r="Q609" s="17" t="s">
        <v>685</v>
      </c>
      <c r="R609" s="17" t="s">
        <v>686</v>
      </c>
      <c r="S609" s="17" t="s">
        <v>687</v>
      </c>
    </row>
    <row r="610" spans="1:19" x14ac:dyDescent="0.25">
      <c r="A610" s="14">
        <v>592</v>
      </c>
      <c r="B610" s="14">
        <v>3554300</v>
      </c>
      <c r="C610" s="14" t="str">
        <f>IF(ISERR(FIND("-",tab_Geral[[#This Row],[Municípios]],1)),"","Têm Hifen")</f>
        <v/>
      </c>
      <c r="D610" s="14" t="str">
        <f>IF(tab_Geral[[#This Row],[Informação 3]]&lt;&gt;"","","Não Registrado")</f>
        <v/>
      </c>
      <c r="E610" s="14" t="str">
        <f>IF(tab_Geral[[#This Row],[Municípios]]=tab_Geral[[#This Row],[Informação 1]],"","Não!, Erro!")</f>
        <v/>
      </c>
      <c r="F610" s="14" t="str">
        <f>IF(tab_Geral[[#This Row],[Municípios]]=tab_Geral[[#This Row],[Município]],"","Não!, Erro!")</f>
        <v/>
      </c>
      <c r="G610" s="14" t="str">
        <f>VLOOKUP(tab_Geral[[#This Row],[GeoCodigo]],tab_CETESB[],2,FALSE)</f>
        <v>Teodoro Sampaio</v>
      </c>
      <c r="H610" s="14" t="str">
        <f>VLOOKUP(tab_Geral[[#This Row],[Informação 3]],tab_AgênciaAmbiental,10,FALSE)</f>
        <v>29</v>
      </c>
      <c r="I610" s="14" t="s">
        <v>607</v>
      </c>
      <c r="J610" s="18" t="s">
        <v>607</v>
      </c>
      <c r="K610" s="17"/>
      <c r="L610" s="17" t="s">
        <v>1910</v>
      </c>
      <c r="M610" s="17" t="s">
        <v>707</v>
      </c>
      <c r="N610" s="17" t="s">
        <v>708</v>
      </c>
      <c r="O610" s="17" t="s">
        <v>709</v>
      </c>
      <c r="P610" s="17" t="s">
        <v>710</v>
      </c>
      <c r="Q610" s="17" t="s">
        <v>711</v>
      </c>
      <c r="R610" s="17" t="s">
        <v>686</v>
      </c>
      <c r="S610" s="17" t="s">
        <v>712</v>
      </c>
    </row>
    <row r="611" spans="1:19" x14ac:dyDescent="0.25">
      <c r="A611" s="14">
        <v>593</v>
      </c>
      <c r="B611" s="14">
        <v>3554409</v>
      </c>
      <c r="C611" s="14" t="str">
        <f>IF(ISERR(FIND("-",tab_Geral[[#This Row],[Municípios]],1)),"","Têm Hifen")</f>
        <v/>
      </c>
      <c r="D611" s="14" t="str">
        <f>IF(tab_Geral[[#This Row],[Informação 3]]&lt;&gt;"","","Não Registrado")</f>
        <v/>
      </c>
      <c r="E611" s="14" t="str">
        <f>IF(tab_Geral[[#This Row],[Municípios]]=tab_Geral[[#This Row],[Informação 1]],"","Não!, Erro!")</f>
        <v/>
      </c>
      <c r="F611" s="14" t="str">
        <f>IF(tab_Geral[[#This Row],[Municípios]]=tab_Geral[[#This Row],[Município]],"","Não!, Erro!")</f>
        <v/>
      </c>
      <c r="G611" s="14" t="str">
        <f>VLOOKUP(tab_Geral[[#This Row],[GeoCodigo]],tab_CETESB[],2,FALSE)</f>
        <v>Terra Roxa</v>
      </c>
      <c r="H611" s="14" t="str">
        <f>VLOOKUP(tab_Geral[[#This Row],[Informação 3]],tab_AgênciaAmbiental,10,FALSE)</f>
        <v>7</v>
      </c>
      <c r="I611" s="14" t="s">
        <v>608</v>
      </c>
      <c r="J611" s="18" t="s">
        <v>608</v>
      </c>
      <c r="K611" s="17"/>
      <c r="L611" s="17" t="s">
        <v>1888</v>
      </c>
      <c r="M611" s="17" t="s">
        <v>713</v>
      </c>
      <c r="N611" s="17" t="s">
        <v>714</v>
      </c>
      <c r="O611" s="17" t="s">
        <v>715</v>
      </c>
      <c r="P611" s="17" t="s">
        <v>716</v>
      </c>
      <c r="Q611" s="17" t="s">
        <v>717</v>
      </c>
      <c r="R611" s="17" t="s">
        <v>718</v>
      </c>
      <c r="S611" s="17" t="s">
        <v>719</v>
      </c>
    </row>
    <row r="612" spans="1:19" x14ac:dyDescent="0.25">
      <c r="A612" s="14">
        <v>594</v>
      </c>
      <c r="B612" s="14">
        <v>3554508</v>
      </c>
      <c r="C612" s="14" t="str">
        <f>IF(ISERR(FIND("-",tab_Geral[[#This Row],[Municípios]],1)),"","Têm Hifen")</f>
        <v/>
      </c>
      <c r="D612" s="14" t="str">
        <f>IF(tab_Geral[[#This Row],[Informação 3]]&lt;&gt;"","","Não Registrado")</f>
        <v/>
      </c>
      <c r="E612" s="14" t="str">
        <f>IF(tab_Geral[[#This Row],[Municípios]]=tab_Geral[[#This Row],[Informação 1]],"","Não!, Erro!")</f>
        <v/>
      </c>
      <c r="F612" s="14" t="str">
        <f>IF(tab_Geral[[#This Row],[Municípios]]=tab_Geral[[#This Row],[Município]],"","Não!, Erro!")</f>
        <v/>
      </c>
      <c r="G612" s="14" t="str">
        <f>VLOOKUP(tab_Geral[[#This Row],[GeoCodigo]],tab_CETESB[],2,FALSE)</f>
        <v>Tietê</v>
      </c>
      <c r="H612" s="14" t="str">
        <f>VLOOKUP(tab_Geral[[#This Row],[Informação 3]],tab_AgênciaAmbiental,10,FALSE)</f>
        <v>18</v>
      </c>
      <c r="I612" s="14" t="s">
        <v>609</v>
      </c>
      <c r="J612" s="18" t="s">
        <v>609</v>
      </c>
      <c r="K612" s="17"/>
      <c r="L612" s="17" t="s">
        <v>1899</v>
      </c>
      <c r="M612" s="17" t="s">
        <v>733</v>
      </c>
      <c r="N612" s="17" t="s">
        <v>657</v>
      </c>
      <c r="O612" s="17" t="s">
        <v>734</v>
      </c>
      <c r="P612" s="17" t="s">
        <v>735</v>
      </c>
      <c r="Q612" s="17" t="s">
        <v>736</v>
      </c>
      <c r="R612" s="17" t="s">
        <v>737</v>
      </c>
      <c r="S612" s="17" t="s">
        <v>738</v>
      </c>
    </row>
    <row r="613" spans="1:19" x14ac:dyDescent="0.25">
      <c r="A613" s="14">
        <v>595</v>
      </c>
      <c r="B613" s="14">
        <v>3554607</v>
      </c>
      <c r="C613" s="14" t="str">
        <f>IF(ISERR(FIND("-",tab_Geral[[#This Row],[Municípios]],1)),"","Têm Hifen")</f>
        <v/>
      </c>
      <c r="D613" s="14" t="str">
        <f>IF(tab_Geral[[#This Row],[Informação 3]]&lt;&gt;"","","Não Registrado")</f>
        <v/>
      </c>
      <c r="E613" s="14" t="str">
        <f>IF(tab_Geral[[#This Row],[Municípios]]=tab_Geral[[#This Row],[Informação 1]],"","Não!, Erro!")</f>
        <v/>
      </c>
      <c r="F613" s="14" t="str">
        <f>IF(tab_Geral[[#This Row],[Municípios]]=tab_Geral[[#This Row],[Município]],"","Não!, Erro!")</f>
        <v/>
      </c>
      <c r="G613" s="14" t="str">
        <f>VLOOKUP(tab_Geral[[#This Row],[GeoCodigo]],tab_CETESB[],2,FALSE)</f>
        <v>Timburi</v>
      </c>
      <c r="H613" s="14" t="str">
        <f>VLOOKUP(tab_Geral[[#This Row],[Informação 3]],tab_AgênciaAmbiental,10,FALSE)</f>
        <v>4</v>
      </c>
      <c r="I613" s="14" t="s">
        <v>610</v>
      </c>
      <c r="J613" s="18" t="s">
        <v>610</v>
      </c>
      <c r="K613" s="17"/>
      <c r="L613" s="17" t="s">
        <v>1885</v>
      </c>
      <c r="M613" s="17" t="s">
        <v>830</v>
      </c>
      <c r="N613" s="17" t="s">
        <v>831</v>
      </c>
      <c r="O613" s="17" t="s">
        <v>832</v>
      </c>
      <c r="P613" s="17" t="s">
        <v>833</v>
      </c>
      <c r="Q613" s="17" t="s">
        <v>834</v>
      </c>
      <c r="R613" s="17" t="s">
        <v>835</v>
      </c>
      <c r="S613" s="17" t="s">
        <v>836</v>
      </c>
    </row>
    <row r="614" spans="1:19" x14ac:dyDescent="0.25">
      <c r="A614" s="14">
        <v>596</v>
      </c>
      <c r="B614" s="14">
        <v>3554656</v>
      </c>
      <c r="C614" s="14" t="str">
        <f>IF(ISERR(FIND("-",tab_Geral[[#This Row],[Municípios]],1)),"","Têm Hifen")</f>
        <v/>
      </c>
      <c r="D614" s="14" t="str">
        <f>IF(tab_Geral[[#This Row],[Informação 3]]&lt;&gt;"","","Não Registrado")</f>
        <v/>
      </c>
      <c r="E614" s="14" t="str">
        <f>IF(tab_Geral[[#This Row],[Municípios]]=tab_Geral[[#This Row],[Informação 1]],"","Não!, Erro!")</f>
        <v/>
      </c>
      <c r="F614" s="14" t="str">
        <f>IF(tab_Geral[[#This Row],[Municípios]]=tab_Geral[[#This Row],[Município]],"","Não!, Erro!")</f>
        <v/>
      </c>
      <c r="G614" s="14" t="str">
        <f>VLOOKUP(tab_Geral[[#This Row],[GeoCodigo]],tab_CETESB[],2,FALSE)</f>
        <v>Torre de Pedra</v>
      </c>
      <c r="H614" s="14" t="str">
        <f>VLOOKUP(tab_Geral[[#This Row],[Informação 3]],tab_AgênciaAmbiental,10,FALSE)</f>
        <v>9</v>
      </c>
      <c r="I614" s="14" t="s">
        <v>611</v>
      </c>
      <c r="J614" s="18" t="s">
        <v>611</v>
      </c>
      <c r="K614" s="17"/>
      <c r="L614" s="17" t="s">
        <v>1890</v>
      </c>
      <c r="M614" s="17" t="s">
        <v>774</v>
      </c>
      <c r="N614" s="17" t="s">
        <v>775</v>
      </c>
      <c r="O614" s="17" t="s">
        <v>776</v>
      </c>
      <c r="P614" s="17" t="s">
        <v>777</v>
      </c>
      <c r="Q614" s="17" t="s">
        <v>778</v>
      </c>
      <c r="R614" s="17" t="s">
        <v>779</v>
      </c>
      <c r="S614" s="17" t="s">
        <v>780</v>
      </c>
    </row>
    <row r="615" spans="1:19" x14ac:dyDescent="0.25">
      <c r="A615" s="14">
        <v>597</v>
      </c>
      <c r="B615" s="14">
        <v>3554706</v>
      </c>
      <c r="C615" s="14" t="str">
        <f>IF(ISERR(FIND("-",tab_Geral[[#This Row],[Municípios]],1)),"","Têm Hifen")</f>
        <v/>
      </c>
      <c r="D615" s="14" t="str">
        <f>IF(tab_Geral[[#This Row],[Informação 3]]&lt;&gt;"","","Não Registrado")</f>
        <v/>
      </c>
      <c r="E615" s="14" t="str">
        <f>IF(tab_Geral[[#This Row],[Municípios]]=tab_Geral[[#This Row],[Informação 1]],"","Não!, Erro!")</f>
        <v/>
      </c>
      <c r="F615" s="14" t="str">
        <f>IF(tab_Geral[[#This Row],[Municípios]]=tab_Geral[[#This Row],[Município]],"","Não!, Erro!")</f>
        <v/>
      </c>
      <c r="G615" s="14" t="str">
        <f>VLOOKUP(tab_Geral[[#This Row],[GeoCodigo]],tab_CETESB[],2,FALSE)</f>
        <v>Torrinha</v>
      </c>
      <c r="H615" s="14" t="str">
        <f>VLOOKUP(tab_Geral[[#This Row],[Informação 3]],tab_AgênciaAmbiental,10,FALSE)</f>
        <v>34</v>
      </c>
      <c r="I615" s="14" t="s">
        <v>612</v>
      </c>
      <c r="J615" s="18" t="s">
        <v>612</v>
      </c>
      <c r="K615" s="17"/>
      <c r="L615" s="17" t="s">
        <v>1915</v>
      </c>
      <c r="M615" s="17" t="s">
        <v>877</v>
      </c>
      <c r="N615" s="17" t="s">
        <v>878</v>
      </c>
      <c r="O615" s="17" t="s">
        <v>879</v>
      </c>
      <c r="P615" s="17" t="s">
        <v>880</v>
      </c>
      <c r="Q615" s="17" t="s">
        <v>881</v>
      </c>
      <c r="R615" s="17" t="s">
        <v>882</v>
      </c>
      <c r="S615" s="17" t="s">
        <v>883</v>
      </c>
    </row>
    <row r="616" spans="1:19" x14ac:dyDescent="0.25">
      <c r="A616" s="14">
        <v>598</v>
      </c>
      <c r="B616" s="14">
        <v>3554755</v>
      </c>
      <c r="C616" s="14" t="str">
        <f>IF(ISERR(FIND("-",tab_Geral[[#This Row],[Municípios]],1)),"","Têm Hifen")</f>
        <v/>
      </c>
      <c r="D616" s="14" t="str">
        <f>IF(tab_Geral[[#This Row],[Informação 3]]&lt;&gt;"","","Não Registrado")</f>
        <v/>
      </c>
      <c r="E616" s="14" t="str">
        <f>IF(tab_Geral[[#This Row],[Municípios]]=tab_Geral[[#This Row],[Informação 1]],"","Não!, Erro!")</f>
        <v/>
      </c>
      <c r="F616" s="14" t="str">
        <f>IF(tab_Geral[[#This Row],[Municípios]]=tab_Geral[[#This Row],[Município]],"","Não!, Erro!")</f>
        <v/>
      </c>
      <c r="G616" s="14" t="str">
        <f>VLOOKUP(tab_Geral[[#This Row],[GeoCodigo]],tab_CETESB[],2,FALSE)</f>
        <v>Trabiju</v>
      </c>
      <c r="H616" s="14" t="str">
        <f>VLOOKUP(tab_Geral[[#This Row],[Informação 3]],tab_AgênciaAmbiental,10,FALSE)</f>
        <v>3</v>
      </c>
      <c r="I616" s="14" t="s">
        <v>613</v>
      </c>
      <c r="J616" s="18" t="s">
        <v>613</v>
      </c>
      <c r="K616" s="17"/>
      <c r="L616" s="17" t="s">
        <v>1884</v>
      </c>
      <c r="M616" s="17" t="s">
        <v>760</v>
      </c>
      <c r="N616" s="17" t="s">
        <v>761</v>
      </c>
      <c r="O616" s="17" t="s">
        <v>762</v>
      </c>
      <c r="P616" s="17" t="s">
        <v>763</v>
      </c>
      <c r="Q616" s="17" t="s">
        <v>764</v>
      </c>
      <c r="R616" s="17" t="s">
        <v>765</v>
      </c>
      <c r="S616" s="17" t="s">
        <v>766</v>
      </c>
    </row>
    <row r="617" spans="1:19" x14ac:dyDescent="0.25">
      <c r="A617" s="14">
        <v>599</v>
      </c>
      <c r="B617" s="14">
        <v>3554805</v>
      </c>
      <c r="C617" s="14" t="str">
        <f>IF(ISERR(FIND("-",tab_Geral[[#This Row],[Municípios]],1)),"","Têm Hifen")</f>
        <v/>
      </c>
      <c r="D617" s="14" t="str">
        <f>IF(tab_Geral[[#This Row],[Informação 3]]&lt;&gt;"","","Não Registrado")</f>
        <v/>
      </c>
      <c r="E617" s="14" t="str">
        <f>IF(tab_Geral[[#This Row],[Municípios]]=tab_Geral[[#This Row],[Informação 1]],"","Não!, Erro!")</f>
        <v/>
      </c>
      <c r="F617" s="14" t="str">
        <f>IF(tab_Geral[[#This Row],[Municípios]]=tab_Geral[[#This Row],[Município]],"","Não!, Erro!")</f>
        <v/>
      </c>
      <c r="G617" s="14" t="str">
        <f>VLOOKUP(tab_Geral[[#This Row],[GeoCodigo]],tab_CETESB[],2,FALSE)</f>
        <v>Tremembé</v>
      </c>
      <c r="H617" s="14" t="str">
        <f>VLOOKUP(tab_Geral[[#This Row],[Informação 3]],tab_AgênciaAmbiental,10,FALSE)</f>
        <v>40</v>
      </c>
      <c r="I617" s="14" t="s">
        <v>614</v>
      </c>
      <c r="J617" s="18" t="s">
        <v>614</v>
      </c>
      <c r="K617" s="17"/>
      <c r="L617" s="17" t="s">
        <v>1921</v>
      </c>
      <c r="M617" s="17" t="s">
        <v>781</v>
      </c>
      <c r="N617" s="17" t="s">
        <v>782</v>
      </c>
      <c r="O617" s="17" t="s">
        <v>783</v>
      </c>
      <c r="P617" s="17" t="s">
        <v>784</v>
      </c>
      <c r="Q617" s="17" t="s">
        <v>785</v>
      </c>
      <c r="R617" s="17" t="s">
        <v>786</v>
      </c>
      <c r="S617" s="17" t="s">
        <v>787</v>
      </c>
    </row>
    <row r="618" spans="1:19" x14ac:dyDescent="0.25">
      <c r="A618" s="14">
        <v>600</v>
      </c>
      <c r="B618" s="14">
        <v>3554904</v>
      </c>
      <c r="C618" s="14" t="str">
        <f>IF(ISERR(FIND("-",tab_Geral[[#This Row],[Municípios]],1)),"","Têm Hifen")</f>
        <v/>
      </c>
      <c r="D618" s="14" t="str">
        <f>IF(tab_Geral[[#This Row],[Informação 3]]&lt;&gt;"","","Não Registrado")</f>
        <v/>
      </c>
      <c r="E618" s="14" t="str">
        <f>IF(tab_Geral[[#This Row],[Municípios]]=tab_Geral[[#This Row],[Informação 1]],"","Não!, Erro!")</f>
        <v/>
      </c>
      <c r="F618" s="14" t="str">
        <f>IF(tab_Geral[[#This Row],[Municípios]]=tab_Geral[[#This Row],[Município]],"","Não!, Erro!")</f>
        <v/>
      </c>
      <c r="G618" s="14" t="str">
        <f>VLOOKUP(tab_Geral[[#This Row],[GeoCodigo]],tab_CETESB[],2,FALSE)</f>
        <v>Três Fronteiras</v>
      </c>
      <c r="H618" s="14" t="str">
        <f>VLOOKUP(tab_Geral[[#This Row],[Informação 3]],tab_AgênciaAmbiental,10,FALSE)</f>
        <v>20</v>
      </c>
      <c r="I618" s="14" t="s">
        <v>615</v>
      </c>
      <c r="J618" s="18" t="s">
        <v>615</v>
      </c>
      <c r="K618" s="17"/>
      <c r="L618" s="17" t="s">
        <v>1901</v>
      </c>
      <c r="M618" s="17" t="s">
        <v>788</v>
      </c>
      <c r="N618" s="17" t="s">
        <v>789</v>
      </c>
      <c r="O618" s="17" t="s">
        <v>790</v>
      </c>
      <c r="P618" s="17" t="s">
        <v>791</v>
      </c>
      <c r="Q618" s="17" t="s">
        <v>792</v>
      </c>
      <c r="R618" s="17" t="s">
        <v>793</v>
      </c>
      <c r="S618" s="17" t="s">
        <v>794</v>
      </c>
    </row>
    <row r="619" spans="1:19" x14ac:dyDescent="0.25">
      <c r="A619" s="14">
        <v>601</v>
      </c>
      <c r="B619" s="14">
        <v>3554953</v>
      </c>
      <c r="C619" s="14" t="str">
        <f>IF(ISERR(FIND("-",tab_Geral[[#This Row],[Municípios]],1)),"","Têm Hifen")</f>
        <v/>
      </c>
      <c r="D619" s="14" t="str">
        <f>IF(tab_Geral[[#This Row],[Informação 3]]&lt;&gt;"","","Não Registrado")</f>
        <v/>
      </c>
      <c r="E619" s="14" t="str">
        <f>IF(tab_Geral[[#This Row],[Municípios]]=tab_Geral[[#This Row],[Informação 1]],"","Não!, Erro!")</f>
        <v/>
      </c>
      <c r="F619" s="14" t="str">
        <f>IF(tab_Geral[[#This Row],[Municípios]]=tab_Geral[[#This Row],[Município]],"","Não!, Erro!")</f>
        <v/>
      </c>
      <c r="G619" s="14" t="str">
        <f>VLOOKUP(tab_Geral[[#This Row],[GeoCodigo]],tab_CETESB[],2,FALSE)</f>
        <v>Tuiuti</v>
      </c>
      <c r="H619" s="14" t="str">
        <f>VLOOKUP(tab_Geral[[#This Row],[Informação 3]],tab_AgênciaAmbiental,10,FALSE)</f>
        <v>5</v>
      </c>
      <c r="I619" s="14" t="s">
        <v>616</v>
      </c>
      <c r="J619" s="18" t="s">
        <v>616</v>
      </c>
      <c r="K619" s="17"/>
      <c r="L619" s="17" t="s">
        <v>1886</v>
      </c>
      <c r="M619" s="17" t="s">
        <v>837</v>
      </c>
      <c r="N619" s="17" t="s">
        <v>657</v>
      </c>
      <c r="O619" s="17" t="s">
        <v>838</v>
      </c>
      <c r="P619" s="17" t="s">
        <v>839</v>
      </c>
      <c r="Q619" s="17" t="s">
        <v>840</v>
      </c>
      <c r="R619" s="17" t="s">
        <v>841</v>
      </c>
      <c r="S619" s="17" t="s">
        <v>842</v>
      </c>
    </row>
    <row r="620" spans="1:19" x14ac:dyDescent="0.25">
      <c r="A620" s="14">
        <v>602</v>
      </c>
      <c r="B620" s="14">
        <v>3555000</v>
      </c>
      <c r="C620" s="14" t="str">
        <f>IF(ISERR(FIND("-",tab_Geral[[#This Row],[Municípios]],1)),"","Têm Hifen")</f>
        <v/>
      </c>
      <c r="D620" s="14" t="str">
        <f>IF(tab_Geral[[#This Row],[Informação 3]]&lt;&gt;"","","Não Registrado")</f>
        <v/>
      </c>
      <c r="E620" s="14" t="str">
        <f>IF(tab_Geral[[#This Row],[Municípios]]=tab_Geral[[#This Row],[Informação 1]],"","Não!, Erro!")</f>
        <v/>
      </c>
      <c r="F620" s="14" t="str">
        <f>IF(tab_Geral[[#This Row],[Municípios]]=tab_Geral[[#This Row],[Município]],"","Não!, Erro!")</f>
        <v/>
      </c>
      <c r="G620" s="14" t="str">
        <f>VLOOKUP(tab_Geral[[#This Row],[GeoCodigo]],tab_CETESB[],2,FALSE)</f>
        <v>Tupã</v>
      </c>
      <c r="H620" s="14" t="str">
        <f>VLOOKUP(tab_Geral[[#This Row],[Informação 3]],tab_AgênciaAmbiental,10,FALSE)</f>
        <v>23</v>
      </c>
      <c r="I620" s="14" t="s">
        <v>617</v>
      </c>
      <c r="J620" s="18" t="s">
        <v>617</v>
      </c>
      <c r="K620" s="17"/>
      <c r="L620" s="17" t="s">
        <v>1904</v>
      </c>
      <c r="M620" s="17" t="s">
        <v>746</v>
      </c>
      <c r="N620" s="17" t="s">
        <v>747</v>
      </c>
      <c r="O620" s="17" t="s">
        <v>748</v>
      </c>
      <c r="P620" s="17" t="s">
        <v>749</v>
      </c>
      <c r="Q620" s="17" t="s">
        <v>750</v>
      </c>
      <c r="R620" s="17" t="s">
        <v>751</v>
      </c>
      <c r="S620" s="17" t="s">
        <v>752</v>
      </c>
    </row>
    <row r="621" spans="1:19" x14ac:dyDescent="0.25">
      <c r="A621" s="14">
        <v>603</v>
      </c>
      <c r="B621" s="14">
        <v>3555109</v>
      </c>
      <c r="C621" s="14" t="str">
        <f>IF(ISERR(FIND("-",tab_Geral[[#This Row],[Municípios]],1)),"","Têm Hifen")</f>
        <v/>
      </c>
      <c r="D621" s="14" t="str">
        <f>IF(tab_Geral[[#This Row],[Informação 3]]&lt;&gt;"","","Não Registrado")</f>
        <v/>
      </c>
      <c r="E621" s="14" t="str">
        <f>IF(tab_Geral[[#This Row],[Municípios]]=tab_Geral[[#This Row],[Informação 1]],"","Não!, Erro!")</f>
        <v/>
      </c>
      <c r="F621" s="14" t="str">
        <f>IF(tab_Geral[[#This Row],[Municípios]]=tab_Geral[[#This Row],[Município]],"","Não!, Erro!")</f>
        <v/>
      </c>
      <c r="G621" s="14" t="str">
        <f>VLOOKUP(tab_Geral[[#This Row],[GeoCodigo]],tab_CETESB[],2,FALSE)</f>
        <v>Tupi Paulista</v>
      </c>
      <c r="H621" s="14" t="str">
        <f>VLOOKUP(tab_Geral[[#This Row],[Informação 3]],tab_AgênciaAmbiental,10,FALSE)</f>
        <v>13</v>
      </c>
      <c r="I621" s="14" t="s">
        <v>618</v>
      </c>
      <c r="J621" s="18" t="s">
        <v>618</v>
      </c>
      <c r="K621" s="17"/>
      <c r="L621" s="17" t="s">
        <v>1894</v>
      </c>
      <c r="M621" s="17" t="s">
        <v>656</v>
      </c>
      <c r="N621" s="17" t="s">
        <v>657</v>
      </c>
      <c r="O621" s="17" t="s">
        <v>658</v>
      </c>
      <c r="P621" s="17" t="s">
        <v>659</v>
      </c>
      <c r="Q621" s="17" t="s">
        <v>660</v>
      </c>
      <c r="R621" s="17" t="s">
        <v>661</v>
      </c>
      <c r="S621" s="17" t="s">
        <v>662</v>
      </c>
    </row>
    <row r="622" spans="1:19" x14ac:dyDescent="0.25">
      <c r="A622" s="14">
        <v>604</v>
      </c>
      <c r="B622" s="14">
        <v>3555208</v>
      </c>
      <c r="C622" s="14" t="str">
        <f>IF(ISERR(FIND("-",tab_Geral[[#This Row],[Municípios]],1)),"","Têm Hifen")</f>
        <v/>
      </c>
      <c r="D622" s="14" t="str">
        <f>IF(tab_Geral[[#This Row],[Informação 3]]&lt;&gt;"","","Não Registrado")</f>
        <v/>
      </c>
      <c r="E622" s="14" t="str">
        <f>IF(tab_Geral[[#This Row],[Municípios]]=tab_Geral[[#This Row],[Informação 1]],"","Não!, Erro!")</f>
        <v/>
      </c>
      <c r="F622" s="14" t="str">
        <f>IF(tab_Geral[[#This Row],[Municípios]]=tab_Geral[[#This Row],[Município]],"","Não!, Erro!")</f>
        <v/>
      </c>
      <c r="G622" s="14" t="str">
        <f>VLOOKUP(tab_Geral[[#This Row],[GeoCodigo]],tab_CETESB[],2,FALSE)</f>
        <v>Turiúba</v>
      </c>
      <c r="H622" s="14" t="str">
        <f>VLOOKUP(tab_Geral[[#This Row],[Informação 3]],tab_AgênciaAmbiental,10,FALSE)</f>
        <v>2</v>
      </c>
      <c r="I622" s="14" t="s">
        <v>619</v>
      </c>
      <c r="J622" s="18" t="s">
        <v>619</v>
      </c>
      <c r="K622" s="17"/>
      <c r="L622" s="17" t="s">
        <v>1883</v>
      </c>
      <c r="M622" s="17" t="s">
        <v>727</v>
      </c>
      <c r="N622" s="17" t="s">
        <v>728</v>
      </c>
      <c r="O622" s="17" t="s">
        <v>729</v>
      </c>
      <c r="P622" s="17" t="s">
        <v>730</v>
      </c>
      <c r="Q622" s="17" t="s">
        <v>731</v>
      </c>
      <c r="R622" s="17" t="s">
        <v>732</v>
      </c>
      <c r="S622" s="17" t="s">
        <v>936</v>
      </c>
    </row>
    <row r="623" spans="1:19" x14ac:dyDescent="0.25">
      <c r="A623" s="14">
        <v>605</v>
      </c>
      <c r="B623" s="14">
        <v>3555307</v>
      </c>
      <c r="C623" s="14" t="str">
        <f>IF(ISERR(FIND("-",tab_Geral[[#This Row],[Municípios]],1)),"","Têm Hifen")</f>
        <v/>
      </c>
      <c r="D623" s="14" t="str">
        <f>IF(tab_Geral[[#This Row],[Informação 3]]&lt;&gt;"","","Não Registrado")</f>
        <v/>
      </c>
      <c r="E623" s="14" t="str">
        <f>IF(tab_Geral[[#This Row],[Municípios]]=tab_Geral[[#This Row],[Informação 1]],"","Não!, Erro!")</f>
        <v/>
      </c>
      <c r="F623" s="14" t="str">
        <f>IF(tab_Geral[[#This Row],[Municípios]]=tab_Geral[[#This Row],[Município]],"","Não!, Erro!")</f>
        <v/>
      </c>
      <c r="G623" s="14" t="str">
        <f>VLOOKUP(tab_Geral[[#This Row],[GeoCodigo]],tab_CETESB[],2,FALSE)</f>
        <v>Turmalina</v>
      </c>
      <c r="H623" s="14" t="str">
        <f>VLOOKUP(tab_Geral[[#This Row],[Informação 3]],tab_AgênciaAmbiental,10,FALSE)</f>
        <v>20</v>
      </c>
      <c r="I623" s="14" t="s">
        <v>620</v>
      </c>
      <c r="J623" s="18" t="s">
        <v>620</v>
      </c>
      <c r="K623" s="17"/>
      <c r="L623" s="17" t="s">
        <v>1901</v>
      </c>
      <c r="M623" s="17" t="s">
        <v>788</v>
      </c>
      <c r="N623" s="17" t="s">
        <v>789</v>
      </c>
      <c r="O623" s="17" t="s">
        <v>790</v>
      </c>
      <c r="P623" s="17" t="s">
        <v>791</v>
      </c>
      <c r="Q623" s="17" t="s">
        <v>792</v>
      </c>
      <c r="R623" s="17" t="s">
        <v>793</v>
      </c>
      <c r="S623" s="17" t="s">
        <v>794</v>
      </c>
    </row>
    <row r="624" spans="1:19" x14ac:dyDescent="0.25">
      <c r="A624" s="14">
        <v>606</v>
      </c>
      <c r="B624" s="14">
        <v>3555356</v>
      </c>
      <c r="C624" s="14" t="str">
        <f>IF(ISERR(FIND("-",tab_Geral[[#This Row],[Municípios]],1)),"","Têm Hifen")</f>
        <v/>
      </c>
      <c r="D624" s="14" t="str">
        <f>IF(tab_Geral[[#This Row],[Informação 3]]&lt;&gt;"","","Não Registrado")</f>
        <v/>
      </c>
      <c r="E624" s="14" t="str">
        <f>IF(tab_Geral[[#This Row],[Municípios]]=tab_Geral[[#This Row],[Informação 1]],"","Não!, Erro!")</f>
        <v/>
      </c>
      <c r="F624" s="14" t="str">
        <f>IF(tab_Geral[[#This Row],[Municípios]]=tab_Geral[[#This Row],[Município]],"","Não!, Erro!")</f>
        <v/>
      </c>
      <c r="G624" s="14" t="str">
        <f>VLOOKUP(tab_Geral[[#This Row],[GeoCodigo]],tab_CETESB[],2,FALSE)</f>
        <v>Ubarana</v>
      </c>
      <c r="H624" s="14" t="str">
        <f>VLOOKUP(tab_Geral[[#This Row],[Informação 3]],tab_AgênciaAmbiental,10,FALSE)</f>
        <v>36</v>
      </c>
      <c r="I624" s="14" t="s">
        <v>621</v>
      </c>
      <c r="J624" s="18" t="s">
        <v>621</v>
      </c>
      <c r="K624" s="17"/>
      <c r="L624" s="17" t="s">
        <v>1917</v>
      </c>
      <c r="M624" s="17" t="s">
        <v>663</v>
      </c>
      <c r="N624" s="17" t="s">
        <v>664</v>
      </c>
      <c r="O624" s="17" t="s">
        <v>665</v>
      </c>
      <c r="P624" s="17" t="s">
        <v>666</v>
      </c>
      <c r="Q624" s="17" t="s">
        <v>667</v>
      </c>
      <c r="R624" s="17" t="s">
        <v>668</v>
      </c>
      <c r="S624" s="17" t="s">
        <v>938</v>
      </c>
    </row>
    <row r="625" spans="1:19" x14ac:dyDescent="0.25">
      <c r="A625" s="14">
        <v>607</v>
      </c>
      <c r="B625" s="14">
        <v>3555406</v>
      </c>
      <c r="C625" s="14" t="str">
        <f>IF(ISERR(FIND("-",tab_Geral[[#This Row],[Municípios]],1)),"","Têm Hifen")</f>
        <v/>
      </c>
      <c r="D625" s="14" t="str">
        <f>IF(tab_Geral[[#This Row],[Informação 3]]&lt;&gt;"","","Não Registrado")</f>
        <v/>
      </c>
      <c r="E625" s="14" t="str">
        <f>IF(tab_Geral[[#This Row],[Municípios]]=tab_Geral[[#This Row],[Informação 1]],"","Não!, Erro!")</f>
        <v/>
      </c>
      <c r="F625" s="14" t="str">
        <f>IF(tab_Geral[[#This Row],[Municípios]]=tab_Geral[[#This Row],[Município]],"","Não!, Erro!")</f>
        <v/>
      </c>
      <c r="G625" s="14" t="str">
        <f>VLOOKUP(tab_Geral[[#This Row],[GeoCodigo]],tab_CETESB[],2,FALSE)</f>
        <v>Ubatuba</v>
      </c>
      <c r="H625" s="14" t="str">
        <f>VLOOKUP(tab_Geral[[#This Row],[Informação 3]],tab_AgênciaAmbiental,10,FALSE)</f>
        <v>38</v>
      </c>
      <c r="I625" s="14" t="s">
        <v>622</v>
      </c>
      <c r="J625" s="18" t="s">
        <v>622</v>
      </c>
      <c r="K625" s="17"/>
      <c r="L625" s="17" t="s">
        <v>1919</v>
      </c>
      <c r="M625" s="17" t="s">
        <v>905</v>
      </c>
      <c r="N625" s="17" t="s">
        <v>906</v>
      </c>
      <c r="O625" s="17" t="s">
        <v>907</v>
      </c>
      <c r="P625" s="17" t="s">
        <v>908</v>
      </c>
      <c r="Q625" s="17" t="s">
        <v>909</v>
      </c>
      <c r="R625" s="17" t="s">
        <v>910</v>
      </c>
      <c r="S625" s="17" t="s">
        <v>911</v>
      </c>
    </row>
    <row r="626" spans="1:19" x14ac:dyDescent="0.25">
      <c r="A626" s="14">
        <v>608</v>
      </c>
      <c r="B626" s="14">
        <v>3555505</v>
      </c>
      <c r="C626" s="14" t="str">
        <f>IF(ISERR(FIND("-",tab_Geral[[#This Row],[Municípios]],1)),"","Têm Hifen")</f>
        <v/>
      </c>
      <c r="D626" s="14" t="str">
        <f>IF(tab_Geral[[#This Row],[Informação 3]]&lt;&gt;"","","Não Registrado")</f>
        <v/>
      </c>
      <c r="E626" s="14" t="str">
        <f>IF(tab_Geral[[#This Row],[Municípios]]=tab_Geral[[#This Row],[Informação 1]],"","Não!, Erro!")</f>
        <v/>
      </c>
      <c r="F626" s="14" t="str">
        <f>IF(tab_Geral[[#This Row],[Municípios]]=tab_Geral[[#This Row],[Município]],"","Não!, Erro!")</f>
        <v/>
      </c>
      <c r="G626" s="14" t="str">
        <f>VLOOKUP(tab_Geral[[#This Row],[GeoCodigo]],tab_CETESB[],2,FALSE)</f>
        <v>Ubirajara</v>
      </c>
      <c r="H626" s="14" t="str">
        <f>VLOOKUP(tab_Geral[[#This Row],[Informação 3]],tab_AgênciaAmbiental,10,FALSE)</f>
        <v>8</v>
      </c>
      <c r="I626" s="14" t="s">
        <v>623</v>
      </c>
      <c r="J626" s="18" t="s">
        <v>623</v>
      </c>
      <c r="K626" s="17"/>
      <c r="L626" s="17" t="s">
        <v>1889</v>
      </c>
      <c r="M626" s="17" t="s">
        <v>694</v>
      </c>
      <c r="N626" s="17" t="s">
        <v>695</v>
      </c>
      <c r="O626" s="17" t="s">
        <v>696</v>
      </c>
      <c r="P626" s="17" t="s">
        <v>697</v>
      </c>
      <c r="Q626" s="17" t="s">
        <v>698</v>
      </c>
      <c r="R626" s="17" t="s">
        <v>699</v>
      </c>
      <c r="S626" s="17" t="s">
        <v>700</v>
      </c>
    </row>
    <row r="627" spans="1:19" x14ac:dyDescent="0.25">
      <c r="A627" s="14">
        <v>609</v>
      </c>
      <c r="B627" s="14">
        <v>3555604</v>
      </c>
      <c r="C627" s="14" t="str">
        <f>IF(ISERR(FIND("-",tab_Geral[[#This Row],[Municípios]],1)),"","Têm Hifen")</f>
        <v/>
      </c>
      <c r="D627" s="14" t="str">
        <f>IF(tab_Geral[[#This Row],[Informação 3]]&lt;&gt;"","","Não Registrado")</f>
        <v/>
      </c>
      <c r="E627" s="14" t="str">
        <f>IF(tab_Geral[[#This Row],[Municípios]]=tab_Geral[[#This Row],[Informação 1]],"","Não!, Erro!")</f>
        <v/>
      </c>
      <c r="F627" s="14" t="str">
        <f>IF(tab_Geral[[#This Row],[Municípios]]=tab_Geral[[#This Row],[Município]],"","Não!, Erro!")</f>
        <v/>
      </c>
      <c r="G627" s="14" t="str">
        <f>VLOOKUP(tab_Geral[[#This Row],[GeoCodigo]],tab_CETESB[],2,FALSE)</f>
        <v>Uchoa</v>
      </c>
      <c r="H627" s="14" t="str">
        <f>VLOOKUP(tab_Geral[[#This Row],[Informação 3]],tab_AgênciaAmbiental,10,FALSE)</f>
        <v>36</v>
      </c>
      <c r="I627" s="14" t="s">
        <v>624</v>
      </c>
      <c r="J627" s="18" t="s">
        <v>624</v>
      </c>
      <c r="K627" s="17"/>
      <c r="L627" s="17" t="s">
        <v>1917</v>
      </c>
      <c r="M627" s="17" t="s">
        <v>663</v>
      </c>
      <c r="N627" s="17" t="s">
        <v>664</v>
      </c>
      <c r="O627" s="17" t="s">
        <v>665</v>
      </c>
      <c r="P627" s="17" t="s">
        <v>666</v>
      </c>
      <c r="Q627" s="17" t="s">
        <v>667</v>
      </c>
      <c r="R627" s="17" t="s">
        <v>668</v>
      </c>
      <c r="S627" s="17" t="s">
        <v>938</v>
      </c>
    </row>
    <row r="628" spans="1:19" x14ac:dyDescent="0.25">
      <c r="A628" s="14">
        <v>610</v>
      </c>
      <c r="B628" s="14">
        <v>3555703</v>
      </c>
      <c r="C628" s="14" t="str">
        <f>IF(ISERR(FIND("-",tab_Geral[[#This Row],[Municípios]],1)),"","Têm Hifen")</f>
        <v/>
      </c>
      <c r="D628" s="14" t="str">
        <f>IF(tab_Geral[[#This Row],[Informação 3]]&lt;&gt;"","","Não Registrado")</f>
        <v/>
      </c>
      <c r="E628" s="14" t="str">
        <f>IF(tab_Geral[[#This Row],[Municípios]]=tab_Geral[[#This Row],[Informação 1]],"","Não!, Erro!")</f>
        <v/>
      </c>
      <c r="F628" s="14" t="str">
        <f>IF(tab_Geral[[#This Row],[Municípios]]=tab_Geral[[#This Row],[Município]],"","Não!, Erro!")</f>
        <v/>
      </c>
      <c r="G628" s="14" t="str">
        <f>VLOOKUP(tab_Geral[[#This Row],[GeoCodigo]],tab_CETESB[],2,FALSE)</f>
        <v>União Paulista</v>
      </c>
      <c r="H628" s="14" t="str">
        <f>VLOOKUP(tab_Geral[[#This Row],[Informação 3]],tab_AgênciaAmbiental,10,FALSE)</f>
        <v>36</v>
      </c>
      <c r="I628" s="14" t="s">
        <v>625</v>
      </c>
      <c r="J628" s="18" t="s">
        <v>625</v>
      </c>
      <c r="K628" s="17"/>
      <c r="L628" s="17" t="s">
        <v>1917</v>
      </c>
      <c r="M628" s="17" t="s">
        <v>663</v>
      </c>
      <c r="N628" s="17" t="s">
        <v>664</v>
      </c>
      <c r="O628" s="17" t="s">
        <v>665</v>
      </c>
      <c r="P628" s="17" t="s">
        <v>666</v>
      </c>
      <c r="Q628" s="17" t="s">
        <v>667</v>
      </c>
      <c r="R628" s="17" t="s">
        <v>668</v>
      </c>
      <c r="S628" s="17" t="s">
        <v>938</v>
      </c>
    </row>
    <row r="629" spans="1:19" x14ac:dyDescent="0.25">
      <c r="A629" s="14">
        <v>611</v>
      </c>
      <c r="B629" s="14">
        <v>3555802</v>
      </c>
      <c r="C629" s="14" t="str">
        <f>IF(ISERR(FIND("-",tab_Geral[[#This Row],[Municípios]],1)),"","Têm Hifen")</f>
        <v/>
      </c>
      <c r="D629" s="14" t="str">
        <f>IF(tab_Geral[[#This Row],[Informação 3]]&lt;&gt;"","","Não Registrado")</f>
        <v/>
      </c>
      <c r="E629" s="14" t="str">
        <f>IF(tab_Geral[[#This Row],[Municípios]]=tab_Geral[[#This Row],[Informação 1]],"","Não!, Erro!")</f>
        <v/>
      </c>
      <c r="F629" s="14" t="str">
        <f>IF(tab_Geral[[#This Row],[Municípios]]=tab_Geral[[#This Row],[Município]],"","Não!, Erro!")</f>
        <v/>
      </c>
      <c r="G629" s="14" t="str">
        <f>VLOOKUP(tab_Geral[[#This Row],[GeoCodigo]],tab_CETESB[],2,FALSE)</f>
        <v>Urânia</v>
      </c>
      <c r="H629" s="14" t="str">
        <f>VLOOKUP(tab_Geral[[#This Row],[Informação 3]],tab_AgênciaAmbiental,10,FALSE)</f>
        <v>20</v>
      </c>
      <c r="I629" s="14" t="s">
        <v>626</v>
      </c>
      <c r="J629" s="18" t="s">
        <v>626</v>
      </c>
      <c r="K629" s="17"/>
      <c r="L629" s="17" t="s">
        <v>1901</v>
      </c>
      <c r="M629" s="17" t="s">
        <v>788</v>
      </c>
      <c r="N629" s="17" t="s">
        <v>789</v>
      </c>
      <c r="O629" s="17" t="s">
        <v>790</v>
      </c>
      <c r="P629" s="17" t="s">
        <v>791</v>
      </c>
      <c r="Q629" s="17" t="s">
        <v>792</v>
      </c>
      <c r="R629" s="17" t="s">
        <v>793</v>
      </c>
      <c r="S629" s="17" t="s">
        <v>794</v>
      </c>
    </row>
    <row r="630" spans="1:19" x14ac:dyDescent="0.25">
      <c r="A630" s="14">
        <v>612</v>
      </c>
      <c r="B630" s="14">
        <v>3555901</v>
      </c>
      <c r="C630" s="14" t="str">
        <f>IF(ISERR(FIND("-",tab_Geral[[#This Row],[Municípios]],1)),"","Têm Hifen")</f>
        <v/>
      </c>
      <c r="D630" s="14" t="str">
        <f>IF(tab_Geral[[#This Row],[Informação 3]]&lt;&gt;"","","Não Registrado")</f>
        <v/>
      </c>
      <c r="E630" s="14" t="str">
        <f>IF(tab_Geral[[#This Row],[Municípios]]=tab_Geral[[#This Row],[Informação 1]],"","Não!, Erro!")</f>
        <v/>
      </c>
      <c r="F630" s="14" t="str">
        <f>IF(tab_Geral[[#This Row],[Municípios]]=tab_Geral[[#This Row],[Município]],"","Não!, Erro!")</f>
        <v/>
      </c>
      <c r="G630" s="14" t="str">
        <f>VLOOKUP(tab_Geral[[#This Row],[GeoCodigo]],tab_CETESB[],2,FALSE)</f>
        <v>Uru</v>
      </c>
      <c r="H630" s="14" t="str">
        <f>VLOOKUP(tab_Geral[[#This Row],[Informação 3]],tab_AgênciaAmbiental,10,FALSE)</f>
        <v>23</v>
      </c>
      <c r="I630" s="14" t="s">
        <v>627</v>
      </c>
      <c r="J630" s="18" t="s">
        <v>627</v>
      </c>
      <c r="K630" s="17"/>
      <c r="L630" s="17" t="s">
        <v>1904</v>
      </c>
      <c r="M630" s="17" t="s">
        <v>746</v>
      </c>
      <c r="N630" s="17" t="s">
        <v>747</v>
      </c>
      <c r="O630" s="17" t="s">
        <v>748</v>
      </c>
      <c r="P630" s="17" t="s">
        <v>749</v>
      </c>
      <c r="Q630" s="17" t="s">
        <v>750</v>
      </c>
      <c r="R630" s="17" t="s">
        <v>751</v>
      </c>
      <c r="S630" s="17" t="s">
        <v>752</v>
      </c>
    </row>
    <row r="631" spans="1:19" x14ac:dyDescent="0.25">
      <c r="A631" s="14">
        <v>613</v>
      </c>
      <c r="B631" s="14">
        <v>3556008</v>
      </c>
      <c r="C631" s="14" t="str">
        <f>IF(ISERR(FIND("-",tab_Geral[[#This Row],[Municípios]],1)),"","Têm Hifen")</f>
        <v/>
      </c>
      <c r="D631" s="14" t="str">
        <f>IF(tab_Geral[[#This Row],[Informação 3]]&lt;&gt;"","","Não Registrado")</f>
        <v/>
      </c>
      <c r="E631" s="14" t="str">
        <f>IF(tab_Geral[[#This Row],[Municípios]]=tab_Geral[[#This Row],[Informação 1]],"","Não!, Erro!")</f>
        <v/>
      </c>
      <c r="F631" s="14" t="str">
        <f>IF(tab_Geral[[#This Row],[Municípios]]=tab_Geral[[#This Row],[Município]],"","Não!, Erro!")</f>
        <v/>
      </c>
      <c r="G631" s="14" t="str">
        <f>VLOOKUP(tab_Geral[[#This Row],[GeoCodigo]],tab_CETESB[],2,FALSE)</f>
        <v>Urupês</v>
      </c>
      <c r="H631" s="14" t="str">
        <f>VLOOKUP(tab_Geral[[#This Row],[Informação 3]],tab_AgênciaAmbiental,10,FALSE)</f>
        <v>36</v>
      </c>
      <c r="I631" s="14" t="s">
        <v>628</v>
      </c>
      <c r="J631" s="18" t="s">
        <v>628</v>
      </c>
      <c r="K631" s="17"/>
      <c r="L631" s="17" t="s">
        <v>1917</v>
      </c>
      <c r="M631" s="17" t="s">
        <v>663</v>
      </c>
      <c r="N631" s="17" t="s">
        <v>664</v>
      </c>
      <c r="O631" s="17" t="s">
        <v>665</v>
      </c>
      <c r="P631" s="17" t="s">
        <v>666</v>
      </c>
      <c r="Q631" s="17" t="s">
        <v>667</v>
      </c>
      <c r="R631" s="17" t="s">
        <v>668</v>
      </c>
      <c r="S631" s="17" t="s">
        <v>938</v>
      </c>
    </row>
    <row r="632" spans="1:19" x14ac:dyDescent="0.25">
      <c r="A632" s="14">
        <v>614</v>
      </c>
      <c r="B632" s="14">
        <v>3556107</v>
      </c>
      <c r="C632" s="14" t="str">
        <f>IF(ISERR(FIND("-",tab_Geral[[#This Row],[Municípios]],1)),"","Têm Hifen")</f>
        <v/>
      </c>
      <c r="D632" s="14" t="str">
        <f>IF(tab_Geral[[#This Row],[Informação 3]]&lt;&gt;"","","Não Registrado")</f>
        <v/>
      </c>
      <c r="E632" s="14" t="str">
        <f>IF(tab_Geral[[#This Row],[Municípios]]=tab_Geral[[#This Row],[Informação 1]],"","Não!, Erro!")</f>
        <v/>
      </c>
      <c r="F632" s="14" t="str">
        <f>IF(tab_Geral[[#This Row],[Municípios]]=tab_Geral[[#This Row],[Município]],"","Não!, Erro!")</f>
        <v/>
      </c>
      <c r="G632" s="14" t="str">
        <f>VLOOKUP(tab_Geral[[#This Row],[GeoCodigo]],tab_CETESB[],2,FALSE)</f>
        <v>Valentim Gentil</v>
      </c>
      <c r="H632" s="14" t="str">
        <f>VLOOKUP(tab_Geral[[#This Row],[Informação 3]],tab_AgênciaAmbiental,10,FALSE)</f>
        <v>41</v>
      </c>
      <c r="I632" s="14" t="s">
        <v>629</v>
      </c>
      <c r="J632" s="18" t="s">
        <v>629</v>
      </c>
      <c r="K632" s="17"/>
      <c r="L632" s="17" t="s">
        <v>1922</v>
      </c>
      <c r="M632" s="17" t="s">
        <v>739</v>
      </c>
      <c r="N632" s="17" t="s">
        <v>740</v>
      </c>
      <c r="O632" s="17" t="s">
        <v>741</v>
      </c>
      <c r="P632" s="17" t="s">
        <v>742</v>
      </c>
      <c r="Q632" s="17" t="s">
        <v>743</v>
      </c>
      <c r="R632" s="17" t="s">
        <v>744</v>
      </c>
      <c r="S632" s="17" t="s">
        <v>745</v>
      </c>
    </row>
    <row r="633" spans="1:19" x14ac:dyDescent="0.25">
      <c r="A633" s="14">
        <v>615</v>
      </c>
      <c r="B633" s="14">
        <v>3556206</v>
      </c>
      <c r="C633" s="14" t="str">
        <f>IF(ISERR(FIND("-",tab_Geral[[#This Row],[Municípios]],1)),"","Têm Hifen")</f>
        <v/>
      </c>
      <c r="D633" s="14" t="str">
        <f>IF(tab_Geral[[#This Row],[Informação 3]]&lt;&gt;"","","Não Registrado")</f>
        <v/>
      </c>
      <c r="E633" s="14" t="str">
        <f>IF(tab_Geral[[#This Row],[Municípios]]=tab_Geral[[#This Row],[Informação 1]],"","Não!, Erro!")</f>
        <v/>
      </c>
      <c r="F633" s="14" t="str">
        <f>IF(tab_Geral[[#This Row],[Municípios]]=tab_Geral[[#This Row],[Município]],"","Não!, Erro!")</f>
        <v/>
      </c>
      <c r="G633" s="14" t="str">
        <f>VLOOKUP(tab_Geral[[#This Row],[GeoCodigo]],tab_CETESB[],2,FALSE)</f>
        <v>Valinhos</v>
      </c>
      <c r="H633" s="14" t="str">
        <f>VLOOKUP(tab_Geral[[#This Row],[Informação 3]],tab_AgênciaAmbiental,10,FALSE)</f>
        <v>10</v>
      </c>
      <c r="I633" s="14" t="s">
        <v>630</v>
      </c>
      <c r="J633" s="18" t="s">
        <v>630</v>
      </c>
      <c r="K633" s="17"/>
      <c r="L633" s="17" t="s">
        <v>1891</v>
      </c>
      <c r="M633" s="17" t="s">
        <v>898</v>
      </c>
      <c r="N633" s="17" t="s">
        <v>899</v>
      </c>
      <c r="O633" s="17" t="s">
        <v>900</v>
      </c>
      <c r="P633" s="17" t="s">
        <v>901</v>
      </c>
      <c r="Q633" s="17" t="s">
        <v>902</v>
      </c>
      <c r="R633" s="17" t="s">
        <v>903</v>
      </c>
      <c r="S633" s="17" t="s">
        <v>904</v>
      </c>
    </row>
    <row r="634" spans="1:19" x14ac:dyDescent="0.25">
      <c r="A634" s="14">
        <v>616</v>
      </c>
      <c r="B634" s="14">
        <v>3556305</v>
      </c>
      <c r="C634" s="14" t="str">
        <f>IF(ISERR(FIND("-",tab_Geral[[#This Row],[Municípios]],1)),"","Têm Hifen")</f>
        <v/>
      </c>
      <c r="D634" s="14" t="str">
        <f>IF(tab_Geral[[#This Row],[Informação 3]]&lt;&gt;"","","Não Registrado")</f>
        <v/>
      </c>
      <c r="E634" s="14" t="str">
        <f>IF(tab_Geral[[#This Row],[Municípios]]=tab_Geral[[#This Row],[Informação 1]],"","Não!, Erro!")</f>
        <v/>
      </c>
      <c r="F634" s="14" t="str">
        <f>IF(tab_Geral[[#This Row],[Municípios]]=tab_Geral[[#This Row],[Município]],"","Não!, Erro!")</f>
        <v/>
      </c>
      <c r="G634" s="14" t="str">
        <f>VLOOKUP(tab_Geral[[#This Row],[GeoCodigo]],tab_CETESB[],2,FALSE)</f>
        <v>Valparaíso</v>
      </c>
      <c r="H634" s="14" t="str">
        <f>VLOOKUP(tab_Geral[[#This Row],[Informação 3]],tab_AgênciaAmbiental,10,FALSE)</f>
        <v>2</v>
      </c>
      <c r="I634" s="14" t="s">
        <v>631</v>
      </c>
      <c r="J634" s="18" t="s">
        <v>631</v>
      </c>
      <c r="K634" s="17"/>
      <c r="L634" s="17" t="s">
        <v>1883</v>
      </c>
      <c r="M634" s="17" t="s">
        <v>727</v>
      </c>
      <c r="N634" s="17" t="s">
        <v>728</v>
      </c>
      <c r="O634" s="17" t="s">
        <v>729</v>
      </c>
      <c r="P634" s="17" t="s">
        <v>730</v>
      </c>
      <c r="Q634" s="17" t="s">
        <v>731</v>
      </c>
      <c r="R634" s="17" t="s">
        <v>732</v>
      </c>
      <c r="S634" s="17" t="s">
        <v>936</v>
      </c>
    </row>
    <row r="635" spans="1:19" x14ac:dyDescent="0.25">
      <c r="A635" s="14">
        <v>640</v>
      </c>
      <c r="B635" s="14">
        <v>3556354</v>
      </c>
      <c r="C635" s="14" t="str">
        <f>IF(ISERR(FIND("-",tab_Geral[[#This Row],[Municípios]],1)),"","Têm Hifen")</f>
        <v/>
      </c>
      <c r="D635" s="14" t="str">
        <f>IF(tab_Geral[[#This Row],[Informação 3]]&lt;&gt;"","","Não Registrado")</f>
        <v/>
      </c>
      <c r="E635" s="14" t="str">
        <f>IF(tab_Geral[[#This Row],[Municípios]]=tab_Geral[[#This Row],[Informação 1]],"","Não!, Erro!")</f>
        <v/>
      </c>
      <c r="F635" s="14" t="str">
        <f>IF(tab_Geral[[#This Row],[Municípios]]=tab_Geral[[#This Row],[Município]],"","Não!, Erro!")</f>
        <v/>
      </c>
      <c r="G635" s="14" t="str">
        <f>VLOOKUP(tab_Geral[[#This Row],[GeoCodigo]],tab_CETESB[],2,FALSE)</f>
        <v>Vargem</v>
      </c>
      <c r="H635" s="14" t="str">
        <f>VLOOKUP(tab_Geral[[#This Row],[Informação 3]],tab_AgênciaAmbiental,10,FALSE)</f>
        <v>5</v>
      </c>
      <c r="I635" s="14" t="s">
        <v>632</v>
      </c>
      <c r="J635" s="20" t="s">
        <v>632</v>
      </c>
      <c r="K635" s="17"/>
      <c r="L635" s="17" t="s">
        <v>1886</v>
      </c>
      <c r="M635" s="17" t="s">
        <v>837</v>
      </c>
      <c r="N635" s="17" t="s">
        <v>657</v>
      </c>
      <c r="O635" s="17" t="s">
        <v>838</v>
      </c>
      <c r="P635" s="17" t="s">
        <v>839</v>
      </c>
      <c r="Q635" s="17" t="s">
        <v>840</v>
      </c>
      <c r="R635" s="17" t="s">
        <v>841</v>
      </c>
      <c r="S635" s="17" t="s">
        <v>842</v>
      </c>
    </row>
    <row r="636" spans="1:19" x14ac:dyDescent="0.25">
      <c r="A636" s="14">
        <v>617</v>
      </c>
      <c r="B636" s="14">
        <v>3556404</v>
      </c>
      <c r="C636" s="14" t="str">
        <f>IF(ISERR(FIND("-",tab_Geral[[#This Row],[Municípios]],1)),"","Têm Hifen")</f>
        <v/>
      </c>
      <c r="D636" s="14" t="str">
        <f>IF(tab_Geral[[#This Row],[Informação 3]]&lt;&gt;"","","Não Registrado")</f>
        <v/>
      </c>
      <c r="E636" s="14" t="str">
        <f>IF(tab_Geral[[#This Row],[Municípios]]=tab_Geral[[#This Row],[Informação 1]],"","Não!, Erro!")</f>
        <v/>
      </c>
      <c r="F636" s="14" t="str">
        <f>IF(tab_Geral[[#This Row],[Municípios]]=tab_Geral[[#This Row],[Município]],"","Não!, Erro!")</f>
        <v/>
      </c>
      <c r="G636" s="14" t="str">
        <f>VLOOKUP(tab_Geral[[#This Row],[GeoCodigo]],tab_CETESB[],2,FALSE)</f>
        <v>Vargem Grande do Sul</v>
      </c>
      <c r="H636" s="14" t="str">
        <f>VLOOKUP(tab_Geral[[#This Row],[Informação 3]],tab_AgênciaAmbiental,10,FALSE)</f>
        <v>35</v>
      </c>
      <c r="I636" s="14" t="s">
        <v>633</v>
      </c>
      <c r="J636" s="18" t="s">
        <v>633</v>
      </c>
      <c r="K636" s="17"/>
      <c r="L636" s="17" t="s">
        <v>1916</v>
      </c>
      <c r="M636" s="17" t="s">
        <v>676</v>
      </c>
      <c r="N636" s="17" t="s">
        <v>657</v>
      </c>
      <c r="O636" s="17" t="s">
        <v>677</v>
      </c>
      <c r="P636" s="17" t="s">
        <v>678</v>
      </c>
      <c r="Q636" s="17" t="s">
        <v>679</v>
      </c>
      <c r="R636" s="17" t="s">
        <v>680</v>
      </c>
      <c r="S636" s="17" t="s">
        <v>937</v>
      </c>
    </row>
    <row r="637" spans="1:19" x14ac:dyDescent="0.25">
      <c r="A637" s="14">
        <v>618</v>
      </c>
      <c r="B637" s="14">
        <v>3556453</v>
      </c>
      <c r="C637" s="14" t="str">
        <f>IF(ISERR(FIND("-",tab_Geral[[#This Row],[Municípios]],1)),"","Têm Hifen")</f>
        <v/>
      </c>
      <c r="D637" s="14" t="str">
        <f>IF(tab_Geral[[#This Row],[Informação 3]]&lt;&gt;"","","Não Registrado")</f>
        <v/>
      </c>
      <c r="E637" s="14" t="str">
        <f>IF(tab_Geral[[#This Row],[Municípios]]=tab_Geral[[#This Row],[Informação 1]],"","Não!, Erro!")</f>
        <v/>
      </c>
      <c r="F637" s="14" t="str">
        <f>IF(tab_Geral[[#This Row],[Municípios]]=tab_Geral[[#This Row],[Município]],"","Não!, Erro!")</f>
        <v/>
      </c>
      <c r="G637" s="14" t="str">
        <f>VLOOKUP(tab_Geral[[#This Row],[GeoCodigo]],tab_CETESB[],2,FALSE)</f>
        <v>Vargem Grande Paulista</v>
      </c>
      <c r="H637" s="14" t="str">
        <f>VLOOKUP(tab_Geral[[#This Row],[Informação 3]],tab_AgênciaAmbiental,10,FALSE)</f>
        <v>14</v>
      </c>
      <c r="I637" s="14" t="s">
        <v>634</v>
      </c>
      <c r="J637" s="18" t="s">
        <v>634</v>
      </c>
      <c r="K637" s="17"/>
      <c r="L637" s="17" t="s">
        <v>1895</v>
      </c>
      <c r="M637" s="17" t="s">
        <v>912</v>
      </c>
      <c r="N637" s="17" t="s">
        <v>913</v>
      </c>
      <c r="O637" s="17" t="s">
        <v>914</v>
      </c>
      <c r="P637" s="17" t="s">
        <v>915</v>
      </c>
      <c r="Q637" s="17" t="s">
        <v>916</v>
      </c>
      <c r="R637" s="17" t="s">
        <v>917</v>
      </c>
      <c r="S637" s="17" t="s">
        <v>918</v>
      </c>
    </row>
    <row r="638" spans="1:19" x14ac:dyDescent="0.25">
      <c r="A638" s="14">
        <v>619</v>
      </c>
      <c r="B638" s="14">
        <v>3556503</v>
      </c>
      <c r="C638" s="14" t="str">
        <f>IF(ISERR(FIND("-",tab_Geral[[#This Row],[Municípios]],1)),"","Têm Hifen")</f>
        <v/>
      </c>
      <c r="D638" s="14" t="str">
        <f>IF(tab_Geral[[#This Row],[Informação 3]]&lt;&gt;"","","Não Registrado")</f>
        <v/>
      </c>
      <c r="E638" s="14" t="str">
        <f>IF(tab_Geral[[#This Row],[Municípios]]=tab_Geral[[#This Row],[Informação 1]],"","Não!, Erro!")</f>
        <v/>
      </c>
      <c r="F638" s="14" t="str">
        <f>IF(tab_Geral[[#This Row],[Municípios]]=tab_Geral[[#This Row],[Município]],"","Não!, Erro!")</f>
        <v/>
      </c>
      <c r="G638" s="14" t="str">
        <f>VLOOKUP(tab_Geral[[#This Row],[GeoCodigo]],tab_CETESB[],2,FALSE)</f>
        <v>Várzea Paulista</v>
      </c>
      <c r="H638" s="14" t="str">
        <f>VLOOKUP(tab_Geral[[#This Row],[Informação 3]],tab_AgênciaAmbiental,10,FALSE)</f>
        <v>21</v>
      </c>
      <c r="I638" s="14" t="s">
        <v>635</v>
      </c>
      <c r="J638" s="18" t="s">
        <v>635</v>
      </c>
      <c r="K638" s="17"/>
      <c r="L638" s="17" t="s">
        <v>1902</v>
      </c>
      <c r="M638" s="17" t="s">
        <v>884</v>
      </c>
      <c r="N638" s="17" t="s">
        <v>885</v>
      </c>
      <c r="O638" s="17" t="s">
        <v>886</v>
      </c>
      <c r="P638" s="17" t="s">
        <v>887</v>
      </c>
      <c r="Q638" s="17" t="s">
        <v>888</v>
      </c>
      <c r="R638" s="17" t="s">
        <v>889</v>
      </c>
      <c r="S638" s="17" t="s">
        <v>890</v>
      </c>
    </row>
    <row r="639" spans="1:19" x14ac:dyDescent="0.25">
      <c r="A639" s="14">
        <v>620</v>
      </c>
      <c r="B639" s="14">
        <v>3556602</v>
      </c>
      <c r="C639" s="14" t="str">
        <f>IF(ISERR(FIND("-",tab_Geral[[#This Row],[Municípios]],1)),"","Têm Hifen")</f>
        <v/>
      </c>
      <c r="D639" s="14" t="str">
        <f>IF(tab_Geral[[#This Row],[Informação 3]]&lt;&gt;"","","Não Registrado")</f>
        <v/>
      </c>
      <c r="E639" s="14" t="str">
        <f>IF(tab_Geral[[#This Row],[Municípios]]=tab_Geral[[#This Row],[Informação 1]],"","Não!, Erro!")</f>
        <v/>
      </c>
      <c r="F639" s="14" t="str">
        <f>IF(tab_Geral[[#This Row],[Municípios]]=tab_Geral[[#This Row],[Município]],"","Não!, Erro!")</f>
        <v/>
      </c>
      <c r="G639" s="14" t="str">
        <f>VLOOKUP(tab_Geral[[#This Row],[GeoCodigo]],tab_CETESB[],2,FALSE)</f>
        <v>Vera Cruz</v>
      </c>
      <c r="H639" s="14" t="str">
        <f>VLOOKUP(tab_Geral[[#This Row],[Informação 3]],tab_AgênciaAmbiental,10,FALSE)</f>
        <v>23</v>
      </c>
      <c r="I639" s="14" t="s">
        <v>636</v>
      </c>
      <c r="J639" s="18" t="s">
        <v>636</v>
      </c>
      <c r="K639" s="17"/>
      <c r="L639" s="17" t="s">
        <v>1904</v>
      </c>
      <c r="M639" s="17" t="s">
        <v>746</v>
      </c>
      <c r="N639" s="17" t="s">
        <v>747</v>
      </c>
      <c r="O639" s="17" t="s">
        <v>748</v>
      </c>
      <c r="P639" s="17" t="s">
        <v>749</v>
      </c>
      <c r="Q639" s="17" t="s">
        <v>750</v>
      </c>
      <c r="R639" s="17" t="s">
        <v>751</v>
      </c>
      <c r="S639" s="17" t="s">
        <v>752</v>
      </c>
    </row>
    <row r="640" spans="1:19" x14ac:dyDescent="0.25">
      <c r="A640" s="14">
        <v>621</v>
      </c>
      <c r="B640" s="14">
        <v>3556701</v>
      </c>
      <c r="C640" s="14" t="str">
        <f>IF(ISERR(FIND("-",tab_Geral[[#This Row],[Municípios]],1)),"","Têm Hifen")</f>
        <v/>
      </c>
      <c r="D640" s="14" t="str">
        <f>IF(tab_Geral[[#This Row],[Informação 3]]&lt;&gt;"","","Não Registrado")</f>
        <v/>
      </c>
      <c r="E640" s="14" t="str">
        <f>IF(tab_Geral[[#This Row],[Municípios]]=tab_Geral[[#This Row],[Informação 1]],"","Não!, Erro!")</f>
        <v/>
      </c>
      <c r="F640" s="14" t="str">
        <f>IF(tab_Geral[[#This Row],[Municípios]]=tab_Geral[[#This Row],[Município]],"","Não!, Erro!")</f>
        <v/>
      </c>
      <c r="G640" s="14" t="str">
        <f>VLOOKUP(tab_Geral[[#This Row],[GeoCodigo]],tab_CETESB[],2,FALSE)</f>
        <v>Vinhedo</v>
      </c>
      <c r="H640" s="14" t="str">
        <f>VLOOKUP(tab_Geral[[#This Row],[Informação 3]],tab_AgênciaAmbiental,10,FALSE)</f>
        <v>10</v>
      </c>
      <c r="I640" s="14" t="s">
        <v>637</v>
      </c>
      <c r="J640" s="18" t="s">
        <v>637</v>
      </c>
      <c r="K640" s="17"/>
      <c r="L640" s="17" t="s">
        <v>1891</v>
      </c>
      <c r="M640" s="17" t="s">
        <v>898</v>
      </c>
      <c r="N640" s="17" t="s">
        <v>899</v>
      </c>
      <c r="O640" s="17" t="s">
        <v>900</v>
      </c>
      <c r="P640" s="17" t="s">
        <v>901</v>
      </c>
      <c r="Q640" s="17" t="s">
        <v>902</v>
      </c>
      <c r="R640" s="17" t="s">
        <v>903</v>
      </c>
      <c r="S640" s="17" t="s">
        <v>904</v>
      </c>
    </row>
    <row r="641" spans="1:19" x14ac:dyDescent="0.25">
      <c r="A641" s="14">
        <v>622</v>
      </c>
      <c r="B641" s="14">
        <v>3556800</v>
      </c>
      <c r="C641" s="14" t="str">
        <f>IF(ISERR(FIND("-",tab_Geral[[#This Row],[Municípios]],1)),"","Têm Hifen")</f>
        <v/>
      </c>
      <c r="D641" s="14" t="str">
        <f>IF(tab_Geral[[#This Row],[Informação 3]]&lt;&gt;"","","Não Registrado")</f>
        <v/>
      </c>
      <c r="E641" s="14" t="str">
        <f>IF(tab_Geral[[#This Row],[Municípios]]=tab_Geral[[#This Row],[Informação 1]],"","Não!, Erro!")</f>
        <v/>
      </c>
      <c r="F641" s="14" t="str">
        <f>IF(tab_Geral[[#This Row],[Municípios]]=tab_Geral[[#This Row],[Município]],"","Não!, Erro!")</f>
        <v/>
      </c>
      <c r="G641" s="14" t="str">
        <f>VLOOKUP(tab_Geral[[#This Row],[GeoCodigo]],tab_CETESB[],2,FALSE)</f>
        <v>Viradouro</v>
      </c>
      <c r="H641" s="14" t="str">
        <f>VLOOKUP(tab_Geral[[#This Row],[Informação 3]],tab_AgênciaAmbiental,10,FALSE)</f>
        <v>7</v>
      </c>
      <c r="I641" s="14" t="s">
        <v>638</v>
      </c>
      <c r="J641" s="18" t="s">
        <v>638</v>
      </c>
      <c r="K641" s="17"/>
      <c r="L641" s="17" t="s">
        <v>1888</v>
      </c>
      <c r="M641" s="17" t="s">
        <v>713</v>
      </c>
      <c r="N641" s="17" t="s">
        <v>714</v>
      </c>
      <c r="O641" s="17" t="s">
        <v>715</v>
      </c>
      <c r="P641" s="17" t="s">
        <v>716</v>
      </c>
      <c r="Q641" s="17" t="s">
        <v>717</v>
      </c>
      <c r="R641" s="17" t="s">
        <v>718</v>
      </c>
      <c r="S641" s="17" t="s">
        <v>719</v>
      </c>
    </row>
    <row r="642" spans="1:19" x14ac:dyDescent="0.25">
      <c r="A642" s="14">
        <v>623</v>
      </c>
      <c r="B642" s="14">
        <v>3556909</v>
      </c>
      <c r="C642" s="14" t="str">
        <f>IF(ISERR(FIND("-",tab_Geral[[#This Row],[Municípios]],1)),"","Têm Hifen")</f>
        <v/>
      </c>
      <c r="D642" s="14" t="str">
        <f>IF(tab_Geral[[#This Row],[Informação 3]]&lt;&gt;"","","Não Registrado")</f>
        <v/>
      </c>
      <c r="E642" s="14" t="str">
        <f>IF(tab_Geral[[#This Row],[Municípios]]=tab_Geral[[#This Row],[Informação 1]],"","Não!, Erro!")</f>
        <v/>
      </c>
      <c r="F642" s="14" t="str">
        <f>IF(tab_Geral[[#This Row],[Municípios]]=tab_Geral[[#This Row],[Município]],"","Não!, Erro!")</f>
        <v/>
      </c>
      <c r="G642" s="14" t="str">
        <f>VLOOKUP(tab_Geral[[#This Row],[GeoCodigo]],tab_CETESB[],2,FALSE)</f>
        <v>Vista Alegre do Alto</v>
      </c>
      <c r="H642" s="14" t="str">
        <f>VLOOKUP(tab_Geral[[#This Row],[Informação 3]],tab_AgênciaAmbiental,10,FALSE)</f>
        <v>19</v>
      </c>
      <c r="I642" s="14" t="s">
        <v>639</v>
      </c>
      <c r="J642" s="18" t="s">
        <v>639</v>
      </c>
      <c r="K642" s="17"/>
      <c r="L642" s="17" t="s">
        <v>1900</v>
      </c>
      <c r="M642" s="17" t="s">
        <v>850</v>
      </c>
      <c r="N642" s="17" t="s">
        <v>851</v>
      </c>
      <c r="O642" s="17" t="s">
        <v>852</v>
      </c>
      <c r="P642" s="17" t="s">
        <v>853</v>
      </c>
      <c r="Q642" s="17" t="s">
        <v>854</v>
      </c>
      <c r="R642" s="17" t="s">
        <v>855</v>
      </c>
      <c r="S642" s="17" t="s">
        <v>856</v>
      </c>
    </row>
    <row r="643" spans="1:19" x14ac:dyDescent="0.25">
      <c r="A643" s="14">
        <v>624</v>
      </c>
      <c r="B643" s="14">
        <v>3556958</v>
      </c>
      <c r="C643" s="14" t="str">
        <f>IF(ISERR(FIND("-",tab_Geral[[#This Row],[Municípios]],1)),"","Têm Hifen")</f>
        <v/>
      </c>
      <c r="D643" s="14" t="str">
        <f>IF(tab_Geral[[#This Row],[Informação 3]]&lt;&gt;"","","Não Registrado")</f>
        <v/>
      </c>
      <c r="E643" s="14" t="str">
        <f>IF(tab_Geral[[#This Row],[Municípios]]=tab_Geral[[#This Row],[Informação 1]],"","Não!, Erro!")</f>
        <v/>
      </c>
      <c r="F643" s="14" t="str">
        <f>IF(tab_Geral[[#This Row],[Municípios]]=tab_Geral[[#This Row],[Município]],"","Não!, Erro!")</f>
        <v/>
      </c>
      <c r="G643" s="14" t="str">
        <f>VLOOKUP(tab_Geral[[#This Row],[GeoCodigo]],tab_CETESB[],2,FALSE)</f>
        <v>Vitória Brasil</v>
      </c>
      <c r="H643" s="14" t="str">
        <f>VLOOKUP(tab_Geral[[#This Row],[Informação 3]],tab_AgênciaAmbiental,10,FALSE)</f>
        <v>20</v>
      </c>
      <c r="I643" s="14" t="s">
        <v>640</v>
      </c>
      <c r="J643" s="18" t="s">
        <v>640</v>
      </c>
      <c r="K643" s="17"/>
      <c r="L643" s="17" t="s">
        <v>1901</v>
      </c>
      <c r="M643" s="17" t="s">
        <v>788</v>
      </c>
      <c r="N643" s="17" t="s">
        <v>789</v>
      </c>
      <c r="O643" s="17" t="s">
        <v>790</v>
      </c>
      <c r="P643" s="17" t="s">
        <v>791</v>
      </c>
      <c r="Q643" s="17" t="s">
        <v>792</v>
      </c>
      <c r="R643" s="17" t="s">
        <v>793</v>
      </c>
      <c r="S643" s="17" t="s">
        <v>794</v>
      </c>
    </row>
    <row r="644" spans="1:19" x14ac:dyDescent="0.25">
      <c r="A644" s="14">
        <v>625</v>
      </c>
      <c r="B644" s="14">
        <v>3557006</v>
      </c>
      <c r="C644" s="14" t="str">
        <f>IF(ISERR(FIND("-",tab_Geral[[#This Row],[Municípios]],1)),"","Têm Hifen")</f>
        <v/>
      </c>
      <c r="D644" s="14" t="str">
        <f>IF(tab_Geral[[#This Row],[Informação 3]]&lt;&gt;"","","Não Registrado")</f>
        <v/>
      </c>
      <c r="E644" s="14" t="str">
        <f>IF(tab_Geral[[#This Row],[Municípios]]=tab_Geral[[#This Row],[Informação 1]],"","Não!, Erro!")</f>
        <v/>
      </c>
      <c r="F644" s="14" t="str">
        <f>IF(tab_Geral[[#This Row],[Municípios]]=tab_Geral[[#This Row],[Município]],"","Não!, Erro!")</f>
        <v/>
      </c>
      <c r="G644" s="14" t="str">
        <f>VLOOKUP(tab_Geral[[#This Row],[GeoCodigo]],tab_CETESB[],2,FALSE)</f>
        <v>Votorantim</v>
      </c>
      <c r="H644" s="14" t="str">
        <f>VLOOKUP(tab_Geral[[#This Row],[Informação 3]],tab_AgênciaAmbiental,10,FALSE)</f>
        <v>39</v>
      </c>
      <c r="I644" s="14" t="s">
        <v>641</v>
      </c>
      <c r="J644" s="18" t="s">
        <v>641</v>
      </c>
      <c r="K644" s="17"/>
      <c r="L644" s="17" t="s">
        <v>1920</v>
      </c>
      <c r="M644" s="17" t="s">
        <v>802</v>
      </c>
      <c r="N644" s="17" t="s">
        <v>803</v>
      </c>
      <c r="O644" s="17" t="s">
        <v>804</v>
      </c>
      <c r="P644" s="17" t="s">
        <v>805</v>
      </c>
      <c r="Q644" s="17" t="s">
        <v>806</v>
      </c>
      <c r="R644" s="17" t="s">
        <v>807</v>
      </c>
      <c r="S644" s="17" t="s">
        <v>808</v>
      </c>
    </row>
    <row r="645" spans="1:19" x14ac:dyDescent="0.25">
      <c r="A645" s="14">
        <v>626</v>
      </c>
      <c r="B645" s="14">
        <v>3557105</v>
      </c>
      <c r="C645" s="14" t="str">
        <f>IF(ISERR(FIND("-",tab_Geral[[#This Row],[Municípios]],1)),"","Têm Hifen")</f>
        <v/>
      </c>
      <c r="D645" s="14" t="str">
        <f>IF(tab_Geral[[#This Row],[Informação 3]]&lt;&gt;"","","Não Registrado")</f>
        <v/>
      </c>
      <c r="E645" s="14" t="str">
        <f>IF(tab_Geral[[#This Row],[Municípios]]=tab_Geral[[#This Row],[Informação 1]],"","Não!, Erro!")</f>
        <v/>
      </c>
      <c r="F645" s="14" t="str">
        <f>IF(tab_Geral[[#This Row],[Municípios]]=tab_Geral[[#This Row],[Município]],"","Não!, Erro!")</f>
        <v/>
      </c>
      <c r="G645" s="14" t="str">
        <f>VLOOKUP(tab_Geral[[#This Row],[GeoCodigo]],tab_CETESB[],2,FALSE)</f>
        <v>Votuporanga</v>
      </c>
      <c r="H645" s="14" t="str">
        <f>VLOOKUP(tab_Geral[[#This Row],[Informação 3]],tab_AgênciaAmbiental,10,FALSE)</f>
        <v>41</v>
      </c>
      <c r="I645" s="14" t="s">
        <v>642</v>
      </c>
      <c r="J645" s="18" t="s">
        <v>642</v>
      </c>
      <c r="K645" s="17"/>
      <c r="L645" s="17" t="s">
        <v>1922</v>
      </c>
      <c r="M645" s="17" t="s">
        <v>739</v>
      </c>
      <c r="N645" s="17" t="s">
        <v>740</v>
      </c>
      <c r="O645" s="17" t="s">
        <v>741</v>
      </c>
      <c r="P645" s="17" t="s">
        <v>742</v>
      </c>
      <c r="Q645" s="17" t="s">
        <v>743</v>
      </c>
      <c r="R645" s="17" t="s">
        <v>744</v>
      </c>
      <c r="S645" s="17" t="s">
        <v>745</v>
      </c>
    </row>
    <row r="646" spans="1:19" x14ac:dyDescent="0.25">
      <c r="A646" s="14">
        <v>627</v>
      </c>
      <c r="B646" s="14">
        <v>3557154</v>
      </c>
      <c r="C646" s="14" t="str">
        <f>IF(ISERR(FIND("-",tab_Geral[[#This Row],[Municípios]],1)),"","Têm Hifen")</f>
        <v/>
      </c>
      <c r="D646" s="14" t="str">
        <f>IF(tab_Geral[[#This Row],[Informação 3]]&lt;&gt;"","","Não Registrado")</f>
        <v/>
      </c>
      <c r="E646" s="14" t="str">
        <f>IF(tab_Geral[[#This Row],[Municípios]]=tab_Geral[[#This Row],[Informação 1]],"","Não!, Erro!")</f>
        <v/>
      </c>
      <c r="F646" s="14" t="str">
        <f>IF(tab_Geral[[#This Row],[Municípios]]=tab_Geral[[#This Row],[Município]],"","Não!, Erro!")</f>
        <v/>
      </c>
      <c r="G646" s="14" t="str">
        <f>VLOOKUP(tab_Geral[[#This Row],[GeoCodigo]],tab_CETESB[],2,FALSE)</f>
        <v>Zacarias</v>
      </c>
      <c r="H646" s="14" t="str">
        <f>VLOOKUP(tab_Geral[[#This Row],[Informação 3]],tab_AgênciaAmbiental,10,FALSE)</f>
        <v>2</v>
      </c>
      <c r="I646" s="14" t="s">
        <v>643</v>
      </c>
      <c r="J646" s="18" t="s">
        <v>643</v>
      </c>
      <c r="K646" s="17"/>
      <c r="L646" s="17" t="s">
        <v>1883</v>
      </c>
      <c r="M646" s="17" t="s">
        <v>727</v>
      </c>
      <c r="N646" s="17" t="s">
        <v>728</v>
      </c>
      <c r="O646" s="17" t="s">
        <v>729</v>
      </c>
      <c r="P646" s="17" t="s">
        <v>730</v>
      </c>
      <c r="Q646" s="17" t="s">
        <v>731</v>
      </c>
      <c r="R646" s="17" t="s">
        <v>732</v>
      </c>
      <c r="S646" s="17" t="s">
        <v>936</v>
      </c>
    </row>
    <row r="647" spans="1:19" x14ac:dyDescent="0.25">
      <c r="J647" s="13"/>
      <c r="K647" s="13"/>
      <c r="L647" s="13"/>
    </row>
    <row r="648" spans="1:19" x14ac:dyDescent="0.25">
      <c r="J648" s="13"/>
      <c r="K648" s="13"/>
      <c r="L648" s="13"/>
    </row>
    <row r="649" spans="1:19" x14ac:dyDescent="0.25">
      <c r="J649" s="13"/>
      <c r="K649" s="13"/>
      <c r="L649" s="13"/>
    </row>
    <row r="650" spans="1:19" x14ac:dyDescent="0.25">
      <c r="J650" s="13"/>
      <c r="K650" s="13"/>
      <c r="L650" s="13"/>
    </row>
    <row r="651" spans="1:19" x14ac:dyDescent="0.25">
      <c r="J651" s="13"/>
      <c r="K651" s="13"/>
      <c r="L651" s="13"/>
    </row>
    <row r="652" spans="1:19" x14ac:dyDescent="0.25">
      <c r="J652" s="13"/>
      <c r="K652" s="13"/>
      <c r="L652" s="13"/>
    </row>
    <row r="653" spans="1:19" x14ac:dyDescent="0.25">
      <c r="J653" s="13"/>
      <c r="K653" s="13"/>
      <c r="L653" s="13"/>
    </row>
    <row r="654" spans="1:19" x14ac:dyDescent="0.25">
      <c r="J654" s="13"/>
      <c r="K654" s="13"/>
      <c r="L654" s="13"/>
    </row>
    <row r="655" spans="1:19" x14ac:dyDescent="0.25">
      <c r="J655" s="13"/>
      <c r="K655" s="13"/>
      <c r="L655" s="13"/>
    </row>
    <row r="656" spans="1:19" x14ac:dyDescent="0.25">
      <c r="J656" s="13"/>
      <c r="K656" s="13"/>
      <c r="L656" s="13"/>
    </row>
    <row r="657" spans="10:12" x14ac:dyDescent="0.25">
      <c r="J657" s="13"/>
      <c r="K657" s="13"/>
      <c r="L657" s="13"/>
    </row>
    <row r="658" spans="10:12" x14ac:dyDescent="0.25">
      <c r="J658" s="13"/>
      <c r="K658" s="13"/>
      <c r="L658" s="13"/>
    </row>
    <row r="659" spans="10:12" x14ac:dyDescent="0.25">
      <c r="J659" s="13"/>
      <c r="K659" s="13"/>
      <c r="L659" s="13"/>
    </row>
    <row r="660" spans="10:12" x14ac:dyDescent="0.25">
      <c r="J660" s="13"/>
      <c r="K660" s="13"/>
      <c r="L660" s="13"/>
    </row>
    <row r="661" spans="10:12" x14ac:dyDescent="0.25">
      <c r="J661" s="13"/>
      <c r="K661" s="13"/>
      <c r="L661" s="13"/>
    </row>
    <row r="662" spans="10:12" x14ac:dyDescent="0.25">
      <c r="J662" s="13"/>
      <c r="K662" s="13"/>
      <c r="L662" s="13"/>
    </row>
    <row r="663" spans="10:12" x14ac:dyDescent="0.25">
      <c r="J663" s="13"/>
      <c r="K663" s="13"/>
      <c r="L663" s="13"/>
    </row>
    <row r="664" spans="10:12" x14ac:dyDescent="0.25">
      <c r="J664" s="13"/>
      <c r="K664" s="13"/>
      <c r="L664" s="13"/>
    </row>
    <row r="665" spans="10:12" x14ac:dyDescent="0.25">
      <c r="J665" s="13"/>
      <c r="K665" s="13"/>
      <c r="L665" s="13"/>
    </row>
    <row r="666" spans="10:12" x14ac:dyDescent="0.25">
      <c r="J666" s="13"/>
      <c r="K666" s="13"/>
      <c r="L666" s="13"/>
    </row>
    <row r="667" spans="10:12" x14ac:dyDescent="0.25">
      <c r="J667" s="13"/>
      <c r="K667" s="13"/>
      <c r="L667" s="13"/>
    </row>
    <row r="668" spans="10:12" x14ac:dyDescent="0.25">
      <c r="J668" s="13"/>
      <c r="K668" s="13"/>
      <c r="L668" s="13"/>
    </row>
    <row r="669" spans="10:12" x14ac:dyDescent="0.25">
      <c r="J669" s="13"/>
      <c r="K669" s="13"/>
      <c r="L669" s="13"/>
    </row>
    <row r="670" spans="10:12" x14ac:dyDescent="0.25">
      <c r="J670" s="13"/>
      <c r="K670" s="13"/>
      <c r="L670" s="13"/>
    </row>
    <row r="671" spans="10:12" x14ac:dyDescent="0.25">
      <c r="J671" s="13"/>
      <c r="K671" s="13"/>
      <c r="L671" s="13"/>
    </row>
    <row r="672" spans="10:12" x14ac:dyDescent="0.25">
      <c r="J672" s="13"/>
      <c r="K672" s="13"/>
      <c r="L672" s="13"/>
    </row>
    <row r="673" spans="10:12" hidden="1" x14ac:dyDescent="0.25">
      <c r="J673" s="13"/>
      <c r="K673" s="13"/>
      <c r="L673" s="13"/>
    </row>
    <row r="674" spans="10:12" hidden="1" x14ac:dyDescent="0.25">
      <c r="J674" s="13"/>
      <c r="K674" s="13"/>
      <c r="L674" s="13"/>
    </row>
    <row r="675" spans="10:12" hidden="1" x14ac:dyDescent="0.25">
      <c r="J675" s="13"/>
      <c r="K675" s="13"/>
      <c r="L675" s="13"/>
    </row>
    <row r="676" spans="10:12" hidden="1" x14ac:dyDescent="0.25">
      <c r="J676" s="13"/>
      <c r="K676" s="13"/>
      <c r="L676" s="13"/>
    </row>
    <row r="677" spans="10:12" hidden="1" x14ac:dyDescent="0.25">
      <c r="J677" s="13"/>
      <c r="K677" s="13"/>
      <c r="L677" s="13"/>
    </row>
    <row r="678" spans="10:12" hidden="1" x14ac:dyDescent="0.25">
      <c r="J678" s="13"/>
      <c r="K678" s="13"/>
      <c r="L678" s="13"/>
    </row>
    <row r="679" spans="10:12" hidden="1" x14ac:dyDescent="0.25">
      <c r="J679" s="13"/>
      <c r="K679" s="13"/>
      <c r="L679" s="13"/>
    </row>
    <row r="680" spans="10:12" hidden="1" x14ac:dyDescent="0.25">
      <c r="J680" s="13"/>
      <c r="K680" s="13"/>
      <c r="L680" s="13"/>
    </row>
    <row r="681" spans="10:12" hidden="1" x14ac:dyDescent="0.25">
      <c r="J681" s="13"/>
      <c r="K681" s="13"/>
      <c r="L681" s="13"/>
    </row>
    <row r="682" spans="10:12" hidden="1" x14ac:dyDescent="0.25">
      <c r="J682" s="13"/>
      <c r="K682" s="13"/>
      <c r="L682" s="13"/>
    </row>
    <row r="683" spans="10:12" hidden="1" x14ac:dyDescent="0.25">
      <c r="J683" s="13"/>
      <c r="K683" s="13"/>
      <c r="L683" s="13"/>
    </row>
    <row r="684" spans="10:12" hidden="1" x14ac:dyDescent="0.25">
      <c r="J684" s="13"/>
      <c r="K684" s="13"/>
      <c r="L684" s="13"/>
    </row>
    <row r="685" spans="10:12" hidden="1" x14ac:dyDescent="0.25">
      <c r="J685" s="13"/>
      <c r="K685" s="13"/>
      <c r="L685" s="13"/>
    </row>
    <row r="686" spans="10:12" hidden="1" x14ac:dyDescent="0.25">
      <c r="J686" s="13"/>
      <c r="K686" s="13"/>
      <c r="L686" s="13"/>
    </row>
    <row r="687" spans="10:12" hidden="1" x14ac:dyDescent="0.25">
      <c r="J687" s="13"/>
      <c r="K687" s="13"/>
      <c r="L687" s="13"/>
    </row>
    <row r="688" spans="10:12" hidden="1" x14ac:dyDescent="0.25">
      <c r="J688" s="13"/>
      <c r="K688" s="13"/>
      <c r="L688" s="13"/>
    </row>
    <row r="689" spans="10:12" hidden="1" x14ac:dyDescent="0.25">
      <c r="J689" s="13"/>
      <c r="K689" s="13"/>
      <c r="L689" s="13"/>
    </row>
    <row r="690" spans="10:12" hidden="1" x14ac:dyDescent="0.25">
      <c r="J690" s="13"/>
      <c r="K690" s="13"/>
      <c r="L690" s="13"/>
    </row>
    <row r="691" spans="10:12" hidden="1" x14ac:dyDescent="0.25">
      <c r="J691" s="13"/>
      <c r="K691" s="13"/>
      <c r="L691" s="13"/>
    </row>
    <row r="692" spans="10:12" hidden="1" x14ac:dyDescent="0.25">
      <c r="J692" s="13"/>
      <c r="K692" s="13"/>
      <c r="L692" s="13"/>
    </row>
    <row r="693" spans="10:12" hidden="1" x14ac:dyDescent="0.25">
      <c r="J693" s="13"/>
      <c r="K693" s="13"/>
      <c r="L693" s="13"/>
    </row>
    <row r="694" spans="10:12" hidden="1" x14ac:dyDescent="0.25">
      <c r="J694" s="13"/>
      <c r="K694" s="13"/>
      <c r="L694" s="13"/>
    </row>
    <row r="695" spans="10:12" hidden="1" x14ac:dyDescent="0.25">
      <c r="J695" s="13"/>
      <c r="K695" s="13"/>
      <c r="L695" s="13"/>
    </row>
    <row r="696" spans="10:12" hidden="1" x14ac:dyDescent="0.25">
      <c r="J696" s="13"/>
      <c r="K696" s="13"/>
      <c r="L696" s="13"/>
    </row>
    <row r="697" spans="10:12" hidden="1" x14ac:dyDescent="0.25">
      <c r="J697" s="13"/>
      <c r="K697" s="13"/>
      <c r="L697" s="13"/>
    </row>
    <row r="698" spans="10:12" hidden="1" x14ac:dyDescent="0.25">
      <c r="J698" s="13"/>
      <c r="K698" s="13"/>
      <c r="L698" s="13"/>
    </row>
    <row r="699" spans="10:12" hidden="1" x14ac:dyDescent="0.25">
      <c r="J699" s="13"/>
      <c r="K699" s="13"/>
      <c r="L699" s="13"/>
    </row>
    <row r="700" spans="10:12" hidden="1" x14ac:dyDescent="0.25">
      <c r="J700" s="13"/>
      <c r="K700" s="13"/>
      <c r="L700" s="13"/>
    </row>
    <row r="701" spans="10:12" hidden="1" x14ac:dyDescent="0.25">
      <c r="J701" s="13"/>
      <c r="K701" s="13"/>
      <c r="L701" s="13"/>
    </row>
    <row r="702" spans="10:12" hidden="1" x14ac:dyDescent="0.25">
      <c r="J702" s="13"/>
      <c r="K702" s="13"/>
      <c r="L702" s="13"/>
    </row>
    <row r="703" spans="10:12" hidden="1" x14ac:dyDescent="0.25">
      <c r="J703" s="13"/>
      <c r="K703" s="13"/>
      <c r="L703" s="13"/>
    </row>
    <row r="704" spans="10:12" hidden="1" x14ac:dyDescent="0.25">
      <c r="J704" s="13"/>
      <c r="K704" s="13"/>
      <c r="L704" s="13"/>
    </row>
    <row r="705" spans="10:12" hidden="1" x14ac:dyDescent="0.25">
      <c r="J705" s="13"/>
      <c r="K705" s="13"/>
      <c r="L705" s="13"/>
    </row>
    <row r="706" spans="10:12" hidden="1" x14ac:dyDescent="0.25">
      <c r="J706" s="13"/>
      <c r="K706" s="13"/>
      <c r="L706" s="13"/>
    </row>
    <row r="707" spans="10:12" hidden="1" x14ac:dyDescent="0.25">
      <c r="J707" s="13"/>
      <c r="K707" s="13"/>
      <c r="L707" s="13"/>
    </row>
    <row r="708" spans="10:12" hidden="1" x14ac:dyDescent="0.25">
      <c r="J708" s="13"/>
      <c r="K708" s="13"/>
      <c r="L708" s="13"/>
    </row>
    <row r="709" spans="10:12" hidden="1" x14ac:dyDescent="0.25">
      <c r="J709" s="13"/>
      <c r="K709" s="13"/>
      <c r="L709" s="13"/>
    </row>
    <row r="710" spans="10:12" hidden="1" x14ac:dyDescent="0.25">
      <c r="J710" s="13"/>
      <c r="K710" s="13"/>
      <c r="L710" s="13"/>
    </row>
    <row r="711" spans="10:12" hidden="1" x14ac:dyDescent="0.25">
      <c r="J711" s="13"/>
      <c r="K711" s="13"/>
      <c r="L711" s="13"/>
    </row>
    <row r="712" spans="10:12" hidden="1" x14ac:dyDescent="0.25">
      <c r="J712" s="13"/>
      <c r="K712" s="13"/>
      <c r="L712" s="13"/>
    </row>
    <row r="713" spans="10:12" hidden="1" x14ac:dyDescent="0.25">
      <c r="J713" s="13"/>
      <c r="K713" s="13"/>
      <c r="L713" s="13"/>
    </row>
    <row r="714" spans="10:12" hidden="1" x14ac:dyDescent="0.25">
      <c r="J714" s="13"/>
      <c r="K714" s="13"/>
      <c r="L714" s="13"/>
    </row>
    <row r="715" spans="10:12" hidden="1" x14ac:dyDescent="0.25">
      <c r="J715" s="13"/>
      <c r="K715" s="13"/>
      <c r="L715" s="13"/>
    </row>
    <row r="716" spans="10:12" hidden="1" x14ac:dyDescent="0.25">
      <c r="J716" s="13"/>
      <c r="K716" s="13"/>
      <c r="L716" s="13"/>
    </row>
    <row r="717" spans="10:12" hidden="1" x14ac:dyDescent="0.25">
      <c r="J717" s="13"/>
      <c r="K717" s="13"/>
      <c r="L717" s="13"/>
    </row>
    <row r="718" spans="10:12" hidden="1" x14ac:dyDescent="0.25">
      <c r="J718" s="13"/>
      <c r="K718" s="13"/>
      <c r="L718" s="13"/>
    </row>
    <row r="719" spans="10:12" hidden="1" x14ac:dyDescent="0.25">
      <c r="J719" s="13"/>
      <c r="K719" s="13"/>
      <c r="L719" s="13"/>
    </row>
    <row r="720" spans="10:12" hidden="1" x14ac:dyDescent="0.25">
      <c r="J720" s="13"/>
      <c r="K720" s="13"/>
      <c r="L720" s="13"/>
    </row>
    <row r="721" spans="10:12" hidden="1" x14ac:dyDescent="0.25">
      <c r="J721" s="13"/>
      <c r="K721" s="13"/>
      <c r="L721" s="13"/>
    </row>
    <row r="722" spans="10:12" hidden="1" x14ac:dyDescent="0.25">
      <c r="J722" s="13"/>
      <c r="K722" s="13"/>
      <c r="L722" s="13"/>
    </row>
    <row r="723" spans="10:12" hidden="1" x14ac:dyDescent="0.25">
      <c r="J723" s="13"/>
      <c r="K723" s="13"/>
      <c r="L723" s="13"/>
    </row>
    <row r="724" spans="10:12" hidden="1" x14ac:dyDescent="0.25">
      <c r="J724" s="13"/>
      <c r="K724" s="13"/>
      <c r="L724" s="13"/>
    </row>
    <row r="725" spans="10:12" hidden="1" x14ac:dyDescent="0.25">
      <c r="J725" s="13"/>
      <c r="K725" s="13"/>
      <c r="L725" s="13"/>
    </row>
    <row r="726" spans="10:12" hidden="1" x14ac:dyDescent="0.25">
      <c r="J726" s="13"/>
      <c r="K726" s="13"/>
      <c r="L726" s="13"/>
    </row>
    <row r="727" spans="10:12" hidden="1" x14ac:dyDescent="0.25">
      <c r="J727" s="13"/>
      <c r="K727" s="13"/>
      <c r="L727" s="13"/>
    </row>
    <row r="728" spans="10:12" hidden="1" x14ac:dyDescent="0.25">
      <c r="J728" s="13"/>
      <c r="K728" s="13"/>
      <c r="L728" s="13"/>
    </row>
    <row r="729" spans="10:12" hidden="1" x14ac:dyDescent="0.25">
      <c r="J729" s="13"/>
      <c r="K729" s="13"/>
      <c r="L729" s="13"/>
    </row>
    <row r="730" spans="10:12" hidden="1" x14ac:dyDescent="0.25">
      <c r="J730" s="13"/>
      <c r="K730" s="13"/>
      <c r="L730" s="13"/>
    </row>
    <row r="731" spans="10:12" hidden="1" x14ac:dyDescent="0.25">
      <c r="J731" s="13"/>
      <c r="K731" s="13"/>
      <c r="L731" s="13"/>
    </row>
    <row r="732" spans="10:12" hidden="1" x14ac:dyDescent="0.25">
      <c r="J732" s="13"/>
      <c r="K732" s="13"/>
      <c r="L732" s="13"/>
    </row>
    <row r="733" spans="10:12" hidden="1" x14ac:dyDescent="0.25">
      <c r="J733" s="13"/>
      <c r="K733" s="13"/>
      <c r="L733" s="13"/>
    </row>
    <row r="734" spans="10:12" hidden="1" x14ac:dyDescent="0.25">
      <c r="J734" s="13"/>
      <c r="K734" s="13"/>
      <c r="L734" s="13"/>
    </row>
    <row r="735" spans="10:12" hidden="1" x14ac:dyDescent="0.25">
      <c r="J735" s="13"/>
      <c r="K735" s="13"/>
      <c r="L735" s="13"/>
    </row>
    <row r="736" spans="10:12" hidden="1" x14ac:dyDescent="0.25">
      <c r="J736" s="13"/>
      <c r="K736" s="13"/>
      <c r="L736" s="13"/>
    </row>
    <row r="737" spans="10:12" hidden="1" x14ac:dyDescent="0.25">
      <c r="J737" s="13"/>
      <c r="K737" s="13"/>
      <c r="L737" s="13"/>
    </row>
    <row r="738" spans="10:12" hidden="1" x14ac:dyDescent="0.25">
      <c r="J738" s="13"/>
      <c r="K738" s="13"/>
      <c r="L738" s="13"/>
    </row>
    <row r="739" spans="10:12" hidden="1" x14ac:dyDescent="0.25">
      <c r="J739" s="13"/>
      <c r="K739" s="13"/>
      <c r="L739" s="13"/>
    </row>
    <row r="740" spans="10:12" hidden="1" x14ac:dyDescent="0.25">
      <c r="J740" s="13"/>
      <c r="K740" s="13"/>
      <c r="L740" s="13"/>
    </row>
    <row r="741" spans="10:12" hidden="1" x14ac:dyDescent="0.25">
      <c r="J741" s="13"/>
      <c r="K741" s="13"/>
      <c r="L741" s="13"/>
    </row>
    <row r="742" spans="10:12" hidden="1" x14ac:dyDescent="0.25">
      <c r="J742" s="13"/>
      <c r="K742" s="13"/>
      <c r="L742" s="13"/>
    </row>
    <row r="743" spans="10:12" hidden="1" x14ac:dyDescent="0.25">
      <c r="J743" s="13"/>
      <c r="K743" s="13"/>
      <c r="L743" s="13"/>
    </row>
    <row r="744" spans="10:12" hidden="1" x14ac:dyDescent="0.25">
      <c r="J744" s="13"/>
      <c r="K744" s="13"/>
      <c r="L744" s="13"/>
    </row>
    <row r="745" spans="10:12" hidden="1" x14ac:dyDescent="0.25">
      <c r="J745" s="13"/>
      <c r="K745" s="13"/>
      <c r="L745" s="13"/>
    </row>
    <row r="746" spans="10:12" hidden="1" x14ac:dyDescent="0.25">
      <c r="J746" s="13"/>
      <c r="K746" s="13"/>
      <c r="L746" s="13"/>
    </row>
    <row r="747" spans="10:12" hidden="1" x14ac:dyDescent="0.25">
      <c r="J747" s="13"/>
      <c r="K747" s="13"/>
      <c r="L747" s="13"/>
    </row>
    <row r="748" spans="10:12" hidden="1" x14ac:dyDescent="0.25">
      <c r="J748" s="13"/>
      <c r="K748" s="13"/>
      <c r="L748" s="13"/>
    </row>
    <row r="749" spans="10:12" hidden="1" x14ac:dyDescent="0.25">
      <c r="J749" s="13"/>
      <c r="K749" s="13"/>
      <c r="L749" s="13"/>
    </row>
    <row r="750" spans="10:12" hidden="1" x14ac:dyDescent="0.25">
      <c r="J750" s="13"/>
      <c r="K750" s="13"/>
      <c r="L750" s="13"/>
    </row>
    <row r="751" spans="10:12" hidden="1" x14ac:dyDescent="0.25">
      <c r="J751" s="13"/>
      <c r="K751" s="13"/>
      <c r="L751" s="13"/>
    </row>
    <row r="752" spans="10:12" hidden="1" x14ac:dyDescent="0.25">
      <c r="J752" s="13"/>
      <c r="K752" s="13"/>
      <c r="L752" s="13"/>
    </row>
    <row r="753" spans="10:12" hidden="1" x14ac:dyDescent="0.25">
      <c r="J753" s="13"/>
      <c r="K753" s="13"/>
      <c r="L753" s="13"/>
    </row>
    <row r="754" spans="10:12" hidden="1" x14ac:dyDescent="0.25">
      <c r="J754" s="13"/>
      <c r="K754" s="13"/>
      <c r="L754" s="13"/>
    </row>
    <row r="755" spans="10:12" hidden="1" x14ac:dyDescent="0.25">
      <c r="J755" s="13"/>
      <c r="K755" s="13"/>
      <c r="L755" s="13"/>
    </row>
    <row r="756" spans="10:12" hidden="1" x14ac:dyDescent="0.25">
      <c r="J756" s="13"/>
      <c r="K756" s="13"/>
      <c r="L756" s="13"/>
    </row>
    <row r="757" spans="10:12" hidden="1" x14ac:dyDescent="0.25">
      <c r="J757" s="13"/>
      <c r="K757" s="13"/>
      <c r="L757" s="13"/>
    </row>
    <row r="758" spans="10:12" hidden="1" x14ac:dyDescent="0.25">
      <c r="J758" s="13"/>
      <c r="K758" s="13"/>
      <c r="L758" s="13"/>
    </row>
    <row r="759" spans="10:12" hidden="1" x14ac:dyDescent="0.25">
      <c r="J759" s="13"/>
      <c r="K759" s="13"/>
      <c r="L759" s="13"/>
    </row>
    <row r="760" spans="10:12" hidden="1" x14ac:dyDescent="0.25">
      <c r="J760" s="13"/>
      <c r="K760" s="13"/>
      <c r="L760" s="13"/>
    </row>
    <row r="761" spans="10:12" hidden="1" x14ac:dyDescent="0.25">
      <c r="J761" s="13"/>
      <c r="K761" s="13"/>
      <c r="L761" s="13"/>
    </row>
    <row r="762" spans="10:12" hidden="1" x14ac:dyDescent="0.25">
      <c r="J762" s="13"/>
      <c r="K762" s="13"/>
      <c r="L762" s="13"/>
    </row>
    <row r="763" spans="10:12" hidden="1" x14ac:dyDescent="0.25">
      <c r="J763" s="13"/>
      <c r="K763" s="13"/>
      <c r="L763" s="13"/>
    </row>
    <row r="764" spans="10:12" hidden="1" x14ac:dyDescent="0.25">
      <c r="J764" s="13"/>
      <c r="K764" s="13"/>
      <c r="L764" s="13"/>
    </row>
    <row r="765" spans="10:12" hidden="1" x14ac:dyDescent="0.25">
      <c r="J765" s="13"/>
      <c r="K765" s="13"/>
      <c r="L765" s="13"/>
    </row>
    <row r="766" spans="10:12" hidden="1" x14ac:dyDescent="0.25">
      <c r="J766" s="13"/>
      <c r="K766" s="13"/>
      <c r="L766" s="13"/>
    </row>
    <row r="767" spans="10:12" hidden="1" x14ac:dyDescent="0.25">
      <c r="J767" s="13"/>
      <c r="K767" s="13"/>
      <c r="L767" s="13"/>
    </row>
    <row r="768" spans="10:12" hidden="1" x14ac:dyDescent="0.25">
      <c r="J768" s="13"/>
      <c r="K768" s="13"/>
      <c r="L768" s="13"/>
    </row>
    <row r="769" spans="10:12" hidden="1" x14ac:dyDescent="0.25">
      <c r="J769" s="13"/>
      <c r="K769" s="13"/>
      <c r="L769" s="13"/>
    </row>
    <row r="770" spans="10:12" hidden="1" x14ac:dyDescent="0.25">
      <c r="J770" s="13"/>
      <c r="K770" s="13"/>
      <c r="L770" s="13"/>
    </row>
    <row r="771" spans="10:12" hidden="1" x14ac:dyDescent="0.25">
      <c r="J771" s="13"/>
      <c r="K771" s="13"/>
      <c r="L771" s="13"/>
    </row>
    <row r="772" spans="10:12" hidden="1" x14ac:dyDescent="0.25">
      <c r="J772" s="13"/>
      <c r="K772" s="13"/>
      <c r="L772" s="13"/>
    </row>
    <row r="773" spans="10:12" hidden="1" x14ac:dyDescent="0.25">
      <c r="J773" s="13"/>
      <c r="K773" s="13"/>
      <c r="L773" s="13"/>
    </row>
    <row r="774" spans="10:12" hidden="1" x14ac:dyDescent="0.25">
      <c r="J774" s="13"/>
      <c r="K774" s="13"/>
      <c r="L774" s="13"/>
    </row>
    <row r="775" spans="10:12" hidden="1" x14ac:dyDescent="0.25">
      <c r="J775" s="13"/>
      <c r="K775" s="13"/>
      <c r="L775" s="13"/>
    </row>
    <row r="776" spans="10:12" hidden="1" x14ac:dyDescent="0.25">
      <c r="J776" s="13"/>
      <c r="K776" s="13"/>
      <c r="L776" s="13"/>
    </row>
    <row r="777" spans="10:12" hidden="1" x14ac:dyDescent="0.25">
      <c r="J777" s="13"/>
      <c r="K777" s="13"/>
      <c r="L777" s="13"/>
    </row>
    <row r="778" spans="10:12" hidden="1" x14ac:dyDescent="0.25">
      <c r="J778" s="13"/>
      <c r="K778" s="13"/>
      <c r="L778" s="13"/>
    </row>
    <row r="779" spans="10:12" hidden="1" x14ac:dyDescent="0.25">
      <c r="J779" s="13"/>
      <c r="K779" s="13"/>
      <c r="L779" s="13"/>
    </row>
    <row r="780" spans="10:12" hidden="1" x14ac:dyDescent="0.25">
      <c r="J780" s="13"/>
      <c r="K780" s="13"/>
      <c r="L780" s="13"/>
    </row>
    <row r="781" spans="10:12" hidden="1" x14ac:dyDescent="0.25">
      <c r="J781" s="13"/>
      <c r="K781" s="13"/>
      <c r="L781" s="13"/>
    </row>
    <row r="782" spans="10:12" hidden="1" x14ac:dyDescent="0.25">
      <c r="J782" s="13"/>
      <c r="K782" s="13"/>
      <c r="L782" s="13"/>
    </row>
    <row r="783" spans="10:12" hidden="1" x14ac:dyDescent="0.25">
      <c r="J783" s="13"/>
      <c r="K783" s="13"/>
      <c r="L783" s="13"/>
    </row>
    <row r="784" spans="10:12" hidden="1" x14ac:dyDescent="0.25">
      <c r="J784" s="13"/>
      <c r="K784" s="13"/>
      <c r="L784" s="13"/>
    </row>
    <row r="785" spans="10:12" hidden="1" x14ac:dyDescent="0.25">
      <c r="J785" s="13"/>
      <c r="K785" s="13"/>
      <c r="L785" s="13"/>
    </row>
    <row r="786" spans="10:12" hidden="1" x14ac:dyDescent="0.25">
      <c r="J786" s="13"/>
      <c r="K786" s="13"/>
      <c r="L786" s="13"/>
    </row>
    <row r="787" spans="10:12" hidden="1" x14ac:dyDescent="0.25">
      <c r="J787" s="13"/>
      <c r="K787" s="13"/>
      <c r="L787" s="13"/>
    </row>
    <row r="788" spans="10:12" hidden="1" x14ac:dyDescent="0.25">
      <c r="J788" s="13"/>
      <c r="K788" s="13"/>
      <c r="L788" s="13"/>
    </row>
    <row r="789" spans="10:12" hidden="1" x14ac:dyDescent="0.25">
      <c r="J789" s="13"/>
      <c r="K789" s="13"/>
      <c r="L789" s="13"/>
    </row>
    <row r="790" spans="10:12" hidden="1" x14ac:dyDescent="0.25">
      <c r="J790" s="13"/>
      <c r="K790" s="13"/>
      <c r="L790" s="13"/>
    </row>
    <row r="791" spans="10:12" hidden="1" x14ac:dyDescent="0.25">
      <c r="J791" s="13"/>
      <c r="K791" s="13"/>
      <c r="L791" s="13"/>
    </row>
    <row r="792" spans="10:12" hidden="1" x14ac:dyDescent="0.25">
      <c r="J792" s="13"/>
      <c r="K792" s="13"/>
      <c r="L792" s="13"/>
    </row>
    <row r="793" spans="10:12" hidden="1" x14ac:dyDescent="0.25">
      <c r="J793" s="13"/>
      <c r="K793" s="13"/>
      <c r="L793" s="13"/>
    </row>
    <row r="794" spans="10:12" hidden="1" x14ac:dyDescent="0.25">
      <c r="J794" s="13"/>
      <c r="K794" s="13"/>
      <c r="L794" s="13"/>
    </row>
    <row r="795" spans="10:12" hidden="1" x14ac:dyDescent="0.25">
      <c r="J795" s="13"/>
      <c r="K795" s="13"/>
      <c r="L795" s="13"/>
    </row>
    <row r="796" spans="10:12" hidden="1" x14ac:dyDescent="0.25">
      <c r="J796" s="13"/>
      <c r="K796" s="13"/>
      <c r="L796" s="13"/>
    </row>
    <row r="797" spans="10:12" hidden="1" x14ac:dyDescent="0.25">
      <c r="J797" s="13"/>
      <c r="K797" s="13"/>
      <c r="L797" s="13"/>
    </row>
    <row r="798" spans="10:12" hidden="1" x14ac:dyDescent="0.25">
      <c r="J798" s="13"/>
      <c r="K798" s="13"/>
      <c r="L798" s="13"/>
    </row>
    <row r="799" spans="10:12" hidden="1" x14ac:dyDescent="0.25">
      <c r="J799" s="13"/>
      <c r="K799" s="13"/>
      <c r="L799" s="13"/>
    </row>
    <row r="800" spans="10:12" hidden="1" x14ac:dyDescent="0.25">
      <c r="J800" s="13"/>
      <c r="K800" s="13"/>
      <c r="L800" s="13"/>
    </row>
    <row r="801" spans="10:12" hidden="1" x14ac:dyDescent="0.25">
      <c r="J801" s="13"/>
      <c r="K801" s="13"/>
      <c r="L801" s="13"/>
    </row>
    <row r="802" spans="10:12" hidden="1" x14ac:dyDescent="0.25">
      <c r="J802" s="13"/>
      <c r="K802" s="13"/>
      <c r="L802" s="13"/>
    </row>
    <row r="803" spans="10:12" hidden="1" x14ac:dyDescent="0.25">
      <c r="J803" s="13"/>
      <c r="K803" s="13"/>
      <c r="L803" s="13"/>
    </row>
    <row r="804" spans="10:12" hidden="1" x14ac:dyDescent="0.25">
      <c r="J804" s="13"/>
      <c r="K804" s="13"/>
      <c r="L804" s="13"/>
    </row>
    <row r="805" spans="10:12" hidden="1" x14ac:dyDescent="0.25">
      <c r="J805" s="13"/>
      <c r="K805" s="13"/>
      <c r="L805" s="13"/>
    </row>
    <row r="806" spans="10:12" hidden="1" x14ac:dyDescent="0.25"/>
    <row r="807" spans="10:12" hidden="1" x14ac:dyDescent="0.25"/>
    <row r="808" spans="10:12" hidden="1" x14ac:dyDescent="0.25"/>
    <row r="809" spans="10:12" hidden="1" x14ac:dyDescent="0.25"/>
    <row r="810" spans="10:12" hidden="1" x14ac:dyDescent="0.25"/>
    <row r="811" spans="10:12" hidden="1" x14ac:dyDescent="0.25"/>
    <row r="812" spans="10:12" x14ac:dyDescent="0.25"/>
    <row r="813" spans="10:12" x14ac:dyDescent="0.25"/>
    <row r="814" spans="10:12" x14ac:dyDescent="0.25"/>
    <row r="815" spans="10:12" x14ac:dyDescent="0.25"/>
    <row r="816" spans="10:12" x14ac:dyDescent="0.25"/>
    <row r="817" x14ac:dyDescent="0.25"/>
    <row r="818" x14ac:dyDescent="0.25"/>
    <row r="819" x14ac:dyDescent="0.25"/>
    <row r="820" x14ac:dyDescent="0.25"/>
    <row r="821" x14ac:dyDescent="0.25"/>
    <row r="822" x14ac:dyDescent="0.25"/>
    <row r="823" x14ac:dyDescent="0.25"/>
  </sheetData>
  <sortState ref="A2:U684">
    <sortCondition ref="I1"/>
  </sortState>
  <hyperlinks>
    <hyperlink ref="J2" r:id="rId1" display="http://licenciamento.cetesb.sp.gov.br/municipioss.asp?muni=ADAMANTINA"/>
    <hyperlink ref="J3" r:id="rId2" display="http://licenciamento.cetesb.sp.gov.br/municipioss.asp?muni=ADOLFO"/>
    <hyperlink ref="J4" r:id="rId3" display="http://licenciamento.cetesb.sp.gov.br/municipioss.asp?muni=AGUA%C3%8D"/>
    <hyperlink ref="J5" r:id="rId4" display="http://licenciamento.cetesb.sp.gov.br/municipioss.asp?muni=%C3%81GUAS%20DA%20PRATA"/>
    <hyperlink ref="J6" r:id="rId5" display="http://licenciamento.cetesb.sp.gov.br/municipioss.asp?muni=%C3%81GUAS%20DE%20LIND%C3%93IA"/>
    <hyperlink ref="J7" r:id="rId6" display="http://licenciamento.cetesb.sp.gov.br/municipioss.asp?muni=%C3%81GUAS%20DE%20SANTA%20B%C3%81RBARA"/>
    <hyperlink ref="J8" r:id="rId7" display="http://licenciamento.cetesb.sp.gov.br/municipioss.asp?muni=%C3%81GUAS%20DE%20S%C3%83O%20PEDRO"/>
    <hyperlink ref="J9" r:id="rId8" display="http://licenciamento.cetesb.sp.gov.br/municipioss.asp?muni=AGUDOS"/>
    <hyperlink ref="J10" r:id="rId9" display="http://licenciamento.cetesb.sp.gov.br/municipioss.asp?muni=ALAMBARI"/>
    <hyperlink ref="J11" r:id="rId10" display="http://licenciamento.cetesb.sp.gov.br/municipioss.asp?muni=ALFREDO%20MARCONDES"/>
    <hyperlink ref="J12" r:id="rId11" display="http://licenciamento.cetesb.sp.gov.br/municipioss.asp?muni=ALTAIR"/>
    <hyperlink ref="J13" r:id="rId12" display="http://licenciamento.cetesb.sp.gov.br/municipioss.asp?muni=ALTIN%C3%93POLIS"/>
    <hyperlink ref="J14" r:id="rId13" display="http://licenciamento.cetesb.sp.gov.br/municipioss.asp?muni=ALTO%20ALEGRE"/>
    <hyperlink ref="J15" r:id="rId14" display="http://licenciamento.cetesb.sp.gov.br/municipioss.asp?muni=ALUM%C3%8DNIO"/>
    <hyperlink ref="J16" r:id="rId15" display="http://licenciamento.cetesb.sp.gov.br/municipioss.asp?muni=%C3%81LVARES%20FLORENCE"/>
    <hyperlink ref="J17" r:id="rId16" display="http://licenciamento.cetesb.sp.gov.br/municipioss.asp?muni=%C3%81LVARES%20MACHADO"/>
    <hyperlink ref="J18" r:id="rId17" display="http://licenciamento.cetesb.sp.gov.br/municipioss.asp?muni=%C3%81LVARO%20DE%20CARVALHO"/>
    <hyperlink ref="J19" r:id="rId18" display="http://licenciamento.cetesb.sp.gov.br/municipioss.asp?muni=ALVINL%C3%82NDIA"/>
    <hyperlink ref="J20" r:id="rId19" display="http://licenciamento.cetesb.sp.gov.br/municipioss.asp?muni=AMERICANA"/>
    <hyperlink ref="J21" r:id="rId20" display="http://licenciamento.cetesb.sp.gov.br/municipioss.asp?muni=AM%C3%89RICO%20BRASILIENSE"/>
    <hyperlink ref="J22" r:id="rId21" display="http://licenciamento.cetesb.sp.gov.br/municipioss.asp?muni=AM%C3%89RICO%20DE%20CAMPOS"/>
    <hyperlink ref="J23" r:id="rId22" display="http://licenciamento.cetesb.sp.gov.br/municipioss.asp?muni=AMPARO"/>
    <hyperlink ref="J24" r:id="rId23" display="http://licenciamento.cetesb.sp.gov.br/municipioss.asp?muni=ANAL%C3%82NDIA"/>
    <hyperlink ref="J25" r:id="rId24" display="http://licenciamento.cetesb.sp.gov.br/municipioss.asp?muni=ANDRADINA"/>
    <hyperlink ref="J26" r:id="rId25" display="http://licenciamento.cetesb.sp.gov.br/municipioss.asp?muni=ANGATUBA"/>
    <hyperlink ref="J27" r:id="rId26" display="http://licenciamento.cetesb.sp.gov.br/municipioss.asp?muni=ANHEMBI"/>
    <hyperlink ref="J28" r:id="rId27" display="http://licenciamento.cetesb.sp.gov.br/municipioss.asp?muni=ANHUMAS"/>
    <hyperlink ref="J29" r:id="rId28" display="http://licenciamento.cetesb.sp.gov.br/municipioss.asp?muni=APARECIDA"/>
    <hyperlink ref="J31" r:id="rId29" display="http://licenciamento.cetesb.sp.gov.br/municipioss.asp?muni=APIA%C3%8D"/>
    <hyperlink ref="J32" r:id="rId30" display="http://licenciamento.cetesb.sp.gov.br/municipioss.asp?muni=ARA%C3%87ARIGUAMA"/>
    <hyperlink ref="J33" r:id="rId31" display="http://licenciamento.cetesb.sp.gov.br/municipioss.asp?muni=ARA%C3%87ATUBA"/>
    <hyperlink ref="J34" r:id="rId32" display="http://licenciamento.cetesb.sp.gov.br/municipioss.asp?muni=ARA%C3%87OIABA%20DA%20SERRA"/>
    <hyperlink ref="J35" r:id="rId33" display="http://licenciamento.cetesb.sp.gov.br/municipioss.asp?muni=ARAMINA"/>
    <hyperlink ref="J36" r:id="rId34" display="http://licenciamento.cetesb.sp.gov.br/municipioss.asp?muni=ARANDU"/>
    <hyperlink ref="J37" r:id="rId35" display="http://licenciamento.cetesb.sp.gov.br/municipioss.asp?muni=ARAPE%C3%8D"/>
    <hyperlink ref="J38" r:id="rId36" display="http://licenciamento.cetesb.sp.gov.br/municipioss.asp?muni=ARARAQUARA"/>
    <hyperlink ref="J39" r:id="rId37" display="http://licenciamento.cetesb.sp.gov.br/municipioss.asp?muni=ARARAS"/>
    <hyperlink ref="J41" r:id="rId38" display="http://licenciamento.cetesb.sp.gov.br/municipioss.asp?muni=AREALVA"/>
    <hyperlink ref="J42" r:id="rId39" display="http://licenciamento.cetesb.sp.gov.br/municipioss.asp?muni=AREIAS"/>
    <hyperlink ref="J43" r:id="rId40" display="http://licenciamento.cetesb.sp.gov.br/municipioss.asp?muni=AREI%C3%93POLIS"/>
    <hyperlink ref="J44" r:id="rId41" display="http://licenciamento.cetesb.sp.gov.br/municipioss.asp?muni=ARIRANHA"/>
    <hyperlink ref="J45" r:id="rId42" display="http://licenciamento.cetesb.sp.gov.br/municipioss.asp?muni=ARTUR%20NOGUEIRA"/>
    <hyperlink ref="J46" r:id="rId43" display="http://licenciamento.cetesb.sp.gov.br/municipioss.asp?muni=ARUJ%C3%81"/>
    <hyperlink ref="J47" r:id="rId44" display="http://licenciamento.cetesb.sp.gov.br/municipioss.asp?muni=ASP%C3%81SIA"/>
    <hyperlink ref="J48" r:id="rId45" display="http://licenciamento.cetesb.sp.gov.br/municipioss.asp?muni=ASSIS"/>
    <hyperlink ref="J49" r:id="rId46" display="http://licenciamento.cetesb.sp.gov.br/municipioss.asp?muni=ATIBAIA"/>
    <hyperlink ref="J50" r:id="rId47" display="http://licenciamento.cetesb.sp.gov.br/municipioss.asp?muni=AURIFLAMA"/>
    <hyperlink ref="J51" r:id="rId48" display="http://licenciamento.cetesb.sp.gov.br/municipioss.asp?muni=AVA%C3%8D"/>
    <hyperlink ref="J52" r:id="rId49" display="http://licenciamento.cetesb.sp.gov.br/municipioss.asp?muni=AVANHANDAVA"/>
    <hyperlink ref="J53" r:id="rId50" display="http://licenciamento.cetesb.sp.gov.br/municipioss.asp?muni=AVAR%C3%89"/>
    <hyperlink ref="J54" r:id="rId51" display="http://licenciamento.cetesb.sp.gov.br/municipioss.asp?muni=BADY%20BASSITT"/>
    <hyperlink ref="J55" r:id="rId52" display="http://licenciamento.cetesb.sp.gov.br/municipioss.asp?muni=BALBINOS"/>
    <hyperlink ref="J56" r:id="rId53" display="http://licenciamento.cetesb.sp.gov.br/municipioss.asp?muni=B%C3%81LSAMO"/>
    <hyperlink ref="J57" r:id="rId54" display="http://licenciamento.cetesb.sp.gov.br/municipioss.asp?muni=BANANAL"/>
    <hyperlink ref="J58" r:id="rId55" display="http://licenciamento.cetesb.sp.gov.br/municipioss.asp?muni=BAR%C3%83O%20DE%20ANTONINA"/>
    <hyperlink ref="J59" r:id="rId56" display="http://licenciamento.cetesb.sp.gov.br/municipioss.asp?muni=BARBOSA"/>
    <hyperlink ref="J60" r:id="rId57" display="http://licenciamento.cetesb.sp.gov.br/municipioss.asp?muni=BARIRI"/>
    <hyperlink ref="J61" r:id="rId58" display="http://licenciamento.cetesb.sp.gov.br/municipioss.asp?muni=BARRA%20BONITA"/>
    <hyperlink ref="J62" r:id="rId59" display="http://licenciamento.cetesb.sp.gov.br/municipioss.asp?muni=BARRA%20DO%20CHAP%C3%89U"/>
    <hyperlink ref="J63" r:id="rId60" display="http://licenciamento.cetesb.sp.gov.br/municipioss.asp?muni=BARRA%20DO%20TURVO"/>
    <hyperlink ref="J64" r:id="rId61" display="http://licenciamento.cetesb.sp.gov.br/municipioss.asp?muni=BARRETOS"/>
    <hyperlink ref="J65" r:id="rId62" display="http://licenciamento.cetesb.sp.gov.br/municipioss.asp?muni=BARRINHA"/>
    <hyperlink ref="J66" r:id="rId63" display="http://licenciamento.cetesb.sp.gov.br/municipioss.asp?muni=BARUERI"/>
    <hyperlink ref="J67" r:id="rId64" display="http://licenciamento.cetesb.sp.gov.br/municipioss.asp?muni=BASTOS"/>
    <hyperlink ref="J68" r:id="rId65" display="http://licenciamento.cetesb.sp.gov.br/municipioss.asp?muni=BATATAIS"/>
    <hyperlink ref="J69" r:id="rId66" display="http://licenciamento.cetesb.sp.gov.br/municipioss.asp?muni=BAURU"/>
    <hyperlink ref="J70" r:id="rId67" display="http://licenciamento.cetesb.sp.gov.br/municipioss.asp?muni=BEBEDOURO"/>
    <hyperlink ref="J71" r:id="rId68" display="http://licenciamento.cetesb.sp.gov.br/municipioss.asp?muni=BENTO%20DE%20ABREU"/>
    <hyperlink ref="J72" r:id="rId69" display="http://licenciamento.cetesb.sp.gov.br/municipioss.asp?muni=BERNARDINO%20DE%20CAMPOS"/>
    <hyperlink ref="J73" r:id="rId70" display="http://licenciamento.cetesb.sp.gov.br/municipioss.asp?muni=BERTIOGA"/>
    <hyperlink ref="J74" r:id="rId71" display="http://licenciamento.cetesb.sp.gov.br/municipioss.asp?muni=BILAC"/>
    <hyperlink ref="J75" r:id="rId72" display="http://licenciamento.cetesb.sp.gov.br/municipioss.asp?muni=BIRIGUI"/>
    <hyperlink ref="J77" r:id="rId73" display="http://licenciamento.cetesb.sp.gov.br/municipioss.asp?muni=BOA%20ESPERAN%C3%87A%20DO%20SUL"/>
    <hyperlink ref="J78" r:id="rId74" display="http://licenciamento.cetesb.sp.gov.br/municipioss.asp?muni=BOCAINA"/>
    <hyperlink ref="J79" r:id="rId75" display="http://licenciamento.cetesb.sp.gov.br/municipioss.asp?muni=BOFETE"/>
    <hyperlink ref="J80" r:id="rId76" display="http://licenciamento.cetesb.sp.gov.br/municipioss.asp?muni=BOITUVA"/>
    <hyperlink ref="J81" r:id="rId77" display="http://licenciamento.cetesb.sp.gov.br/municipioss.asp?muni=BOM%20JESUS%20DOS%20PERD%C3%95ES"/>
    <hyperlink ref="J82" r:id="rId78" display="http://licenciamento.cetesb.sp.gov.br/municipioss.asp?muni=BOM%20SUCESSO%20DE%20ITARAR%C3%89"/>
    <hyperlink ref="J83" r:id="rId79" display="http://licenciamento.cetesb.sp.gov.br/municipioss.asp?muni=BOR%C3%81"/>
    <hyperlink ref="J84" r:id="rId80" display="http://licenciamento.cetesb.sp.gov.br/municipioss.asp?muni=BORAC%C3%89IA"/>
    <hyperlink ref="J85" r:id="rId81" display="http://licenciamento.cetesb.sp.gov.br/municipioss.asp?muni=BORBOREMA"/>
    <hyperlink ref="J86" r:id="rId82" display="http://licenciamento.cetesb.sp.gov.br/municipioss.asp?muni=BOREBI"/>
    <hyperlink ref="J87" r:id="rId83" display="http://licenciamento.cetesb.sp.gov.br/municipioss.asp?muni=BOTUCATU"/>
    <hyperlink ref="J88" r:id="rId84" display="http://licenciamento.cetesb.sp.gov.br/municipioss.asp?muni=BRAGAN%C3%87A%20PAULISTA"/>
    <hyperlink ref="J89" r:id="rId85" display="http://licenciamento.cetesb.sp.gov.br/municipioss.asp?muni=BRA%C3%9ANA"/>
    <hyperlink ref="J90" r:id="rId86" display="http://licenciamento.cetesb.sp.gov.br/municipioss.asp?muni=BREJO%20ALEGRE"/>
    <hyperlink ref="J91" r:id="rId87" display="http://licenciamento.cetesb.sp.gov.br/municipioss.asp?muni=BRODOWSKI"/>
    <hyperlink ref="J92" r:id="rId88" display="http://licenciamento.cetesb.sp.gov.br/municipioss.asp?muni=BROTAS"/>
    <hyperlink ref="J93" r:id="rId89" display="http://licenciamento.cetesb.sp.gov.br/municipioss.asp?muni=BURI"/>
    <hyperlink ref="J94" r:id="rId90" display="http://licenciamento.cetesb.sp.gov.br/municipioss.asp?muni=BURITAMA"/>
    <hyperlink ref="J95" r:id="rId91" display="http://licenciamento.cetesb.sp.gov.br/municipioss.asp?muni=BURITIZAL"/>
    <hyperlink ref="J96" r:id="rId92" display="http://licenciamento.cetesb.sp.gov.br/municipioss.asp?muni=CABR%C3%81LIA%20PAULISTA"/>
    <hyperlink ref="J97" r:id="rId93" display="http://licenciamento.cetesb.sp.gov.br/municipioss.asp?muni=CABRE%C3%9AVA"/>
    <hyperlink ref="J98" r:id="rId94" display="http://licenciamento.cetesb.sp.gov.br/municipioss.asp?muni=CA%C3%87APAVA"/>
    <hyperlink ref="J99" r:id="rId95" display="http://licenciamento.cetesb.sp.gov.br/municipioss.asp?muni=CACHOEIRA%20PAULISTA"/>
    <hyperlink ref="J100" r:id="rId96" display="http://licenciamento.cetesb.sp.gov.br/municipioss.asp?muni=CACONDE"/>
    <hyperlink ref="J101" r:id="rId97" display="http://licenciamento.cetesb.sp.gov.br/municipioss.asp?muni=CAFEL%C3%82NDIA"/>
    <hyperlink ref="J102" r:id="rId98" display="http://licenciamento.cetesb.sp.gov.br/municipioss.asp?muni=CAIABU"/>
    <hyperlink ref="J103" r:id="rId99" display="http://licenciamento.cetesb.sp.gov.br/municipioss.asp?muni=CAIEIRAS"/>
    <hyperlink ref="J104" r:id="rId100" display="http://licenciamento.cetesb.sp.gov.br/municipioss.asp?muni=CAIU%C3%81"/>
    <hyperlink ref="J105" r:id="rId101" display="http://licenciamento.cetesb.sp.gov.br/municipioss.asp?muni=CAJAMAR"/>
    <hyperlink ref="J106" r:id="rId102" display="http://licenciamento.cetesb.sp.gov.br/municipioss.asp?muni=CAJATI"/>
    <hyperlink ref="J107" r:id="rId103" display="http://licenciamento.cetesb.sp.gov.br/municipioss.asp?muni=CAJOBI"/>
    <hyperlink ref="J108" r:id="rId104" display="http://licenciamento.cetesb.sp.gov.br/municipioss.asp?muni=CAJURU"/>
    <hyperlink ref="J109" r:id="rId105" display="http://licenciamento.cetesb.sp.gov.br/municipioss.asp?muni=CAMPINA%20DO%20MONTE%20ALEGRE"/>
    <hyperlink ref="J110" r:id="rId106" display="http://licenciamento.cetesb.sp.gov.br/municipioss.asp?muni=CAMPINAS"/>
    <hyperlink ref="J111" r:id="rId107" display="http://licenciamento.cetesb.sp.gov.br/municipioss.asp?muni=CAMPO%20LIMPO%20PAULISTA"/>
    <hyperlink ref="J112" r:id="rId108" display="http://licenciamento.cetesb.sp.gov.br/municipioss.asp?muni=CAMPOS%20DO%20JORD%C3%83O"/>
    <hyperlink ref="J113" r:id="rId109" display="http://licenciamento.cetesb.sp.gov.br/municipioss.asp?muni=CAMPOS%20NOVOS%20PAULISTA"/>
    <hyperlink ref="J114" r:id="rId110" display="http://licenciamento.cetesb.sp.gov.br/municipioss.asp?muni=CANAN%C3%89IA"/>
    <hyperlink ref="J115" r:id="rId111" display="http://licenciamento.cetesb.sp.gov.br/municipioss.asp?muni=CANAS"/>
    <hyperlink ref="J116" r:id="rId112" display="http://licenciamento.cetesb.sp.gov.br/municipioss.asp?muni=C%C3%82NDIDO%20MOTA"/>
    <hyperlink ref="J117" r:id="rId113" display="http://licenciamento.cetesb.sp.gov.br/municipioss.asp?muni=C%C3%82NDIDO%20RODRIGUES"/>
    <hyperlink ref="J118" r:id="rId114" display="http://licenciamento.cetesb.sp.gov.br/municipioss.asp?muni=CANITAR"/>
    <hyperlink ref="J119" r:id="rId115" display="http://licenciamento.cetesb.sp.gov.br/municipioss.asp?muni=CAP%C3%83O%20BONITO"/>
    <hyperlink ref="J120" r:id="rId116" display="http://licenciamento.cetesb.sp.gov.br/municipioss.asp?muni=CAPELA%20DO%20ALTO"/>
    <hyperlink ref="J121" r:id="rId117" display="http://licenciamento.cetesb.sp.gov.br/municipioss.asp?muni=CAPIVARI"/>
    <hyperlink ref="J122" r:id="rId118" display="http://licenciamento.cetesb.sp.gov.br/municipioss.asp?muni=CARAGUATATUBA"/>
    <hyperlink ref="J123" r:id="rId119" display="http://licenciamento.cetesb.sp.gov.br/municipioss.asp?muni=CARAPICU%C3%8DBA"/>
    <hyperlink ref="J124" r:id="rId120" display="http://licenciamento.cetesb.sp.gov.br/municipioss.asp?muni=CARDOSO"/>
    <hyperlink ref="J125" r:id="rId121" display="http://licenciamento.cetesb.sp.gov.br/municipioss.asp?muni=CASA%20BRANCA"/>
    <hyperlink ref="J126" r:id="rId122" display="http://licenciamento.cetesb.sp.gov.br/municipioss.asp?muni=C%C3%81SSIA%20DOS%20COQUEIROS"/>
    <hyperlink ref="J127" r:id="rId123" display="http://licenciamento.cetesb.sp.gov.br/municipioss.asp?muni=CASTILHO"/>
    <hyperlink ref="J128" r:id="rId124" display="http://licenciamento.cetesb.sp.gov.br/municipioss.asp?muni=CATANDUVA"/>
    <hyperlink ref="J129" r:id="rId125" display="http://licenciamento.cetesb.sp.gov.br/municipioss.asp?muni=CATIGU%C3%81"/>
    <hyperlink ref="J130" r:id="rId126" display="http://licenciamento.cetesb.sp.gov.br/municipioss.asp?muni=CEDRAL"/>
    <hyperlink ref="J131" r:id="rId127" display="http://licenciamento.cetesb.sp.gov.br/municipioss.asp?muni=CERQUEIRA%20C%C3%89SAR"/>
    <hyperlink ref="J132" r:id="rId128" display="http://licenciamento.cetesb.sp.gov.br/municipioss.asp?muni=CERQUILHO"/>
    <hyperlink ref="J133" r:id="rId129" display="http://licenciamento.cetesb.sp.gov.br/municipioss.asp?muni=CES%C3%81RIO%20LANGE"/>
    <hyperlink ref="J134" r:id="rId130" display="http://licenciamento.cetesb.sp.gov.br/municipioss.asp?muni=CHARQUEADA"/>
    <hyperlink ref="J135" r:id="rId131" display="http://licenciamento.cetesb.sp.gov.br/municipioss.asp?muni=CHAVANTES"/>
    <hyperlink ref="J136" r:id="rId132" display="http://licenciamento.cetesb.sp.gov.br/municipioss.asp?muni=CLEMENTINA"/>
    <hyperlink ref="J137" r:id="rId133" display="http://licenciamento.cetesb.sp.gov.br/municipioss.asp?muni=COLINA"/>
    <hyperlink ref="J138" r:id="rId134" display="http://licenciamento.cetesb.sp.gov.br/municipioss.asp?muni=COL%C3%94MBIA"/>
    <hyperlink ref="J139" r:id="rId135" display="http://licenciamento.cetesb.sp.gov.br/municipioss.asp?muni=CONCHAL"/>
    <hyperlink ref="J140" r:id="rId136" display="http://licenciamento.cetesb.sp.gov.br/municipioss.asp?muni=CONCHAS"/>
    <hyperlink ref="J141" r:id="rId137" display="http://licenciamento.cetesb.sp.gov.br/municipioss.asp?muni=CORDEIR%C3%93POLIS"/>
    <hyperlink ref="J142" r:id="rId138" display="http://licenciamento.cetesb.sp.gov.br/municipioss.asp?muni=COROADOS"/>
    <hyperlink ref="J143" r:id="rId139" display="http://licenciamento.cetesb.sp.gov.br/municipioss.asp?muni=CORONEL%20MACEDO"/>
    <hyperlink ref="J144" r:id="rId140" display="http://licenciamento.cetesb.sp.gov.br/municipioss.asp?muni=CORUMBATA%C3%8D"/>
    <hyperlink ref="J145" r:id="rId141" display="http://licenciamento.cetesb.sp.gov.br/municipioss.asp?muni=COSM%C3%93POLIS"/>
    <hyperlink ref="J146" r:id="rId142" display="http://licenciamento.cetesb.sp.gov.br/municipioss.asp?muni=COSMORAMA"/>
    <hyperlink ref="J147" r:id="rId143" display="http://licenciamento.cetesb.sp.gov.br/municipioss.asp?muni=COTIA"/>
    <hyperlink ref="J148" r:id="rId144" display="http://licenciamento.cetesb.sp.gov.br/municipioss.asp?muni=CRAVINHOS"/>
    <hyperlink ref="J149" r:id="rId145" display="http://licenciamento.cetesb.sp.gov.br/municipioss.asp?muni=CRISTAIS%20PAULISTA"/>
    <hyperlink ref="J150" r:id="rId146" display="http://licenciamento.cetesb.sp.gov.br/municipioss.asp?muni=CRUZ%C3%81LIA"/>
    <hyperlink ref="J151" r:id="rId147" display="http://licenciamento.cetesb.sp.gov.br/municipioss.asp?muni=CRUZEIRO"/>
    <hyperlink ref="J152" r:id="rId148" display="http://licenciamento.cetesb.sp.gov.br/municipioss.asp?muni=CUBAT%C3%83O"/>
    <hyperlink ref="J153" r:id="rId149" display="http://licenciamento.cetesb.sp.gov.br/municipioss.asp?muni=CUNHA"/>
    <hyperlink ref="J154" r:id="rId150" display="http://licenciamento.cetesb.sp.gov.br/municipioss.asp?muni=DESCALVADO"/>
    <hyperlink ref="J155" r:id="rId151" display="http://licenciamento.cetesb.sp.gov.br/municipioss.asp?muni=DIADEMA"/>
    <hyperlink ref="J156" r:id="rId152" display="http://licenciamento.cetesb.sp.gov.br/municipioss.asp?muni=DIRCE%20REIS"/>
    <hyperlink ref="J157" r:id="rId153" display="http://licenciamento.cetesb.sp.gov.br/municipioss.asp?muni=DIVINOL%C3%82NDIA"/>
    <hyperlink ref="J158" r:id="rId154" display="http://licenciamento.cetesb.sp.gov.br/municipioss.asp?muni=DOBRADA"/>
    <hyperlink ref="J159" r:id="rId155" display="http://licenciamento.cetesb.sp.gov.br/municipioss.asp?muni=DOIS%20C%C3%93RREGOS"/>
    <hyperlink ref="J160" r:id="rId156" display="http://licenciamento.cetesb.sp.gov.br/municipioss.asp?muni=DOLCIN%C3%93POLIS"/>
    <hyperlink ref="J161" r:id="rId157" display="http://licenciamento.cetesb.sp.gov.br/municipioss.asp?muni=DOURADO"/>
    <hyperlink ref="J162" r:id="rId158" display="http://licenciamento.cetesb.sp.gov.br/municipioss.asp?muni=DRACENA"/>
    <hyperlink ref="J163" r:id="rId159" display="http://licenciamento.cetesb.sp.gov.br/municipioss.asp?muni=DUARTINA"/>
    <hyperlink ref="J164" r:id="rId160" display="http://licenciamento.cetesb.sp.gov.br/municipioss.asp?muni=DUMONT"/>
    <hyperlink ref="J165" r:id="rId161" display="http://licenciamento.cetesb.sp.gov.br/municipioss.asp?muni=ECHAPOR%C3%83"/>
    <hyperlink ref="J166" r:id="rId162" display="http://licenciamento.cetesb.sp.gov.br/municipioss.asp?muni=ELDORADO"/>
    <hyperlink ref="J167" r:id="rId163" display="http://licenciamento.cetesb.sp.gov.br/municipioss.asp?muni=ELIAS%20FAUSTO"/>
    <hyperlink ref="J168" r:id="rId164" display="http://licenciamento.cetesb.sp.gov.br/municipioss.asp?muni=ELISI%C3%81RIO"/>
    <hyperlink ref="J169" r:id="rId165" display="http://licenciamento.cetesb.sp.gov.br/municipioss.asp?muni=EMBA%C3%9ABA"/>
    <hyperlink ref="J172" r:id="rId166" display="http://licenciamento.cetesb.sp.gov.br/municipioss.asp?muni=EMILIAN%C3%93POLIS"/>
    <hyperlink ref="J173" r:id="rId167" display="http://licenciamento.cetesb.sp.gov.br/municipioss.asp?muni=ENGENHEIRO%20COELHO"/>
    <hyperlink ref="J174" r:id="rId168" display="http://licenciamento.cetesb.sp.gov.br/municipioss.asp?muni=ESP%C3%8DRITO%20SANTO%20DO%20PINHAL"/>
    <hyperlink ref="J175" r:id="rId169" display="http://licenciamento.cetesb.sp.gov.br/municipioss.asp?muni=ESP%C3%8DRITO%20SANTO%20DO%20TURVO"/>
    <hyperlink ref="J176" r:id="rId170" display="http://licenciamento.cetesb.sp.gov.br/municipioss.asp?muni=ESTIVA%20GERBI"/>
    <hyperlink ref="J177" r:id="rId171" display="http://licenciamento.cetesb.sp.gov.br/municipioss.asp?muni=ESTRELA%20DO%20NORTE"/>
    <hyperlink ref="J179" r:id="rId172" display="http://licenciamento.cetesb.sp.gov.br/municipioss.asp?muni=EUCLIDES%20DA%20CUNHA%20PAULISTA"/>
    <hyperlink ref="J180" r:id="rId173" display="http://licenciamento.cetesb.sp.gov.br/municipioss.asp?muni=FARTURA"/>
    <hyperlink ref="J181" r:id="rId174" display="http://licenciamento.cetesb.sp.gov.br/municipioss.asp?muni=FERNANDO%20PRESTES"/>
    <hyperlink ref="J182" r:id="rId175" display="http://licenciamento.cetesb.sp.gov.br/municipioss.asp?muni=FERNAND%C3%93POLIS"/>
    <hyperlink ref="J183" r:id="rId176" display="http://licenciamento.cetesb.sp.gov.br/municipioss.asp?muni=FERN%C3%83O"/>
    <hyperlink ref="J184" r:id="rId177" display="http://licenciamento.cetesb.sp.gov.br/municipioss.asp?muni=FERRAZ%20DE%20VASCONCELOS"/>
    <hyperlink ref="J185" r:id="rId178" display="http://licenciamento.cetesb.sp.gov.br/municipioss.asp?muni=FLORA%20RICA"/>
    <hyperlink ref="J186" r:id="rId179" display="http://licenciamento.cetesb.sp.gov.br/municipioss.asp?muni=FLOREAL"/>
    <hyperlink ref="J187" r:id="rId180" display="http://licenciamento.cetesb.sp.gov.br/municipioss.asp?muni=FL%C3%93RIDA%20PAULISTA"/>
    <hyperlink ref="J189" r:id="rId181" display="http://licenciamento.cetesb.sp.gov.br/municipioss.asp?muni=FRANCA"/>
    <hyperlink ref="J190" r:id="rId182" display="http://licenciamento.cetesb.sp.gov.br/municipioss.asp?muni=FRANCISCO%20MORATO"/>
    <hyperlink ref="J191" r:id="rId183" display="http://licenciamento.cetesb.sp.gov.br/municipioss.asp?muni=FRANCO%20DA%20ROCHA"/>
    <hyperlink ref="J192" r:id="rId184" display="http://licenciamento.cetesb.sp.gov.br/municipioss.asp?muni=GABRIEL%20MONTEIRO"/>
    <hyperlink ref="J193" r:id="rId185" display="http://licenciamento.cetesb.sp.gov.br/municipioss.asp?muni=G%C3%81LIA"/>
    <hyperlink ref="J194" r:id="rId186" display="http://licenciamento.cetesb.sp.gov.br/municipioss.asp?muni=GAR%C3%87A"/>
    <hyperlink ref="J195" r:id="rId187" display="http://licenciamento.cetesb.sp.gov.br/municipioss.asp?muni=GAST%C3%83O%20VIDIGAL"/>
    <hyperlink ref="J196" r:id="rId188" display="http://licenciamento.cetesb.sp.gov.br/municipioss.asp?muni=GAVI%C3%83O%20PEIXOTO"/>
    <hyperlink ref="J197" r:id="rId189" display="http://licenciamento.cetesb.sp.gov.br/municipioss.asp?muni=GENERAL%20SALGADO"/>
    <hyperlink ref="J198" r:id="rId190" display="http://licenciamento.cetesb.sp.gov.br/municipioss.asp?muni=GETULINA"/>
    <hyperlink ref="J199" r:id="rId191" display="http://licenciamento.cetesb.sp.gov.br/municipioss.asp?muni=GLIC%C3%89RIO"/>
    <hyperlink ref="J200" r:id="rId192" display="http://licenciamento.cetesb.sp.gov.br/municipioss.asp?muni=GUAI%C3%87ARA"/>
    <hyperlink ref="J201" r:id="rId193" display="http://licenciamento.cetesb.sp.gov.br/municipioss.asp?muni=GUAIMB%C3%8A"/>
    <hyperlink ref="J202" r:id="rId194" display="http://licenciamento.cetesb.sp.gov.br/municipioss.asp?muni=GUA%C3%8DRA"/>
    <hyperlink ref="J203" r:id="rId195" display="http://licenciamento.cetesb.sp.gov.br/municipioss.asp?muni=GUAPIA%C3%87U"/>
    <hyperlink ref="J204" r:id="rId196" display="http://licenciamento.cetesb.sp.gov.br/municipioss.asp?muni=GUAPIARA"/>
    <hyperlink ref="J205" r:id="rId197" display="http://licenciamento.cetesb.sp.gov.br/municipioss.asp?muni=GUAR%C3%81"/>
    <hyperlink ref="J206" r:id="rId198" display="http://licenciamento.cetesb.sp.gov.br/municipioss.asp?muni=GUARA%C3%87A%C3%8D"/>
    <hyperlink ref="J207" r:id="rId199" display="http://licenciamento.cetesb.sp.gov.br/municipioss.asp?muni=GUARACI"/>
    <hyperlink ref="J209" r:id="rId200" display="http://licenciamento.cetesb.sp.gov.br/municipioss.asp?muni=GUARANT%C3%83"/>
    <hyperlink ref="J210" r:id="rId201" display="http://licenciamento.cetesb.sp.gov.br/municipioss.asp?muni=GUARARAPES"/>
    <hyperlink ref="J211" r:id="rId202" display="http://licenciamento.cetesb.sp.gov.br/municipioss.asp?muni=GUARAREMA"/>
    <hyperlink ref="J212" r:id="rId203" display="http://licenciamento.cetesb.sp.gov.br/municipioss.asp?muni=GUARATINGUET%C3%81"/>
    <hyperlink ref="J213" r:id="rId204" display="http://licenciamento.cetesb.sp.gov.br/municipioss.asp?muni=GUARE%C3%8D"/>
    <hyperlink ref="J214" r:id="rId205" display="http://licenciamento.cetesb.sp.gov.br/municipioss.asp?muni=GUARIBA"/>
    <hyperlink ref="J215" r:id="rId206" display="http://licenciamento.cetesb.sp.gov.br/municipioss.asp?muni=GUARUJ%C3%81"/>
    <hyperlink ref="J216" r:id="rId207" display="http://licenciamento.cetesb.sp.gov.br/municipioss.asp?muni=GUARULHOS"/>
    <hyperlink ref="J217" r:id="rId208" display="http://licenciamento.cetesb.sp.gov.br/municipioss.asp?muni=GUATAPAR%C3%81"/>
    <hyperlink ref="J218" r:id="rId209" display="http://licenciamento.cetesb.sp.gov.br/municipioss.asp?muni=GUZOL%C3%82NDIA"/>
    <hyperlink ref="J219" r:id="rId210" display="http://licenciamento.cetesb.sp.gov.br/municipioss.asp?muni=HERCUL%C3%82NDIA"/>
    <hyperlink ref="J220" r:id="rId211" display="http://licenciamento.cetesb.sp.gov.br/municipioss.asp?muni=HOLAMBRA"/>
    <hyperlink ref="J221" r:id="rId212" display="http://licenciamento.cetesb.sp.gov.br/municipioss.asp?muni=HORTOL%C3%82NDIA"/>
    <hyperlink ref="J222" r:id="rId213" display="http://licenciamento.cetesb.sp.gov.br/municipioss.asp?muni=IACANGA"/>
    <hyperlink ref="J223" r:id="rId214" display="http://licenciamento.cetesb.sp.gov.br/municipioss.asp?muni=IACRI"/>
    <hyperlink ref="J224" r:id="rId215" display="http://licenciamento.cetesb.sp.gov.br/municipioss.asp?muni=IARAS"/>
    <hyperlink ref="J225" r:id="rId216" display="http://licenciamento.cetesb.sp.gov.br/municipioss.asp?muni=IBAT%C3%89"/>
    <hyperlink ref="J226" r:id="rId217" display="http://licenciamento.cetesb.sp.gov.br/municipioss.asp?muni=IBIR%C3%81"/>
    <hyperlink ref="J227" r:id="rId218" display="http://licenciamento.cetesb.sp.gov.br/municipioss.asp?muni=IBIRAREMA"/>
    <hyperlink ref="J228" r:id="rId219" display="http://licenciamento.cetesb.sp.gov.br/municipioss.asp?muni=IBITINGA"/>
    <hyperlink ref="J229" r:id="rId220" display="http://licenciamento.cetesb.sp.gov.br/municipioss.asp?muni=IBI%C3%9ANA"/>
    <hyperlink ref="J230" r:id="rId221" display="http://licenciamento.cetesb.sp.gov.br/municipioss.asp?muni=IC%C3%89M"/>
    <hyperlink ref="J231" r:id="rId222" display="http://licenciamento.cetesb.sp.gov.br/municipioss.asp?muni=IEP%C3%8A"/>
    <hyperlink ref="J232" r:id="rId223" display="http://licenciamento.cetesb.sp.gov.br/municipioss.asp?muni=IGARA%C3%87U%20DO%20TIET%C3%8A"/>
    <hyperlink ref="J233" r:id="rId224" display="http://licenciamento.cetesb.sp.gov.br/municipioss.asp?muni=IGARAPAVA"/>
    <hyperlink ref="J234" r:id="rId225" display="http://licenciamento.cetesb.sp.gov.br/municipioss.asp?muni=IGARAT%C3%81"/>
    <hyperlink ref="J235" r:id="rId226" display="http://licenciamento.cetesb.sp.gov.br/municipioss.asp?muni=IGUAPE"/>
    <hyperlink ref="J236" r:id="rId227" display="http://licenciamento.cetesb.sp.gov.br/municipioss.asp?muni=ILHA%20COMPRIDA"/>
    <hyperlink ref="J237" r:id="rId228" display="http://licenciamento.cetesb.sp.gov.br/municipioss.asp?muni=ILHA%20SOLTEIRA"/>
    <hyperlink ref="J238" r:id="rId229" display="http://licenciamento.cetesb.sp.gov.br/municipioss.asp?muni=ILHABELA"/>
    <hyperlink ref="J239" r:id="rId230" display="http://licenciamento.cetesb.sp.gov.br/municipioss.asp?muni=INDAIATUBA"/>
    <hyperlink ref="J240" r:id="rId231" display="http://licenciamento.cetesb.sp.gov.br/municipioss.asp?muni=INDIANA"/>
    <hyperlink ref="J241" r:id="rId232" display="http://licenciamento.cetesb.sp.gov.br/municipioss.asp?muni=INDIAPOR%C3%83"/>
    <hyperlink ref="J242" r:id="rId233" display="http://licenciamento.cetesb.sp.gov.br/municipioss.asp?muni=IN%C3%9ABIA%20PAULISTA"/>
    <hyperlink ref="J243" r:id="rId234" display="http://licenciamento.cetesb.sp.gov.br/municipioss.asp?muni=IPAUSSU"/>
    <hyperlink ref="J244" r:id="rId235" display="http://licenciamento.cetesb.sp.gov.br/municipioss.asp?muni=IPER%C3%93"/>
    <hyperlink ref="J245" r:id="rId236" display="http://licenciamento.cetesb.sp.gov.br/municipioss.asp?muni=IPE%C3%9ANA"/>
    <hyperlink ref="J246" r:id="rId237" display="http://licenciamento.cetesb.sp.gov.br/municipioss.asp?muni=IPIGU%C3%81"/>
    <hyperlink ref="J247" r:id="rId238" display="http://licenciamento.cetesb.sp.gov.br/municipioss.asp?muni=IPORANGA"/>
    <hyperlink ref="J248" r:id="rId239" display="http://licenciamento.cetesb.sp.gov.br/municipioss.asp?muni=IPU%C3%83"/>
    <hyperlink ref="J249" r:id="rId240" display="http://licenciamento.cetesb.sp.gov.br/municipioss.asp?muni=IRACEM%C3%81POLIS"/>
    <hyperlink ref="J250" r:id="rId241" display="http://licenciamento.cetesb.sp.gov.br/municipioss.asp?muni=IRAPU%C3%83"/>
    <hyperlink ref="J251" r:id="rId242" display="http://licenciamento.cetesb.sp.gov.br/municipioss.asp?muni=IRAPURU"/>
    <hyperlink ref="J252" r:id="rId243" display="http://licenciamento.cetesb.sp.gov.br/municipioss.asp?muni=ITABER%C3%81"/>
    <hyperlink ref="J253" r:id="rId244" display="http://licenciamento.cetesb.sp.gov.br/municipioss.asp?muni=ITA%C3%8D"/>
    <hyperlink ref="J254" r:id="rId245" display="http://licenciamento.cetesb.sp.gov.br/municipioss.asp?muni=ITAJOBI"/>
    <hyperlink ref="J255" r:id="rId246" display="http://licenciamento.cetesb.sp.gov.br/municipioss.asp?muni=ITAJU"/>
    <hyperlink ref="J256" r:id="rId247" display="http://licenciamento.cetesb.sp.gov.br/municipioss.asp?muni=ITANHA%C3%89M"/>
    <hyperlink ref="J257" r:id="rId248" display="http://licenciamento.cetesb.sp.gov.br/municipioss.asp?muni=ITA%C3%93CA"/>
    <hyperlink ref="J258" r:id="rId249" display="http://licenciamento.cetesb.sp.gov.br/municipioss.asp?muni=ITAPECERICA%20DA%20SERRA"/>
    <hyperlink ref="J259" r:id="rId250" display="http://licenciamento.cetesb.sp.gov.br/municipioss.asp?muni=ITAPETININGA"/>
    <hyperlink ref="J260" r:id="rId251" display="http://licenciamento.cetesb.sp.gov.br/municipioss.asp?muni=ITAPEVA"/>
    <hyperlink ref="J261" r:id="rId252" display="http://licenciamento.cetesb.sp.gov.br/municipioss.asp?muni=ITAPEVI"/>
    <hyperlink ref="J262" r:id="rId253" display="http://licenciamento.cetesb.sp.gov.br/municipioss.asp?muni=ITAPIRA"/>
    <hyperlink ref="J263" r:id="rId254" display="http://licenciamento.cetesb.sp.gov.br/municipioss.asp?muni=ITAPIRAPU%C3%83%20PAULISTA"/>
    <hyperlink ref="J264" r:id="rId255" display="http://licenciamento.cetesb.sp.gov.br/municipioss.asp?muni=IT%C3%81POLIS"/>
    <hyperlink ref="J265" r:id="rId256" display="http://licenciamento.cetesb.sp.gov.br/municipioss.asp?muni=ITAPORANGA"/>
    <hyperlink ref="J266" r:id="rId257" display="http://licenciamento.cetesb.sp.gov.br/municipioss.asp?muni=ITAPU%C3%8D"/>
    <hyperlink ref="J267" r:id="rId258" display="http://licenciamento.cetesb.sp.gov.br/municipioss.asp?muni=ITAPURA"/>
    <hyperlink ref="J268" r:id="rId259" display="http://licenciamento.cetesb.sp.gov.br/municipioss.asp?muni=ITAQUAQUECETUBA"/>
    <hyperlink ref="J269" r:id="rId260" display="http://licenciamento.cetesb.sp.gov.br/municipioss.asp?muni=ITARAR%C3%89"/>
    <hyperlink ref="J270" r:id="rId261" display="http://licenciamento.cetesb.sp.gov.br/municipioss.asp?muni=ITARIRI"/>
    <hyperlink ref="J271" r:id="rId262" display="http://licenciamento.cetesb.sp.gov.br/municipioss.asp?muni=ITATIBA"/>
    <hyperlink ref="J272" r:id="rId263" display="http://licenciamento.cetesb.sp.gov.br/municipioss.asp?muni=ITATINGA"/>
    <hyperlink ref="J273" r:id="rId264" display="http://licenciamento.cetesb.sp.gov.br/municipioss.asp?muni=ITIRAPINA"/>
    <hyperlink ref="J274" r:id="rId265" display="http://licenciamento.cetesb.sp.gov.br/municipioss.asp?muni=ITIRAPU%C3%83"/>
    <hyperlink ref="J275" r:id="rId266" display="http://licenciamento.cetesb.sp.gov.br/municipioss.asp?muni=ITOBI"/>
    <hyperlink ref="J276" r:id="rId267" display="http://licenciamento.cetesb.sp.gov.br/municipioss.asp?muni=ITU"/>
    <hyperlink ref="J277" r:id="rId268" display="http://licenciamento.cetesb.sp.gov.br/municipioss.asp?muni=ITUPEVA"/>
    <hyperlink ref="J278" r:id="rId269" display="http://licenciamento.cetesb.sp.gov.br/municipioss.asp?muni=ITUVERAVA"/>
    <hyperlink ref="J279" r:id="rId270" display="http://licenciamento.cetesb.sp.gov.br/municipioss.asp?muni=JABORANDI"/>
    <hyperlink ref="J280" r:id="rId271" display="http://licenciamento.cetesb.sp.gov.br/municipioss.asp?muni=JABOTICABAL"/>
    <hyperlink ref="J281" r:id="rId272" display="http://licenciamento.cetesb.sp.gov.br/municipioss.asp?muni=JACARE%C3%8D"/>
    <hyperlink ref="J282" r:id="rId273" display="http://licenciamento.cetesb.sp.gov.br/municipioss.asp?muni=JACI"/>
    <hyperlink ref="J283" r:id="rId274" display="http://licenciamento.cetesb.sp.gov.br/municipioss.asp?muni=JACUPIRANGA"/>
    <hyperlink ref="J284" r:id="rId275" display="http://licenciamento.cetesb.sp.gov.br/municipioss.asp?muni=JAGUARI%C3%9ANA"/>
    <hyperlink ref="J285" r:id="rId276" display="http://licenciamento.cetesb.sp.gov.br/municipioss.asp?muni=JALES"/>
    <hyperlink ref="J286" r:id="rId277" display="http://licenciamento.cetesb.sp.gov.br/municipioss.asp?muni=JAMBEIRO"/>
    <hyperlink ref="J287" r:id="rId278" display="http://licenciamento.cetesb.sp.gov.br/municipioss.asp?muni=JANDIRA"/>
    <hyperlink ref="J288" r:id="rId279" display="http://licenciamento.cetesb.sp.gov.br/municipioss.asp?muni=JARDIN%C3%93POLIS"/>
    <hyperlink ref="J289" r:id="rId280" display="http://licenciamento.cetesb.sp.gov.br/municipioss.asp?muni=JARINU"/>
    <hyperlink ref="J290" r:id="rId281" display="http://licenciamento.cetesb.sp.gov.br/municipioss.asp?muni=JA%C3%9A"/>
    <hyperlink ref="J291" r:id="rId282" display="http://licenciamento.cetesb.sp.gov.br/municipioss.asp?muni=JERIQUARA"/>
    <hyperlink ref="J292" r:id="rId283" display="http://licenciamento.cetesb.sp.gov.br/municipioss.asp?muni=JOAN%C3%93POLIS"/>
    <hyperlink ref="J293" r:id="rId284" display="http://licenciamento.cetesb.sp.gov.br/municipioss.asp?muni=JO%C3%83O%20RAMALHO"/>
    <hyperlink ref="J294" r:id="rId285" display="http://licenciamento.cetesb.sp.gov.br/municipioss.asp?muni=JOS%C3%89%20BONIF%C3%81CIO"/>
    <hyperlink ref="J295" r:id="rId286" display="http://licenciamento.cetesb.sp.gov.br/municipioss.asp?muni=J%C3%9ALIO%20MESQUITA"/>
    <hyperlink ref="J296" r:id="rId287" display="http://licenciamento.cetesb.sp.gov.br/municipioss.asp?muni=JUMIRIM"/>
    <hyperlink ref="J297" r:id="rId288" display="http://licenciamento.cetesb.sp.gov.br/municipioss.asp?muni=JUNDIA%C3%8D"/>
    <hyperlink ref="J298" r:id="rId289" display="http://licenciamento.cetesb.sp.gov.br/municipioss.asp?muni=JUNQUEIR%C3%93POLIS"/>
    <hyperlink ref="J299" r:id="rId290" display="http://licenciamento.cetesb.sp.gov.br/municipioss.asp?muni=JUQUI%C3%81"/>
    <hyperlink ref="J300" r:id="rId291" display="http://licenciamento.cetesb.sp.gov.br/municipioss.asp?muni=JUQUITIBA"/>
    <hyperlink ref="J301" r:id="rId292" display="http://licenciamento.cetesb.sp.gov.br/municipioss.asp?muni=LAGOINHA"/>
    <hyperlink ref="J302" r:id="rId293" display="http://licenciamento.cetesb.sp.gov.br/municipioss.asp?muni=LARANJAL%20PAULISTA"/>
    <hyperlink ref="J303" r:id="rId294" display="http://licenciamento.cetesb.sp.gov.br/municipioss.asp?muni=LAV%C3%8DNIA"/>
    <hyperlink ref="J304" r:id="rId295" display="http://licenciamento.cetesb.sp.gov.br/municipioss.asp?muni=LAVRINHAS"/>
    <hyperlink ref="J305" r:id="rId296" display="http://licenciamento.cetesb.sp.gov.br/municipioss.asp?muni=LEME"/>
    <hyperlink ref="J306" r:id="rId297" display="http://licenciamento.cetesb.sp.gov.br/municipioss.asp?muni=LEN%C3%87%C3%93IS%20PAULISTA"/>
    <hyperlink ref="J307" r:id="rId298" display="http://licenciamento.cetesb.sp.gov.br/municipioss.asp?muni=LIMEIRA"/>
    <hyperlink ref="J308" r:id="rId299" display="http://licenciamento.cetesb.sp.gov.br/municipioss.asp?muni=LIND%C3%93IA"/>
    <hyperlink ref="J309" r:id="rId300" display="http://licenciamento.cetesb.sp.gov.br/municipioss.asp?muni=LINS"/>
    <hyperlink ref="J310" r:id="rId301" display="http://licenciamento.cetesb.sp.gov.br/municipioss.asp?muni=LORENA"/>
    <hyperlink ref="J311" r:id="rId302" display="http://licenciamento.cetesb.sp.gov.br/municipioss.asp?muni=LOURDES"/>
    <hyperlink ref="J312" r:id="rId303" display="http://licenciamento.cetesb.sp.gov.br/municipioss.asp?muni=LOUVEIRA"/>
    <hyperlink ref="J313" r:id="rId304" display="http://licenciamento.cetesb.sp.gov.br/municipioss.asp?muni=LUC%C3%89LIA"/>
    <hyperlink ref="J314" r:id="rId305" display="http://licenciamento.cetesb.sp.gov.br/municipioss.asp?muni=LUCIAN%C3%93POLIS"/>
    <hyperlink ref="J315" r:id="rId306" display="http://licenciamento.cetesb.sp.gov.br/municipioss.asp?muni=LU%C3%8DS%20ANT%C3%94NIO"/>
    <hyperlink ref="J316" r:id="rId307" display="http://licenciamento.cetesb.sp.gov.br/municipioss.asp?muni=LUIZI%C3%82NIA"/>
    <hyperlink ref="J317" r:id="rId308" display="http://licenciamento.cetesb.sp.gov.br/municipioss.asp?muni=LUP%C3%89RCIO"/>
    <hyperlink ref="J318" r:id="rId309" display="http://licenciamento.cetesb.sp.gov.br/municipioss.asp?muni=LUT%C3%89CIA"/>
    <hyperlink ref="J319" r:id="rId310" display="http://licenciamento.cetesb.sp.gov.br/municipioss.asp?muni=MACATUBA"/>
    <hyperlink ref="J320" r:id="rId311" display="http://licenciamento.cetesb.sp.gov.br/municipioss.asp?muni=MACAUBAL"/>
    <hyperlink ref="J321" r:id="rId312" display="http://licenciamento.cetesb.sp.gov.br/municipioss.asp?muni=MACED%C3%94NIA"/>
    <hyperlink ref="J322" r:id="rId313" display="http://licenciamento.cetesb.sp.gov.br/municipioss.asp?muni=MAGDA"/>
    <hyperlink ref="J323" r:id="rId314" display="http://licenciamento.cetesb.sp.gov.br/municipioss.asp?muni=MAIRINQUE"/>
    <hyperlink ref="J324" r:id="rId315" display="http://licenciamento.cetesb.sp.gov.br/municipioss.asp?muni=MAIRIPOR%C3%83"/>
    <hyperlink ref="J325" r:id="rId316" display="http://licenciamento.cetesb.sp.gov.br/municipioss.asp?muni=MANDURI"/>
    <hyperlink ref="J326" r:id="rId317" display="http://licenciamento.cetesb.sp.gov.br/municipioss.asp?muni=MARAB%C3%81%20PAULISTA"/>
    <hyperlink ref="J327" r:id="rId318" display="http://licenciamento.cetesb.sp.gov.br/municipioss.asp?muni=MARACA%C3%8D"/>
    <hyperlink ref="J328" r:id="rId319" display="http://licenciamento.cetesb.sp.gov.br/municipioss.asp?muni=MARAPOAMA"/>
    <hyperlink ref="J329" r:id="rId320" display="http://licenciamento.cetesb.sp.gov.br/municipioss.asp?muni=MARI%C3%81POLIS"/>
    <hyperlink ref="J330" r:id="rId321" display="http://licenciamento.cetesb.sp.gov.br/municipioss.asp?muni=MAR%C3%8DLIA"/>
    <hyperlink ref="J331" r:id="rId322" display="http://licenciamento.cetesb.sp.gov.br/municipioss.asp?muni=MARIN%C3%93POLIS"/>
    <hyperlink ref="J332" r:id="rId323" display="http://licenciamento.cetesb.sp.gov.br/municipioss.asp?muni=MARTIN%C3%93POLIS"/>
    <hyperlink ref="J333" r:id="rId324" display="http://licenciamento.cetesb.sp.gov.br/municipioss.asp?muni=MAT%C3%83O"/>
    <hyperlink ref="J334" r:id="rId325" display="http://licenciamento.cetesb.sp.gov.br/municipioss.asp?muni=MAU%C3%81"/>
    <hyperlink ref="J335" r:id="rId326" display="http://licenciamento.cetesb.sp.gov.br/municipioss.asp?muni=MENDON%C3%87A"/>
    <hyperlink ref="J336" r:id="rId327" display="http://licenciamento.cetesb.sp.gov.br/municipioss.asp?muni=MERIDIANO"/>
    <hyperlink ref="J337" r:id="rId328" display="http://licenciamento.cetesb.sp.gov.br/municipioss.asp?muni=MES%C3%93POLIS"/>
    <hyperlink ref="J338" r:id="rId329" display="http://licenciamento.cetesb.sp.gov.br/municipioss.asp?muni=MIGUEL%C3%93POLIS"/>
    <hyperlink ref="J339" r:id="rId330" display="http://licenciamento.cetesb.sp.gov.br/municipioss.asp?muni=MINEIROS%20DO%20TIET%C3%8A"/>
    <hyperlink ref="J340" r:id="rId331" display="http://licenciamento.cetesb.sp.gov.br/municipioss.asp?muni=MIRA%20ESTRELA"/>
    <hyperlink ref="J341" r:id="rId332" display="http://licenciamento.cetesb.sp.gov.br/municipioss.asp?muni=MIRACATU"/>
    <hyperlink ref="J342" r:id="rId333" display="http://licenciamento.cetesb.sp.gov.br/municipioss.asp?muni=MIRAND%C3%93POLIS"/>
    <hyperlink ref="J343" r:id="rId334" display="http://licenciamento.cetesb.sp.gov.br/municipioss.asp?muni=MIRANTE%20DO%20PARANAPANEMA"/>
    <hyperlink ref="J344" r:id="rId335" display="http://licenciamento.cetesb.sp.gov.br/municipioss.asp?muni=MIRASSOL"/>
    <hyperlink ref="J345" r:id="rId336" display="http://licenciamento.cetesb.sp.gov.br/municipioss.asp?muni=MIRASSOL%C3%82NDIA"/>
    <hyperlink ref="J346" r:id="rId337" display="http://licenciamento.cetesb.sp.gov.br/municipioss.asp?muni=MOCOCA"/>
    <hyperlink ref="J347" r:id="rId338" display="http://licenciamento.cetesb.sp.gov.br/municipioss.asp?muni=MOGI%20GUA%C3%87U"/>
    <hyperlink ref="J350" r:id="rId339" display="http://licenciamento.cetesb.sp.gov.br/municipioss.asp?muni=MOMBUCA"/>
    <hyperlink ref="J351" r:id="rId340" display="http://licenciamento.cetesb.sp.gov.br/municipioss.asp?muni=MON%C3%87%C3%95ES"/>
    <hyperlink ref="J352" r:id="rId341" display="http://licenciamento.cetesb.sp.gov.br/municipioss.asp?muni=MONGAGU%C3%81"/>
    <hyperlink ref="J353" r:id="rId342" display="http://licenciamento.cetesb.sp.gov.br/municipioss.asp?muni=MONTE%20ALEGRE%20DO%20SUL"/>
    <hyperlink ref="J354" r:id="rId343" display="http://licenciamento.cetesb.sp.gov.br/municipioss.asp?muni=MONTE%20ALTO"/>
    <hyperlink ref="J355" r:id="rId344" display="http://licenciamento.cetesb.sp.gov.br/municipioss.asp?muni=MONTE%20APRAZ%C3%8DVEL"/>
    <hyperlink ref="J356" r:id="rId345" display="http://licenciamento.cetesb.sp.gov.br/municipioss.asp?muni=MONTE%20AZUL%20PAULISTA"/>
    <hyperlink ref="J357" r:id="rId346" display="http://licenciamento.cetesb.sp.gov.br/municipioss.asp?muni=MONTE%20CASTELO"/>
    <hyperlink ref="J358" r:id="rId347" display="http://licenciamento.cetesb.sp.gov.br/municipioss.asp?muni=MONTE%20MOR"/>
    <hyperlink ref="J359" r:id="rId348" display="http://licenciamento.cetesb.sp.gov.br/municipioss.asp?muni=MONTEIRO%20LOBATO"/>
    <hyperlink ref="J360" r:id="rId349" display="http://licenciamento.cetesb.sp.gov.br/municipioss.asp?muni=MORRO%20AGUDO"/>
    <hyperlink ref="J361" r:id="rId350" display="http://licenciamento.cetesb.sp.gov.br/municipioss.asp?muni=MORUNGABA"/>
    <hyperlink ref="J362" r:id="rId351" display="http://licenciamento.cetesb.sp.gov.br/municipioss.asp?muni=MOTUCA"/>
    <hyperlink ref="J363" r:id="rId352" display="http://licenciamento.cetesb.sp.gov.br/municipioss.asp?muni=MURUTINGA%20DO%20SUL"/>
    <hyperlink ref="J364" r:id="rId353" display="http://licenciamento.cetesb.sp.gov.br/municipioss.asp?muni=NANTES"/>
    <hyperlink ref="J365" r:id="rId354" display="http://licenciamento.cetesb.sp.gov.br/municipioss.asp?muni=NARANDIBA"/>
    <hyperlink ref="J366" r:id="rId355" display="http://licenciamento.cetesb.sp.gov.br/municipioss.asp?muni=NATIVIDADE%20DA%20SERRA"/>
    <hyperlink ref="J367" r:id="rId356" display="http://licenciamento.cetesb.sp.gov.br/municipioss.asp?muni=NAZAR%C3%89%20PAULISTA"/>
    <hyperlink ref="J368" r:id="rId357" display="http://licenciamento.cetesb.sp.gov.br/municipioss.asp?muni=NEVES%20PAULISTA"/>
    <hyperlink ref="J369" r:id="rId358" display="http://licenciamento.cetesb.sp.gov.br/municipioss.asp?muni=NHANDEARA"/>
    <hyperlink ref="J370" r:id="rId359" display="http://licenciamento.cetesb.sp.gov.br/municipioss.asp?muni=NIPO%C3%83"/>
    <hyperlink ref="J371" r:id="rId360" display="http://licenciamento.cetesb.sp.gov.br/municipioss.asp?muni=NOVA%20ALIAN%C3%87A"/>
    <hyperlink ref="J372" r:id="rId361" display="http://licenciamento.cetesb.sp.gov.br/municipioss.asp?muni=NOVA%20CAMPINA"/>
    <hyperlink ref="J373" r:id="rId362" display="http://licenciamento.cetesb.sp.gov.br/municipioss.asp?muni=NOVA%20CANA%C3%83%20PAULISTA"/>
    <hyperlink ref="J374" r:id="rId363" display="http://licenciamento.cetesb.sp.gov.br/municipioss.asp?muni=NOVA%20CASTILHO"/>
    <hyperlink ref="J375" r:id="rId364" display="http://licenciamento.cetesb.sp.gov.br/municipioss.asp?muni=NOVA%20EUROPA"/>
    <hyperlink ref="J376" r:id="rId365" display="http://licenciamento.cetesb.sp.gov.br/municipioss.asp?muni=NOVA%20GRANADA"/>
    <hyperlink ref="J377" r:id="rId366" display="http://licenciamento.cetesb.sp.gov.br/municipioss.asp?muni=NOVA%20GUATAPORANGA"/>
    <hyperlink ref="J378" r:id="rId367" display="http://licenciamento.cetesb.sp.gov.br/municipioss.asp?muni=NOVA%20INDEPEND%C3%8ANCIA"/>
    <hyperlink ref="J379" r:id="rId368" display="http://licenciamento.cetesb.sp.gov.br/municipioss.asp?muni=NOVA%20LUZIT%C3%82NIA"/>
    <hyperlink ref="J380" r:id="rId369" display="http://licenciamento.cetesb.sp.gov.br/municipioss.asp?muni=NOVA%20ODESSA"/>
    <hyperlink ref="J381" r:id="rId370" display="http://licenciamento.cetesb.sp.gov.br/municipioss.asp?muni=NOVAIS"/>
    <hyperlink ref="J382" r:id="rId371" display="http://licenciamento.cetesb.sp.gov.br/municipioss.asp?muni=NOVO%20HORIZONTE"/>
    <hyperlink ref="J383" r:id="rId372" display="http://licenciamento.cetesb.sp.gov.br/municipioss.asp?muni=NUPORANGA"/>
    <hyperlink ref="J384" r:id="rId373" display="http://licenciamento.cetesb.sp.gov.br/municipioss.asp?muni=OCAU%C3%87U"/>
    <hyperlink ref="J385" r:id="rId374" display="http://licenciamento.cetesb.sp.gov.br/municipioss.asp?muni=%C3%93LEO"/>
    <hyperlink ref="J386" r:id="rId375" display="http://licenciamento.cetesb.sp.gov.br/municipioss.asp?muni=OL%C3%8DMPIA"/>
    <hyperlink ref="J387" r:id="rId376" display="http://licenciamento.cetesb.sp.gov.br/municipioss.asp?muni=ONDA%20VERDE"/>
    <hyperlink ref="J388" r:id="rId377" display="http://licenciamento.cetesb.sp.gov.br/municipioss.asp?muni=ORIENTE"/>
    <hyperlink ref="J389" r:id="rId378" display="http://licenciamento.cetesb.sp.gov.br/municipioss.asp?muni=ORINDI%C3%9AVA"/>
    <hyperlink ref="J390" r:id="rId379" display="http://licenciamento.cetesb.sp.gov.br/municipioss.asp?muni=ORL%C3%82NDIA"/>
    <hyperlink ref="J391" r:id="rId380" display="http://licenciamento.cetesb.sp.gov.br/municipioss.asp?muni=OSASCO"/>
    <hyperlink ref="J392" r:id="rId381" display="http://licenciamento.cetesb.sp.gov.br/municipioss.asp?muni=OSCAR%20BRESSANE"/>
    <hyperlink ref="J393" r:id="rId382" display="http://licenciamento.cetesb.sp.gov.br/municipioss.asp?muni=OSVALDO%20CRUZ"/>
    <hyperlink ref="J394" r:id="rId383" display="http://licenciamento.cetesb.sp.gov.br/municipioss.asp?muni=OURINHOS"/>
    <hyperlink ref="J395" r:id="rId384" display="http://licenciamento.cetesb.sp.gov.br/municipioss.asp?muni=OURO%20VERDE"/>
    <hyperlink ref="J396" r:id="rId385" display="http://licenciamento.cetesb.sp.gov.br/municipioss.asp?muni=OUROESTE"/>
    <hyperlink ref="J397" r:id="rId386" display="http://licenciamento.cetesb.sp.gov.br/municipioss.asp?muni=PACAEMBU"/>
    <hyperlink ref="J398" r:id="rId387" display="http://licenciamento.cetesb.sp.gov.br/municipioss.asp?muni=PALESTINA"/>
    <hyperlink ref="J399" r:id="rId388" display="http://licenciamento.cetesb.sp.gov.br/municipioss.asp?muni=PALMARES%20PAULISTA"/>
    <hyperlink ref="J401" r:id="rId389" display="http://licenciamento.cetesb.sp.gov.br/municipioss.asp?muni=PALMITAL"/>
    <hyperlink ref="J402" r:id="rId390" display="http://licenciamento.cetesb.sp.gov.br/municipioss.asp?muni=PANORAMA"/>
    <hyperlink ref="J403" r:id="rId391" display="http://licenciamento.cetesb.sp.gov.br/municipioss.asp?muni=PARAGUA%C3%87U%20PAULISTA"/>
    <hyperlink ref="J404" r:id="rId392" display="http://licenciamento.cetesb.sp.gov.br/municipioss.asp?muni=PARAIBUNA"/>
    <hyperlink ref="J405" r:id="rId393" display="http://licenciamento.cetesb.sp.gov.br/municipioss.asp?muni=PARA%C3%8DSO"/>
    <hyperlink ref="J406" r:id="rId394" display="http://licenciamento.cetesb.sp.gov.br/municipioss.asp?muni=PARANAPANEMA"/>
    <hyperlink ref="J407" r:id="rId395" display="http://licenciamento.cetesb.sp.gov.br/municipioss.asp?muni=PARANAPU%C3%83"/>
    <hyperlink ref="J408" r:id="rId396" display="http://licenciamento.cetesb.sp.gov.br/municipioss.asp?muni=PARAPU%C3%83"/>
    <hyperlink ref="J409" r:id="rId397" display="http://licenciamento.cetesb.sp.gov.br/municipioss.asp?muni=PARDINHO"/>
    <hyperlink ref="J411" r:id="rId398" display="http://licenciamento.cetesb.sp.gov.br/municipioss.asp?muni=PARISI"/>
    <hyperlink ref="J412" r:id="rId399" display="http://licenciamento.cetesb.sp.gov.br/municipioss.asp?muni=PATROC%C3%8DNIO%20PAULISTA"/>
    <hyperlink ref="J413" r:id="rId400" display="http://licenciamento.cetesb.sp.gov.br/municipioss.asp?muni=PAULIC%C3%89IA"/>
    <hyperlink ref="J414" r:id="rId401" display="http://licenciamento.cetesb.sp.gov.br/municipioss.asp?muni=PAUL%C3%8DNIA"/>
    <hyperlink ref="J415" r:id="rId402" display="http://licenciamento.cetesb.sp.gov.br/municipioss.asp?muni=PAULIST%C3%82NIA"/>
    <hyperlink ref="J416" r:id="rId403" display="http://licenciamento.cetesb.sp.gov.br/municipioss.asp?muni=PAULO%20DE%20FARIA"/>
    <hyperlink ref="J417" r:id="rId404" display="http://licenciamento.cetesb.sp.gov.br/municipioss.asp?muni=PEDERNEIRAS"/>
    <hyperlink ref="J418" r:id="rId405" display="http://licenciamento.cetesb.sp.gov.br/municipioss.asp?muni=PEDRA%20BELA"/>
    <hyperlink ref="J419" r:id="rId406" display="http://licenciamento.cetesb.sp.gov.br/municipioss.asp?muni=PEDRAN%C3%93POLIS"/>
    <hyperlink ref="J420" r:id="rId407" display="http://licenciamento.cetesb.sp.gov.br/municipioss.asp?muni=PEDREGULHO"/>
    <hyperlink ref="J421" r:id="rId408" display="http://licenciamento.cetesb.sp.gov.br/municipioss.asp?muni=PEDREIRA"/>
    <hyperlink ref="J422" r:id="rId409" display="http://licenciamento.cetesb.sp.gov.br/municipioss.asp?muni=PEDRINHAS%20PAULISTA"/>
    <hyperlink ref="J423" r:id="rId410" display="http://licenciamento.cetesb.sp.gov.br/municipioss.asp?muni=PEDRO%20DE%20TOLEDO"/>
    <hyperlink ref="J424" r:id="rId411" display="http://licenciamento.cetesb.sp.gov.br/municipioss.asp?muni=PEN%C3%81POLIS"/>
    <hyperlink ref="J425" r:id="rId412" display="http://licenciamento.cetesb.sp.gov.br/municipioss.asp?muni=PEREIRA%20BARRETO"/>
    <hyperlink ref="J426" r:id="rId413" display="http://licenciamento.cetesb.sp.gov.br/municipioss.asp?muni=PEREIRAS"/>
    <hyperlink ref="J427" r:id="rId414" display="http://licenciamento.cetesb.sp.gov.br/municipioss.asp?muni=PERU%C3%8DBE"/>
    <hyperlink ref="J428" r:id="rId415" display="http://licenciamento.cetesb.sp.gov.br/municipioss.asp?muni=PIACATU"/>
    <hyperlink ref="J429" r:id="rId416" display="http://licenciamento.cetesb.sp.gov.br/municipioss.asp?muni=PIEDADE"/>
    <hyperlink ref="J430" r:id="rId417" display="http://licenciamento.cetesb.sp.gov.br/municipioss.asp?muni=PILAR%20DO%20SUL"/>
    <hyperlink ref="J431" r:id="rId418" display="http://licenciamento.cetesb.sp.gov.br/municipioss.asp?muni=PINDAMONHANGABA"/>
    <hyperlink ref="J432" r:id="rId419" display="http://licenciamento.cetesb.sp.gov.br/municipioss.asp?muni=PINDORAMA"/>
    <hyperlink ref="J433" r:id="rId420" display="http://licenciamento.cetesb.sp.gov.br/municipioss.asp?muni=PINHALZINHO"/>
    <hyperlink ref="J434" r:id="rId421" display="http://licenciamento.cetesb.sp.gov.br/municipioss.asp?muni=PIQUEROBI"/>
    <hyperlink ref="J435" r:id="rId422" display="http://licenciamento.cetesb.sp.gov.br/municipioss.asp?muni=PIQUETE"/>
    <hyperlink ref="J436" r:id="rId423" display="http://licenciamento.cetesb.sp.gov.br/municipioss.asp?muni=PIRACAIA"/>
    <hyperlink ref="J437" r:id="rId424" display="http://licenciamento.cetesb.sp.gov.br/municipioss.asp?muni=PIRACICABA"/>
    <hyperlink ref="J438" r:id="rId425" display="http://licenciamento.cetesb.sp.gov.br/municipioss.asp?muni=PIRAJU"/>
    <hyperlink ref="J439" r:id="rId426" display="http://licenciamento.cetesb.sp.gov.br/municipioss.asp?muni=PIRAJU%C3%8D"/>
    <hyperlink ref="J440" r:id="rId427" display="http://licenciamento.cetesb.sp.gov.br/municipioss.asp?muni=PIRANGI"/>
    <hyperlink ref="J441" r:id="rId428" display="http://licenciamento.cetesb.sp.gov.br/municipioss.asp?muni=PIRAPORA%20DO%20BOM%20JESUS"/>
    <hyperlink ref="J442" r:id="rId429" display="http://licenciamento.cetesb.sp.gov.br/municipioss.asp?muni=PIRAPOZINHO"/>
    <hyperlink ref="J443" r:id="rId430" display="http://licenciamento.cetesb.sp.gov.br/municipioss.asp?muni=PIRASSUNUNGA"/>
    <hyperlink ref="J444" r:id="rId431" display="http://licenciamento.cetesb.sp.gov.br/municipioss.asp?muni=PIRATININGA"/>
    <hyperlink ref="J445" r:id="rId432" display="http://licenciamento.cetesb.sp.gov.br/municipioss.asp?muni=PITANGUEIRAS"/>
    <hyperlink ref="J446" r:id="rId433" display="http://licenciamento.cetesb.sp.gov.br/municipioss.asp?muni=PLANALTO"/>
    <hyperlink ref="J447" r:id="rId434" display="http://licenciamento.cetesb.sp.gov.br/municipioss.asp?muni=PLATINA"/>
    <hyperlink ref="J448" r:id="rId435" display="http://licenciamento.cetesb.sp.gov.br/municipioss.asp?muni=PO%C3%81"/>
    <hyperlink ref="J449" r:id="rId436" display="http://licenciamento.cetesb.sp.gov.br/municipioss.asp?muni=POLONI"/>
    <hyperlink ref="J450" r:id="rId437" display="http://licenciamento.cetesb.sp.gov.br/municipioss.asp?muni=POMP%C3%89IA"/>
    <hyperlink ref="J451" r:id="rId438" display="http://licenciamento.cetesb.sp.gov.br/municipioss.asp?muni=PONGA%C3%8D"/>
    <hyperlink ref="J452" r:id="rId439" display="http://licenciamento.cetesb.sp.gov.br/municipioss.asp?muni=PONTAL"/>
    <hyperlink ref="J453" r:id="rId440" display="http://licenciamento.cetesb.sp.gov.br/municipioss.asp?muni=PONTALINDA"/>
    <hyperlink ref="J454" r:id="rId441" display="http://licenciamento.cetesb.sp.gov.br/municipioss.asp?muni=PONTES%20GESTAL"/>
    <hyperlink ref="J455" r:id="rId442" display="http://licenciamento.cetesb.sp.gov.br/municipioss.asp?muni=POPULINA"/>
    <hyperlink ref="J456" r:id="rId443" display="http://licenciamento.cetesb.sp.gov.br/municipioss.asp?muni=PORANGABA"/>
    <hyperlink ref="J457" r:id="rId444" display="http://licenciamento.cetesb.sp.gov.br/municipioss.asp?muni=PORTO%20FELIZ"/>
    <hyperlink ref="J458" r:id="rId445" display="http://licenciamento.cetesb.sp.gov.br/municipioss.asp?muni=PORTO%20FERREIRA"/>
    <hyperlink ref="J459" r:id="rId446" display="http://licenciamento.cetesb.sp.gov.br/municipioss.asp?muni=POTIM"/>
    <hyperlink ref="J460" r:id="rId447" display="http://licenciamento.cetesb.sp.gov.br/municipioss.asp?muni=POTIRENDABA"/>
    <hyperlink ref="J461" r:id="rId448" display="http://licenciamento.cetesb.sp.gov.br/municipioss.asp?muni=PRACINHA"/>
    <hyperlink ref="J462" r:id="rId449" display="http://licenciamento.cetesb.sp.gov.br/municipioss.asp?muni=PRAD%C3%93POLIS"/>
    <hyperlink ref="J463" r:id="rId450" display="http://licenciamento.cetesb.sp.gov.br/municipioss.asp?muni=PRAIA%20GRANDE"/>
    <hyperlink ref="J464" r:id="rId451" display="http://licenciamento.cetesb.sp.gov.br/municipioss.asp?muni=PRAT%C3%82NIA"/>
    <hyperlink ref="J465" r:id="rId452" display="http://licenciamento.cetesb.sp.gov.br/municipioss.asp?muni=PRESIDENTE%20ALVES"/>
    <hyperlink ref="J466" r:id="rId453" display="http://licenciamento.cetesb.sp.gov.br/municipioss.asp?muni=PRESIDENTE%20BERNARDES"/>
    <hyperlink ref="J467" r:id="rId454" display="http://licenciamento.cetesb.sp.gov.br/municipioss.asp?muni=PRESIDENTE%20EPIT%C3%81CIO"/>
    <hyperlink ref="J468" r:id="rId455" display="http://licenciamento.cetesb.sp.gov.br/municipioss.asp?muni=PRESIDENTE%20PRUDENTE"/>
    <hyperlink ref="J469" r:id="rId456" display="http://licenciamento.cetesb.sp.gov.br/municipioss.asp?muni=PRESIDENTE%20VENCESLAU"/>
    <hyperlink ref="J471" r:id="rId457" display="http://licenciamento.cetesb.sp.gov.br/municipioss.asp?muni=QUADRA"/>
    <hyperlink ref="J472" r:id="rId458" display="http://licenciamento.cetesb.sp.gov.br/municipioss.asp?muni=QUAT%C3%81"/>
    <hyperlink ref="J473" r:id="rId459" display="http://licenciamento.cetesb.sp.gov.br/municipioss.asp?muni=QUEIROZ"/>
    <hyperlink ref="J474" r:id="rId460" display="http://licenciamento.cetesb.sp.gov.br/municipioss.asp?muni=QUELUZ"/>
    <hyperlink ref="J475" r:id="rId461" display="http://licenciamento.cetesb.sp.gov.br/municipioss.asp?muni=QUINTANA"/>
    <hyperlink ref="J476" r:id="rId462" display="http://licenciamento.cetesb.sp.gov.br/municipioss.asp?muni=RAFARD"/>
    <hyperlink ref="J477" r:id="rId463" display="http://licenciamento.cetesb.sp.gov.br/municipioss.asp?muni=RANCHARIA"/>
    <hyperlink ref="J478" r:id="rId464" display="http://licenciamento.cetesb.sp.gov.br/municipioss.asp?muni=REDEN%C3%87%C3%83O%20DA%20SERRA"/>
    <hyperlink ref="J479" r:id="rId465" display="http://licenciamento.cetesb.sp.gov.br/municipioss.asp?muni=REGENTE%20FEIJ%C3%93"/>
    <hyperlink ref="J480" r:id="rId466" display="http://licenciamento.cetesb.sp.gov.br/municipioss.asp?muni=REGIN%C3%93POLIS"/>
    <hyperlink ref="J481" r:id="rId467" display="http://licenciamento.cetesb.sp.gov.br/municipioss.asp?muni=REGISTRO"/>
    <hyperlink ref="J482" r:id="rId468" display="http://licenciamento.cetesb.sp.gov.br/municipioss.asp?muni=RESTINGA"/>
    <hyperlink ref="J483" r:id="rId469" display="http://licenciamento.cetesb.sp.gov.br/municipioss.asp?muni=RIBEIRA"/>
    <hyperlink ref="J484" r:id="rId470" display="http://licenciamento.cetesb.sp.gov.br/municipioss.asp?muni=RIBEIR%C3%83O%20BONITO"/>
    <hyperlink ref="J485" r:id="rId471" display="http://licenciamento.cetesb.sp.gov.br/municipioss.asp?muni=RIBEIR%C3%83O%20BRANCO"/>
    <hyperlink ref="J486" r:id="rId472" display="http://licenciamento.cetesb.sp.gov.br/municipioss.asp?muni=RIBEIR%C3%83O%20CORRENTE"/>
    <hyperlink ref="J487" r:id="rId473" display="http://licenciamento.cetesb.sp.gov.br/municipioss.asp?muni=RIBEIR%C3%83O%20DO%20SUL"/>
    <hyperlink ref="J488" r:id="rId474" display="http://licenciamento.cetesb.sp.gov.br/municipioss.asp?muni=RIBEIR%C3%83O%20DOS%20%C3%8DNDIOS"/>
    <hyperlink ref="J489" r:id="rId475" display="http://licenciamento.cetesb.sp.gov.br/municipioss.asp?muni=RIBEIR%C3%83O%20GRANDE"/>
    <hyperlink ref="J490" r:id="rId476" display="http://licenciamento.cetesb.sp.gov.br/municipioss.asp?muni=RIBEIR%C3%83O%20PIRES"/>
    <hyperlink ref="J491" r:id="rId477" display="http://licenciamento.cetesb.sp.gov.br/municipioss.asp?muni=RIBEIR%C3%83O%20PRETO"/>
    <hyperlink ref="J492" r:id="rId478" display="http://licenciamento.cetesb.sp.gov.br/municipioss.asp?muni=RIFAINA"/>
    <hyperlink ref="J493" r:id="rId479" display="http://licenciamento.cetesb.sp.gov.br/municipioss.asp?muni=RINC%C3%83O"/>
    <hyperlink ref="J494" r:id="rId480" display="http://licenciamento.cetesb.sp.gov.br/municipioss.asp?muni=RIN%C3%93POLIS"/>
    <hyperlink ref="J495" r:id="rId481" display="http://licenciamento.cetesb.sp.gov.br/municipioss.asp?muni=RIO%20CLARO"/>
    <hyperlink ref="J496" r:id="rId482" display="http://licenciamento.cetesb.sp.gov.br/municipioss.asp?muni=RIO%20DAS%20PEDRAS"/>
    <hyperlink ref="J497" r:id="rId483" display="http://licenciamento.cetesb.sp.gov.br/municipioss.asp?muni=RIO%20GRANDE%20DA%20SERRA"/>
    <hyperlink ref="J498" r:id="rId484" display="http://licenciamento.cetesb.sp.gov.br/municipioss.asp?muni=RIOL%C3%82NDIA"/>
    <hyperlink ref="J499" r:id="rId485" display="http://licenciamento.cetesb.sp.gov.br/municipioss.asp?muni=RIVERSUL"/>
    <hyperlink ref="J500" r:id="rId486" display="http://licenciamento.cetesb.sp.gov.br/municipioss.asp?muni=ROSANA"/>
    <hyperlink ref="J501" r:id="rId487" display="http://licenciamento.cetesb.sp.gov.br/municipioss.asp?muni=ROSEIRA"/>
    <hyperlink ref="J502" r:id="rId488" display="http://licenciamento.cetesb.sp.gov.br/municipioss.asp?muni=RUBI%C3%81CEA"/>
    <hyperlink ref="J503" r:id="rId489" display="http://licenciamento.cetesb.sp.gov.br/municipioss.asp?muni=RUBIN%C3%89IA"/>
    <hyperlink ref="J504" r:id="rId490" display="http://licenciamento.cetesb.sp.gov.br/municipioss.asp?muni=SABINO"/>
    <hyperlink ref="J505" r:id="rId491" display="http://licenciamento.cetesb.sp.gov.br/municipioss.asp?muni=SAGRES"/>
    <hyperlink ref="J506" r:id="rId492" display="http://licenciamento.cetesb.sp.gov.br/municipioss.asp?muni=SALES"/>
    <hyperlink ref="J507" r:id="rId493" display="http://licenciamento.cetesb.sp.gov.br/municipioss.asp?muni=SALES%20OLIVEIRA"/>
    <hyperlink ref="J508" r:id="rId494" display="http://licenciamento.cetesb.sp.gov.br/municipioss.asp?muni=SALES%C3%93POLIS"/>
    <hyperlink ref="J509" r:id="rId495" display="http://licenciamento.cetesb.sp.gov.br/municipioss.asp?muni=SALMOUR%C3%83O"/>
    <hyperlink ref="J510" r:id="rId496" display="http://licenciamento.cetesb.sp.gov.br/municipioss.asp?muni=SALTINHO"/>
    <hyperlink ref="J511" r:id="rId497" display="http://licenciamento.cetesb.sp.gov.br/municipioss.asp?muni=SALTO"/>
    <hyperlink ref="J512" r:id="rId498" display="http://licenciamento.cetesb.sp.gov.br/municipioss.asp?muni=SALTO%20DE%20PIRAPORA"/>
    <hyperlink ref="J513" r:id="rId499" display="http://licenciamento.cetesb.sp.gov.br/municipioss.asp?muni=SALTO%20GRANDE"/>
    <hyperlink ref="J514" r:id="rId500" display="http://licenciamento.cetesb.sp.gov.br/municipioss.asp?muni=SANDOVALINA"/>
    <hyperlink ref="J515" r:id="rId501" display="http://licenciamento.cetesb.sp.gov.br/municipioss.asp?muni=SANTA%20AD%C3%89LIA"/>
    <hyperlink ref="J516" r:id="rId502" display="http://licenciamento.cetesb.sp.gov.br/municipioss.asp?muni=SANTA%20ALBERTINA"/>
    <hyperlink ref="J518" r:id="rId503" display="http://licenciamento.cetesb.sp.gov.br/municipioss.asp?muni=SANTA%20BRANCA"/>
    <hyperlink ref="J520" r:id="rId504" display="http://licenciamento.cetesb.sp.gov.br/municipioss.asp?muni=SANTA%20CRUZ%20DA%20CONCEI%C3%87%C3%83O"/>
    <hyperlink ref="J521" r:id="rId505" display="http://licenciamento.cetesb.sp.gov.br/municipioss.asp?muni=SANTA%20CRUZ%20DA%20ESPERAN%C3%87A"/>
    <hyperlink ref="J522" r:id="rId506" display="http://licenciamento.cetesb.sp.gov.br/municipioss.asp?muni=SANTA%20CRUZ%20DAS%20PALMEIRAS"/>
    <hyperlink ref="J523" r:id="rId507" display="http://licenciamento.cetesb.sp.gov.br/municipioss.asp?muni=SANTA%20CRUZ%20DO%20RIO%20PARDO"/>
    <hyperlink ref="J524" r:id="rId508" display="http://licenciamento.cetesb.sp.gov.br/municipioss.asp?muni=SANTA%20ERNESTINA"/>
    <hyperlink ref="J525" r:id="rId509" display="http://licenciamento.cetesb.sp.gov.br/municipioss.asp?muni=SANTA%20F%C3%89%20DO%20SUL"/>
    <hyperlink ref="J526" r:id="rId510" display="http://licenciamento.cetesb.sp.gov.br/municipioss.asp?muni=SANTA%20GERTRUDES"/>
    <hyperlink ref="J527" r:id="rId511" display="http://licenciamento.cetesb.sp.gov.br/municipioss.asp?muni=SANTA%20ISABEL"/>
    <hyperlink ref="J528" r:id="rId512" display="http://licenciamento.cetesb.sp.gov.br/municipioss.asp?muni=SANTA%20L%C3%9ACIA"/>
    <hyperlink ref="J529" r:id="rId513" display="http://licenciamento.cetesb.sp.gov.br/municipioss.asp?muni=SANTA%20MARIA%20DA%20SERRA"/>
    <hyperlink ref="J530" r:id="rId514" display="http://licenciamento.cetesb.sp.gov.br/municipioss.asp?muni=SANTA%20MERCEDES"/>
    <hyperlink ref="J531" r:id="rId515" display="http://licenciamento.cetesb.sp.gov.br/municipioss.asp?muni=SANTA%20RITA%20DO%20PASSA%20QUATRO"/>
    <hyperlink ref="J533" r:id="rId516" display="http://licenciamento.cetesb.sp.gov.br/municipioss.asp?muni=SANTA%20ROSA%20DE%20VITERBO"/>
    <hyperlink ref="J534" r:id="rId517" display="http://licenciamento.cetesb.sp.gov.br/municipioss.asp?muni=SANTA%20SALETE"/>
    <hyperlink ref="J535" r:id="rId518" display="http://licenciamento.cetesb.sp.gov.br/municipioss.asp?muni=SANTANA%20DA%20PONTE%20PENSA"/>
    <hyperlink ref="J536" r:id="rId519" display="http://licenciamento.cetesb.sp.gov.br/municipioss.asp?muni=SANTANA%20DE%20PARNA%C3%8DBA"/>
    <hyperlink ref="J537" r:id="rId520" display="http://licenciamento.cetesb.sp.gov.br/municipioss.asp?muni=SANTO%20ANAST%C3%81CIO"/>
    <hyperlink ref="J538" r:id="rId521" display="http://licenciamento.cetesb.sp.gov.br/municipioss.asp?muni=SANTO%20ANDR%C3%89"/>
    <hyperlink ref="J539" r:id="rId522" display="http://licenciamento.cetesb.sp.gov.br/municipioss.asp?muni=SANTO%20ANT%C3%94NIO%20DA%20ALEGRIA"/>
    <hyperlink ref="J540" r:id="rId523" display="http://licenciamento.cetesb.sp.gov.br/municipioss.asp?muni=SANTO%20ANT%C3%94NIO%20DE%20POSSE"/>
    <hyperlink ref="J541" r:id="rId524" display="http://licenciamento.cetesb.sp.gov.br/municipioss.asp?muni=SANTO%20ANT%C3%94NIO%20DO%20ARACANGU%C3%81"/>
    <hyperlink ref="J542" r:id="rId525" display="http://licenciamento.cetesb.sp.gov.br/municipioss.asp?muni=SANTO%20ANT%C3%94NIO%20DO%20JARDIM"/>
    <hyperlink ref="J543" r:id="rId526" display="http://licenciamento.cetesb.sp.gov.br/municipioss.asp?muni=SANTO%20ANT%C3%94NIO%20DO%20PINHAL"/>
    <hyperlink ref="J544" r:id="rId527" display="http://licenciamento.cetesb.sp.gov.br/municipioss.asp?muni=SANTO%20EXPEDITO"/>
    <hyperlink ref="J545" r:id="rId528" display="http://licenciamento.cetesb.sp.gov.br/municipioss.asp?muni=SANT%C3%93POLIS%20DO%20AGUAPE%C3%8D"/>
    <hyperlink ref="J546" r:id="rId529" display="http://licenciamento.cetesb.sp.gov.br/municipioss.asp?muni=SANTOS"/>
    <hyperlink ref="J547" r:id="rId530" display="http://licenciamento.cetesb.sp.gov.br/municipioss.asp?muni=S%C3%83O%20BENTO%20DO%20SAPUCA%C3%8D"/>
    <hyperlink ref="J548" r:id="rId531" display="http://licenciamento.cetesb.sp.gov.br/municipioss.asp?muni=S%C3%83O%20BERNARDO%20DO%20CAMPO"/>
    <hyperlink ref="J549" r:id="rId532" display="http://licenciamento.cetesb.sp.gov.br/municipioss.asp?muni=S%C3%83O%20CAETANO%20DO%20SUL"/>
    <hyperlink ref="J550" r:id="rId533" display="http://licenciamento.cetesb.sp.gov.br/municipioss.asp?muni=S%C3%83O%20CARLOS"/>
    <hyperlink ref="J551" r:id="rId534" display="http://licenciamento.cetesb.sp.gov.br/municipioss.asp?muni=S%C3%83O%20FRANCISCO"/>
    <hyperlink ref="J552" r:id="rId535" display="http://licenciamento.cetesb.sp.gov.br/municipioss.asp?muni=S%C3%83O%20JO%C3%83O%20DA%20BOA%20VISTA"/>
    <hyperlink ref="J553" r:id="rId536" display="http://licenciamento.cetesb.sp.gov.br/municipioss.asp?muni=S%C3%83O%20JO%C3%83O%20DAS%20DUAS%20PONTES"/>
    <hyperlink ref="J554" r:id="rId537" display="http://licenciamento.cetesb.sp.gov.br/municipioss.asp?muni=S%C3%83O%20JO%C3%83O%20DE%20IRACEMA"/>
    <hyperlink ref="J556" r:id="rId538" display="http://licenciamento.cetesb.sp.gov.br/municipioss.asp?muni=S%C3%83O%20JOAQUIM%20DA%20BARRA"/>
    <hyperlink ref="J557" r:id="rId539" display="http://licenciamento.cetesb.sp.gov.br/municipioss.asp?muni=S%C3%83O%20JOS%C3%89%20DA%20BELA%20VISTA"/>
    <hyperlink ref="J558" r:id="rId540" display="http://licenciamento.cetesb.sp.gov.br/municipioss.asp?muni=S%C3%83O%20JOS%C3%89%20DO%20BARREIRO"/>
    <hyperlink ref="J559" r:id="rId541" display="http://licenciamento.cetesb.sp.gov.br/municipioss.asp?muni=S%C3%83O%20JOS%C3%89%20DO%20RIO%20PARDO"/>
    <hyperlink ref="J560" r:id="rId542" display="http://licenciamento.cetesb.sp.gov.br/municipioss.asp?muni=S%C3%83O%20JOS%C3%89%20DO%20RIO%20PRETO"/>
    <hyperlink ref="J561" r:id="rId543" display="http://licenciamento.cetesb.sp.gov.br/municipioss.asp?muni=S%C3%83O%20JOS%C3%89%20DOS%20CAMPOS"/>
    <hyperlink ref="J562" r:id="rId544" display="http://licenciamento.cetesb.sp.gov.br/municipioss.asp?muni=S%C3%83O%20LOUREN%C3%87O%20DA%20SERRA"/>
    <hyperlink ref="J563" r:id="rId545" display="http://licenciamento.cetesb.sp.gov.br/municipioss.asp?muni=S%C3%83O%20LU%C3%8DS%20DO%20PARAITINGA"/>
    <hyperlink ref="J564" r:id="rId546" display="http://licenciamento.cetesb.sp.gov.br/municipioss.asp?muni=S%C3%83O%20MANUEL"/>
    <hyperlink ref="J565" r:id="rId547" display="http://licenciamento.cetesb.sp.gov.br/municipioss.asp?muni=S%C3%83O%20MIGUEL%20ARCANJO"/>
    <hyperlink ref="J567" r:id="rId548" display="http://licenciamento.cetesb.sp.gov.br/municipioss.asp?muni=S%C3%83O%20PEDRO"/>
    <hyperlink ref="J568" r:id="rId549" display="http://licenciamento.cetesb.sp.gov.br/municipioss.asp?muni=S%C3%83O%20PEDRO%20DO%20TURVO"/>
    <hyperlink ref="J569" r:id="rId550" display="http://licenciamento.cetesb.sp.gov.br/municipioss.asp?muni=S%C3%83O%20ROQUE"/>
    <hyperlink ref="J570" r:id="rId551" display="http://licenciamento.cetesb.sp.gov.br/municipioss.asp?muni=S%C3%83O%20SEBASTI%C3%83O"/>
    <hyperlink ref="J571" r:id="rId552" display="http://licenciamento.cetesb.sp.gov.br/municipioss.asp?muni=S%C3%83O%20SEBASTI%C3%83O%20DA%20GRAMA"/>
    <hyperlink ref="J572" r:id="rId553" display="http://licenciamento.cetesb.sp.gov.br/municipioss.asp?muni=S%C3%83O%20SIM%C3%83O"/>
    <hyperlink ref="J573" r:id="rId554" display="http://licenciamento.cetesb.sp.gov.br/municipioss.asp?muni=S%C3%83O%20VICENTE"/>
    <hyperlink ref="J574" r:id="rId555" display="http://licenciamento.cetesb.sp.gov.br/municipioss.asp?muni=SARAPU%C3%8D"/>
    <hyperlink ref="J575" r:id="rId556" display="http://licenciamento.cetesb.sp.gov.br/municipioss.asp?muni=SARUTAI%C3%81"/>
    <hyperlink ref="J576" r:id="rId557" display="http://licenciamento.cetesb.sp.gov.br/municipioss.asp?muni=SEBASTIAN%C3%93POLIS%20DO%20SUL"/>
    <hyperlink ref="J577" r:id="rId558" display="http://licenciamento.cetesb.sp.gov.br/municipioss.asp?muni=SERRA%20AZUL"/>
    <hyperlink ref="J578" r:id="rId559" display="http://licenciamento.cetesb.sp.gov.br/municipioss.asp?muni=SERRA%20NEGRA"/>
    <hyperlink ref="J579" r:id="rId560" display="http://licenciamento.cetesb.sp.gov.br/municipioss.asp?muni=SERRANA"/>
    <hyperlink ref="J580" r:id="rId561" display="http://licenciamento.cetesb.sp.gov.br/municipioss.asp?muni=SERT%C3%83OZINHO"/>
    <hyperlink ref="J581" r:id="rId562" display="http://licenciamento.cetesb.sp.gov.br/municipioss.asp?muni=SETE%20BARRAS"/>
    <hyperlink ref="J582" r:id="rId563" display="http://licenciamento.cetesb.sp.gov.br/municipioss.asp?muni=SEVER%C3%8DNIA"/>
    <hyperlink ref="J583" r:id="rId564" display="http://licenciamento.cetesb.sp.gov.br/municipioss.asp?muni=SILVEIRAS"/>
    <hyperlink ref="J584" r:id="rId565" display="http://licenciamento.cetesb.sp.gov.br/municipioss.asp?muni=SOCORRO"/>
    <hyperlink ref="J585" r:id="rId566" display="http://licenciamento.cetesb.sp.gov.br/municipioss.asp?muni=SOROCABA"/>
    <hyperlink ref="J586" r:id="rId567" display="http://licenciamento.cetesb.sp.gov.br/municipioss.asp?muni=SUD%20MENNUCCI"/>
    <hyperlink ref="J587" r:id="rId568" display="http://licenciamento.cetesb.sp.gov.br/municipioss.asp?muni=SUMAR%C3%89"/>
    <hyperlink ref="J588" r:id="rId569" display="http://licenciamento.cetesb.sp.gov.br/municipioss.asp?muni=SUZAN%C3%81POLIS"/>
    <hyperlink ref="J589" r:id="rId570" display="http://licenciamento.cetesb.sp.gov.br/municipioss.asp?muni=SUZANO"/>
    <hyperlink ref="J590" r:id="rId571" display="http://licenciamento.cetesb.sp.gov.br/municipioss.asp?muni=TABAPU%C3%83"/>
    <hyperlink ref="J591" r:id="rId572" display="http://licenciamento.cetesb.sp.gov.br/municipioss.asp?muni=TABATINGA"/>
    <hyperlink ref="J592" r:id="rId573" display="http://licenciamento.cetesb.sp.gov.br/municipioss.asp?muni=TABO%C3%83O%20DA%20SERRA"/>
    <hyperlink ref="J593" r:id="rId574" display="http://licenciamento.cetesb.sp.gov.br/municipioss.asp?muni=TACIBA"/>
    <hyperlink ref="J594" r:id="rId575" display="http://licenciamento.cetesb.sp.gov.br/municipioss.asp?muni=TAGUA%C3%8D"/>
    <hyperlink ref="J595" r:id="rId576" display="http://licenciamento.cetesb.sp.gov.br/municipioss.asp?muni=TAIA%C3%87U"/>
    <hyperlink ref="J596" r:id="rId577" display="http://licenciamento.cetesb.sp.gov.br/municipioss.asp?muni=TAI%C3%9AVA"/>
    <hyperlink ref="J597" r:id="rId578" display="http://licenciamento.cetesb.sp.gov.br/municipioss.asp?muni=TAMBA%C3%9A"/>
    <hyperlink ref="J598" r:id="rId579" display="http://licenciamento.cetesb.sp.gov.br/municipioss.asp?muni=TANABI"/>
    <hyperlink ref="J599" r:id="rId580" display="http://licenciamento.cetesb.sp.gov.br/municipioss.asp?muni=TAPIRA%C3%8D"/>
    <hyperlink ref="J600" r:id="rId581" display="http://licenciamento.cetesb.sp.gov.br/municipioss.asp?muni=TAPIRATIBA"/>
    <hyperlink ref="J601" r:id="rId582" display="http://licenciamento.cetesb.sp.gov.br/municipioss.asp?muni=TAQUARAL"/>
    <hyperlink ref="J602" r:id="rId583" display="http://licenciamento.cetesb.sp.gov.br/municipioss.asp?muni=TAQUARITINGA"/>
    <hyperlink ref="J603" r:id="rId584" display="http://licenciamento.cetesb.sp.gov.br/municipioss.asp?muni=TAQUARITUBA"/>
    <hyperlink ref="J604" r:id="rId585" display="http://licenciamento.cetesb.sp.gov.br/municipioss.asp?muni=TAQUARIVA%C3%8D"/>
    <hyperlink ref="J605" r:id="rId586" display="http://licenciamento.cetesb.sp.gov.br/municipioss.asp?muni=TARABAI"/>
    <hyperlink ref="J606" r:id="rId587" display="http://licenciamento.cetesb.sp.gov.br/municipioss.asp?muni=TARUM%C3%83"/>
    <hyperlink ref="J607" r:id="rId588" display="http://licenciamento.cetesb.sp.gov.br/municipioss.asp?muni=TATU%C3%8D"/>
    <hyperlink ref="J608" r:id="rId589" display="http://licenciamento.cetesb.sp.gov.br/municipioss.asp?muni=TAUBAT%C3%89"/>
    <hyperlink ref="J609" r:id="rId590" display="http://licenciamento.cetesb.sp.gov.br/municipioss.asp?muni=TEJUP%C3%81"/>
    <hyperlink ref="J610" r:id="rId591" display="http://licenciamento.cetesb.sp.gov.br/municipioss.asp?muni=TEODORO%20SAMPAIO"/>
    <hyperlink ref="J611" r:id="rId592" display="http://licenciamento.cetesb.sp.gov.br/municipioss.asp?muni=TERRA%20ROXA"/>
    <hyperlink ref="J612" r:id="rId593" display="http://licenciamento.cetesb.sp.gov.br/municipioss.asp?muni=TIET%C3%8A"/>
    <hyperlink ref="J613" r:id="rId594" display="http://licenciamento.cetesb.sp.gov.br/municipioss.asp?muni=TIMBURI"/>
    <hyperlink ref="J614" r:id="rId595" display="http://licenciamento.cetesb.sp.gov.br/municipioss.asp?muni=TORRE%20DE%20PEDRA"/>
    <hyperlink ref="J615" r:id="rId596" display="http://licenciamento.cetesb.sp.gov.br/municipioss.asp?muni=TORRINHA"/>
    <hyperlink ref="J616" r:id="rId597" display="http://licenciamento.cetesb.sp.gov.br/municipioss.asp?muni=TRABIJU"/>
    <hyperlink ref="J617" r:id="rId598" display="http://licenciamento.cetesb.sp.gov.br/municipioss.asp?muni=TREMEMB%C3%89"/>
    <hyperlink ref="J618" r:id="rId599" display="http://licenciamento.cetesb.sp.gov.br/municipioss.asp?muni=TR%C3%8AS%20FRONTEIRAS"/>
    <hyperlink ref="J619" r:id="rId600" display="http://licenciamento.cetesb.sp.gov.br/municipioss.asp?muni=TUIUTI"/>
    <hyperlink ref="J620" r:id="rId601" display="http://licenciamento.cetesb.sp.gov.br/municipioss.asp?muni=TUP%C3%83"/>
    <hyperlink ref="J621" r:id="rId602" display="http://licenciamento.cetesb.sp.gov.br/municipioss.asp?muni=TUPI%20PAULISTA"/>
    <hyperlink ref="J622" r:id="rId603" display="http://licenciamento.cetesb.sp.gov.br/municipioss.asp?muni=TURI%C3%9ABA"/>
    <hyperlink ref="J623" r:id="rId604" display="http://licenciamento.cetesb.sp.gov.br/municipioss.asp?muni=TURMALINA"/>
    <hyperlink ref="J624" r:id="rId605" display="http://licenciamento.cetesb.sp.gov.br/municipioss.asp?muni=UBARANA"/>
    <hyperlink ref="J625" r:id="rId606" display="http://licenciamento.cetesb.sp.gov.br/municipioss.asp?muni=UBATUBA"/>
    <hyperlink ref="J626" r:id="rId607" display="http://licenciamento.cetesb.sp.gov.br/municipioss.asp?muni=UBIRAJARA"/>
    <hyperlink ref="J627" r:id="rId608" display="http://licenciamento.cetesb.sp.gov.br/municipioss.asp?muni=UCHOA"/>
    <hyperlink ref="J628" r:id="rId609" display="http://licenciamento.cetesb.sp.gov.br/municipioss.asp?muni=UNI%C3%83O%20PAULISTA"/>
    <hyperlink ref="J629" r:id="rId610" display="http://licenciamento.cetesb.sp.gov.br/municipioss.asp?muni=UR%C3%82NIA"/>
    <hyperlink ref="J630" r:id="rId611" display="http://licenciamento.cetesb.sp.gov.br/municipioss.asp?muni=URU"/>
    <hyperlink ref="J631" r:id="rId612" display="http://licenciamento.cetesb.sp.gov.br/municipioss.asp?muni=URUP%C3%8AS"/>
    <hyperlink ref="J632" r:id="rId613" display="http://licenciamento.cetesb.sp.gov.br/municipioss.asp?muni=VALENTIM%20GENTIL"/>
    <hyperlink ref="J633" r:id="rId614" display="http://licenciamento.cetesb.sp.gov.br/municipioss.asp?muni=VALINHOS"/>
    <hyperlink ref="J634" r:id="rId615" display="http://licenciamento.cetesb.sp.gov.br/municipioss.asp?muni=VALPARA%C3%8DSO"/>
    <hyperlink ref="J636" r:id="rId616" display="http://licenciamento.cetesb.sp.gov.br/municipioss.asp?muni=VARGEM%20GRANDE%20DO%20SUL"/>
    <hyperlink ref="J637" r:id="rId617" display="http://licenciamento.cetesb.sp.gov.br/municipioss.asp?muni=VARGEM%20GRANDE%20PAULISTA"/>
    <hyperlink ref="J638" r:id="rId618" display="http://licenciamento.cetesb.sp.gov.br/municipioss.asp?muni=V%C3%81RZEA%20PAULISTA"/>
    <hyperlink ref="J639" r:id="rId619" display="http://licenciamento.cetesb.sp.gov.br/municipioss.asp?muni=VERA%20CRUZ"/>
    <hyperlink ref="J640" r:id="rId620" display="http://licenciamento.cetesb.sp.gov.br/municipioss.asp?muni=VINHEDO"/>
    <hyperlink ref="J641" r:id="rId621" display="http://licenciamento.cetesb.sp.gov.br/municipioss.asp?muni=VIRADOURO"/>
    <hyperlink ref="J642" r:id="rId622" display="http://licenciamento.cetesb.sp.gov.br/municipioss.asp?muni=VISTA%20ALEGRE%20DO%20ALTO"/>
    <hyperlink ref="J643" r:id="rId623" display="http://licenciamento.cetesb.sp.gov.br/municipioss.asp?muni=VIT%C3%93RIA%20BRASIL"/>
    <hyperlink ref="J644" r:id="rId624" display="http://licenciamento.cetesb.sp.gov.br/municipioss.asp?muni=VOTORANTIM"/>
    <hyperlink ref="J645" r:id="rId625" display="http://licenciamento.cetesb.sp.gov.br/municipioss.asp?muni=VOTUPORANGA"/>
    <hyperlink ref="J646" r:id="rId626" display="http://licenciamento.cetesb.sp.gov.br/municipioss.asp?muni=ZACARIAS"/>
    <hyperlink ref="J30" r:id="rId627" display="http://licenciamento.cetesb.sp.gov.br/municipioss.asp?muni=APARECIDA%20D%60OESTE"/>
    <hyperlink ref="J76" r:id="rId628" display="http://licenciamento.cetesb.sp.gov.br/municipioss.asp?muni=BIRITIBA%20MIRIM"/>
    <hyperlink ref="J170" r:id="rId629" display="http://licenciamento.cetesb.sp.gov.br/municipioss.asp?muni=EMBU%20DAS%20ARTES"/>
    <hyperlink ref="J178" r:id="rId630" display="http://licenciamento.cetesb.sp.gov.br/municipioss.asp?muni=ESTRELA%20D%60OESTE"/>
    <hyperlink ref="J188" r:id="rId631" display="http://licenciamento.cetesb.sp.gov.br/municipioss.asp?muni=FLOR%C3%8DNEA"/>
    <hyperlink ref="J208" r:id="rId632" display="http://licenciamento.cetesb.sp.gov.br/municipioss.asp?muni=GUARANI%20D%60OESTE"/>
    <hyperlink ref="J348" r:id="rId633" display="http://licenciamento.cetesb.sp.gov.br/municipioss.asp?muni=MOGI%20DAS%20CRUZES"/>
    <hyperlink ref="J400" r:id="rId634" display="http://licenciamento.cetesb.sp.gov.br/municipioss.asp?muni=PALMEIRA%20D%60OESTE"/>
    <hyperlink ref="J517" r:id="rId635" display="http://licenciamento.cetesb.sp.gov.br/municipioss.asp?muni=SANTA%20B%C3%81RBARA%20D%C2%B4OESTE"/>
    <hyperlink ref="J519" r:id="rId636" display="http://licenciamento.cetesb.sp.gov.br/municipioss.asp?muni=SANTA%20CLARA%20D%60OESTE"/>
    <hyperlink ref="J532" r:id="rId637" display="http://licenciamento.cetesb.sp.gov.br/municipioss.asp?muni=SANTA%20RITA%20D%C2%B4OESTE"/>
    <hyperlink ref="J555" r:id="rId638" display="http://licenciamento.cetesb.sp.gov.br/municipioss.asp?muni=S%C3%83O%20JO%C3%83O%20DO%20PAU%20D%C2%B4ALHO"/>
    <hyperlink ref="J635" r:id="rId639" display="http://licenciamento.cetesb.sp.gov.br/municipioss.asp?muni=VARGEM"/>
    <hyperlink ref="J40" r:id="rId640" display="http://licenciamento.cetesb.sp.gov.br/municipioss.asp?muni=ARCO-%C3%8DRIS"/>
    <hyperlink ref="J171" r:id="rId641" display="http://licenciamento.cetesb.sp.gov.br/municipioss.asp?muni=EMBU-GUA%C3%87U"/>
    <hyperlink ref="J410" r:id="rId642" display="http://licenciamento.cetesb.sp.gov.br/municipioss.asp?muni=PARIQUERA-A%C3%87U"/>
    <hyperlink ref="J349" r:id="rId643" display="http://licenciamento.cetesb.sp.gov.br/municipioss.asp?muni=MOGI-MIRIM"/>
  </hyperlinks>
  <pageMargins left="0.511811024" right="0.511811024" top="0.78740157499999996" bottom="0.78740157499999996" header="0.31496062000000002" footer="0.31496062000000002"/>
  <pageSetup paperSize="9" orientation="portrait" r:id="rId644"/>
  <tableParts count="1">
    <tablePart r:id="rId64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N646"/>
  <sheetViews>
    <sheetView topLeftCell="A449" zoomScale="70" zoomScaleNormal="70" workbookViewId="0">
      <selection activeCell="A490" sqref="A490"/>
    </sheetView>
  </sheetViews>
  <sheetFormatPr defaultColWidth="0" defaultRowHeight="15" x14ac:dyDescent="0.25"/>
  <cols>
    <col min="1" max="1" width="17.7109375" style="7" bestFit="1" customWidth="1"/>
    <col min="2" max="2" width="29.28515625" style="7" bestFit="1" customWidth="1"/>
    <col min="3" max="3" width="17.85546875" style="7" bestFit="1" customWidth="1"/>
    <col min="4" max="4" width="44.85546875" style="7" bestFit="1" customWidth="1"/>
    <col min="5" max="5" width="42.5703125" style="7" bestFit="1" customWidth="1"/>
    <col min="6" max="6" width="27.7109375" style="7" bestFit="1" customWidth="1"/>
    <col min="7" max="7" width="12.140625" style="7" bestFit="1" customWidth="1"/>
    <col min="8" max="8" width="24.85546875" style="7" bestFit="1" customWidth="1"/>
    <col min="9" max="9" width="87.85546875" style="7" bestFit="1" customWidth="1"/>
    <col min="10" max="11" width="15.85546875" style="7" bestFit="1" customWidth="1"/>
    <col min="12" max="12" width="35.28515625" style="7" bestFit="1" customWidth="1"/>
    <col min="13" max="14" width="9.140625" style="7" customWidth="1"/>
    <col min="15" max="16384" width="9.140625" style="7" hidden="1"/>
  </cols>
  <sheetData>
    <row r="1" spans="1:12" ht="15.75" thickBot="1" x14ac:dyDescent="0.3">
      <c r="A1" s="5" t="s">
        <v>939</v>
      </c>
      <c r="B1" s="5" t="s">
        <v>1805</v>
      </c>
      <c r="C1" s="5" t="s">
        <v>1857</v>
      </c>
      <c r="D1" s="6" t="s">
        <v>1585</v>
      </c>
      <c r="E1" s="5" t="s">
        <v>1586</v>
      </c>
      <c r="F1" s="5" t="s">
        <v>1587</v>
      </c>
      <c r="G1" s="5" t="s">
        <v>1588</v>
      </c>
      <c r="H1" s="5" t="s">
        <v>1589</v>
      </c>
      <c r="I1" s="5" t="s">
        <v>1806</v>
      </c>
      <c r="J1" s="5" t="s">
        <v>1590</v>
      </c>
      <c r="K1" s="5" t="s">
        <v>1591</v>
      </c>
      <c r="L1" s="5" t="s">
        <v>1592</v>
      </c>
    </row>
    <row r="2" spans="1:12" x14ac:dyDescent="0.25">
      <c r="A2" s="8">
        <v>3500105</v>
      </c>
      <c r="B2" s="8" t="s">
        <v>940</v>
      </c>
      <c r="C2" s="9">
        <v>13</v>
      </c>
      <c r="D2" s="10" t="str">
        <f>VLOOKUP($C2,tab_Agências[],2,FALSE)</f>
        <v>Agência Ambiental de Dracena</v>
      </c>
      <c r="E2" s="8" t="str">
        <f>VLOOKUP($C2,tab_Agências[],3,FALSE)</f>
        <v>Rua Tomé de Souza, 438</v>
      </c>
      <c r="F2" s="8" t="str">
        <f>VLOOKUP($C2,tab_Agências[],4,FALSE)</f>
        <v>Centro</v>
      </c>
      <c r="G2" s="8" t="str">
        <f>VLOOKUP($C2,tab_Agências[],5,FALSE)</f>
        <v>17900-000</v>
      </c>
      <c r="H2" s="8" t="str">
        <f>VLOOKUP($C2,tab_Agências[],6,FALSE)</f>
        <v>Dracena</v>
      </c>
      <c r="I2" s="8" t="str">
        <f>VLOOKUP($C2,tab_Agências[],7,FALSE)</f>
        <v>Rua Tomé de Souza, 438 - Centro, Dracena, 17900-000</v>
      </c>
      <c r="J2" s="8" t="str">
        <f>VLOOKUP($C2,tab_Agências[],8,FALSE)</f>
        <v>(18) 3822-3166</v>
      </c>
      <c r="K2" s="8" t="str">
        <f>VLOOKUP($C2,tab_Agências[],9,FALSE)</f>
        <v>(18) 3822-3166</v>
      </c>
      <c r="L2" s="8" t="str">
        <f>VLOOKUP($C2,tab_Agências[],10,FALSE)</f>
        <v>dracena@cetesbnet.sp.gov.br</v>
      </c>
    </row>
    <row r="3" spans="1:12" x14ac:dyDescent="0.25">
      <c r="A3" s="8">
        <v>3500204</v>
      </c>
      <c r="B3" s="8" t="s">
        <v>941</v>
      </c>
      <c r="C3" s="9">
        <v>36</v>
      </c>
      <c r="D3" s="10" t="str">
        <f>VLOOKUP($C3,tab_Agências[],2,FALSE)</f>
        <v>Agência Ambiental de São José do Rio Preto</v>
      </c>
      <c r="E3" s="8" t="str">
        <f>VLOOKUP($C3,tab_Agências[],3,FALSE)</f>
        <v>Avenida Mário Andreazza,</v>
      </c>
      <c r="F3" s="8" t="str">
        <f>VLOOKUP($C3,tab_Agências[],4,FALSE)</f>
        <v>Jardim São Marcos</v>
      </c>
      <c r="G3" s="8" t="str">
        <f>VLOOKUP($C3,tab_Agências[],5,FALSE)</f>
        <v>15081-490</v>
      </c>
      <c r="H3" s="8" t="str">
        <f>VLOOKUP($C3,tab_Agências[],6,FALSE)</f>
        <v>São José do Rio Preto</v>
      </c>
      <c r="I3" s="8" t="str">
        <f>VLOOKUP($C3,tab_Agências[],7,FALSE)</f>
        <v>Avenida Mário Andreazza, - Jardim São Marcos, São José do Rio Preto, 15081-490</v>
      </c>
      <c r="J3" s="8" t="str">
        <f>VLOOKUP($C3,tab_Agências[],8,FALSE)</f>
        <v>(17) 3218-4300</v>
      </c>
      <c r="K3" s="8" t="str">
        <f>VLOOKUP($C3,tab_Agências[],9,FALSE)</f>
        <v>(17) 3218-4300</v>
      </c>
      <c r="L3" s="8" t="str">
        <f>VLOOKUP($C3,tab_Agências[],10,FALSE)</f>
        <v>riopreto@cetesbnet.sp.gov.br</v>
      </c>
    </row>
    <row r="4" spans="1:12" x14ac:dyDescent="0.25">
      <c r="A4" s="8">
        <v>3500303</v>
      </c>
      <c r="B4" s="8" t="s">
        <v>942</v>
      </c>
      <c r="C4" s="9">
        <v>35</v>
      </c>
      <c r="D4" s="10" t="str">
        <f>VLOOKUP($C4,tab_Agências[],2,FALSE)</f>
        <v>Agência Ambiental de São João da Boa Vista</v>
      </c>
      <c r="E4" s="8" t="str">
        <f>VLOOKUP($C4,tab_Agências[],3,FALSE)</f>
        <v>Rua Marechal Deodoro, 345</v>
      </c>
      <c r="F4" s="8" t="str">
        <f>VLOOKUP($C4,tab_Agências[],4,FALSE)</f>
        <v>Centro</v>
      </c>
      <c r="G4" s="8" t="str">
        <f>VLOOKUP($C4,tab_Agências[],5,FALSE)</f>
        <v>13870-223</v>
      </c>
      <c r="H4" s="8" t="str">
        <f>VLOOKUP($C4,tab_Agências[],6,FALSE)</f>
        <v>São João da Boa Vista</v>
      </c>
      <c r="I4" s="8" t="str">
        <f>VLOOKUP($C4,tab_Agências[],7,FALSE)</f>
        <v>Rua Marechal Deodoro, 345 - Centro, São João da Boa Vista, 13870-223</v>
      </c>
      <c r="J4" s="8" t="str">
        <f>VLOOKUP($C4,tab_Agências[],8,FALSE)</f>
        <v>(19) 3633-1510</v>
      </c>
      <c r="K4" s="8" t="str">
        <f>VLOOKUP($C4,tab_Agências[],9,FALSE)</f>
        <v>(19) 3633-1510</v>
      </c>
      <c r="L4" s="8" t="str">
        <f>VLOOKUP($C4,tab_Agências[],10,FALSE)</f>
        <v>sjboavista@cetesbnet.sp.gov.br</v>
      </c>
    </row>
    <row r="5" spans="1:12" x14ac:dyDescent="0.25">
      <c r="A5" s="8">
        <v>3500402</v>
      </c>
      <c r="B5" s="8" t="s">
        <v>943</v>
      </c>
      <c r="C5" s="9">
        <v>35</v>
      </c>
      <c r="D5" s="10" t="str">
        <f>VLOOKUP($C5,tab_Agências[],2,FALSE)</f>
        <v>Agência Ambiental de São João da Boa Vista</v>
      </c>
      <c r="E5" s="8" t="str">
        <f>VLOOKUP($C5,tab_Agências[],3,FALSE)</f>
        <v>Rua Marechal Deodoro, 345</v>
      </c>
      <c r="F5" s="8" t="str">
        <f>VLOOKUP($C5,tab_Agências[],4,FALSE)</f>
        <v>Centro</v>
      </c>
      <c r="G5" s="8" t="str">
        <f>VLOOKUP($C5,tab_Agências[],5,FALSE)</f>
        <v>13870-223</v>
      </c>
      <c r="H5" s="8" t="str">
        <f>VLOOKUP($C5,tab_Agências[],6,FALSE)</f>
        <v>São João da Boa Vista</v>
      </c>
      <c r="I5" s="8" t="str">
        <f>VLOOKUP($C5,tab_Agências[],7,FALSE)</f>
        <v>Rua Marechal Deodoro, 345 - Centro, São João da Boa Vista, 13870-223</v>
      </c>
      <c r="J5" s="8" t="str">
        <f>VLOOKUP($C5,tab_Agências[],8,FALSE)</f>
        <v>(19) 3633-1510</v>
      </c>
      <c r="K5" s="8" t="str">
        <f>VLOOKUP($C5,tab_Agências[],9,FALSE)</f>
        <v>(19) 3633-1510</v>
      </c>
      <c r="L5" s="8" t="str">
        <f>VLOOKUP($C5,tab_Agências[],10,FALSE)</f>
        <v>sjboavista@cetesbnet.sp.gov.br</v>
      </c>
    </row>
    <row r="6" spans="1:12" x14ac:dyDescent="0.25">
      <c r="A6" s="8">
        <v>3500501</v>
      </c>
      <c r="B6" s="8" t="s">
        <v>944</v>
      </c>
      <c r="C6" s="9">
        <v>25</v>
      </c>
      <c r="D6" s="10" t="str">
        <f>VLOOKUP($C6,tab_Agências[],2,FALSE)</f>
        <v>Agência Ambiental de Mogi Guaçu</v>
      </c>
      <c r="E6" s="8" t="str">
        <f>VLOOKUP($C6,tab_Agências[],3,FALSE)</f>
        <v>Rua Hugo Pancieira, 400</v>
      </c>
      <c r="F6" s="8" t="str">
        <f>VLOOKUP($C6,tab_Agências[],4,FALSE)</f>
        <v>Pedregulhal</v>
      </c>
      <c r="G6" s="8" t="str">
        <f>VLOOKUP($C6,tab_Agências[],5,FALSE)</f>
        <v>13845-190</v>
      </c>
      <c r="H6" s="8" t="str">
        <f>VLOOKUP($C6,tab_Agências[],6,FALSE)</f>
        <v>Mogi Guaçu</v>
      </c>
      <c r="I6" s="8" t="str">
        <f>VLOOKUP($C6,tab_Agências[],7,FALSE)</f>
        <v>Rua Hugo Pancieira, 400 - Pedregulhal, Mogi Guaçu, 13845-190</v>
      </c>
      <c r="J6" s="8" t="str">
        <f>VLOOKUP($C6,tab_Agências[],8,FALSE)</f>
        <v>(19) 3818-0396</v>
      </c>
      <c r="K6" s="8" t="str">
        <f>VLOOKUP($C6,tab_Agências[],9,FALSE)</f>
        <v>(19) 3818-0396</v>
      </c>
      <c r="L6" s="8" t="str">
        <f>VLOOKUP($C6,tab_Agências[],10,FALSE)</f>
        <v>mogiguacu@cetesbnet.sp.gov.br</v>
      </c>
    </row>
    <row r="7" spans="1:12" x14ac:dyDescent="0.25">
      <c r="A7" s="8">
        <v>3500550</v>
      </c>
      <c r="B7" s="8" t="s">
        <v>945</v>
      </c>
      <c r="C7" s="9">
        <v>6</v>
      </c>
      <c r="D7" s="10" t="str">
        <f>VLOOKUP($C7,tab_Agências[],2,FALSE)</f>
        <v>Agência Ambiental de Avaré</v>
      </c>
      <c r="E7" s="8" t="str">
        <f>VLOOKUP($C7,tab_Agências[],3,FALSE)</f>
        <v>Avenida Governador Mário Covas, 525</v>
      </c>
      <c r="F7" s="8" t="str">
        <f>VLOOKUP($C7,tab_Agências[],4,FALSE)</f>
        <v>Vila Industrial</v>
      </c>
      <c r="G7" s="8" t="str">
        <f>VLOOKUP($C7,tab_Agências[],5,FALSE)</f>
        <v>18705-851</v>
      </c>
      <c r="H7" s="8" t="str">
        <f>VLOOKUP($C7,tab_Agências[],6,FALSE)</f>
        <v>Avaré</v>
      </c>
      <c r="I7" s="8" t="str">
        <f>VLOOKUP($C7,tab_Agências[],7,FALSE)</f>
        <v>Avenida Governador Mário Covas, 525 - Vila Industrial, Avaré, 18705-851</v>
      </c>
      <c r="J7" s="8" t="str">
        <f>VLOOKUP($C7,tab_Agências[],8,FALSE)</f>
        <v>(14) 3732-4900</v>
      </c>
      <c r="K7" s="8" t="str">
        <f>VLOOKUP($C7,tab_Agências[],9,FALSE)</f>
        <v xml:space="preserve"> </v>
      </c>
      <c r="L7" s="8" t="str">
        <f>VLOOKUP($C7,tab_Agências[],10,FALSE)</f>
        <v>avare@cetesbnet.sp.gov.br</v>
      </c>
    </row>
    <row r="8" spans="1:12" x14ac:dyDescent="0.25">
      <c r="A8" s="8">
        <v>3500600</v>
      </c>
      <c r="B8" s="8" t="s">
        <v>946</v>
      </c>
      <c r="C8" s="9">
        <v>28</v>
      </c>
      <c r="D8" s="10" t="str">
        <f>VLOOKUP($C8,tab_Agências[],2,FALSE)</f>
        <v>Agência Ambiental de Piracicaba</v>
      </c>
      <c r="E8" s="8" t="str">
        <f>VLOOKUP($C8,tab_Agências[],3,FALSE)</f>
        <v>Rua do Rosário, 566</v>
      </c>
      <c r="F8" s="8" t="str">
        <f>VLOOKUP($C8,tab_Agências[],4,FALSE)</f>
        <v>Centro</v>
      </c>
      <c r="G8" s="8" t="str">
        <f>VLOOKUP($C8,tab_Agências[],5,FALSE)</f>
        <v>13400-183</v>
      </c>
      <c r="H8" s="8" t="str">
        <f>VLOOKUP($C8,tab_Agências[],6,FALSE)</f>
        <v>Piracicaba</v>
      </c>
      <c r="I8" s="8" t="str">
        <f>VLOOKUP($C8,tab_Agências[],7,FALSE)</f>
        <v>Rua do Rosário, 566 - Centro, Piracicaba, 13400-183</v>
      </c>
      <c r="J8" s="8" t="str">
        <f>VLOOKUP($C8,tab_Agências[],8,FALSE)</f>
        <v>(19) 3402-6863</v>
      </c>
      <c r="K8" s="8" t="str">
        <f>VLOOKUP($C8,tab_Agências[],9,FALSE)</f>
        <v>(19) 3402-6863</v>
      </c>
      <c r="L8" s="8" t="str">
        <f>VLOOKUP($C8,tab_Agências[],10,FALSE)</f>
        <v>piracicaba@cetesbnet.sp.gov.br</v>
      </c>
    </row>
    <row r="9" spans="1:12" x14ac:dyDescent="0.25">
      <c r="A9" s="8">
        <v>3500709</v>
      </c>
      <c r="B9" s="8" t="s">
        <v>947</v>
      </c>
      <c r="C9" s="9">
        <v>8</v>
      </c>
      <c r="D9" s="10" t="str">
        <f>VLOOKUP($C9,tab_Agências[],2,FALSE)</f>
        <v>Agência Ambiental de Bauru</v>
      </c>
      <c r="E9" s="8" t="str">
        <f>VLOOKUP($C9,tab_Agências[],3,FALSE)</f>
        <v>Avenida Rodrigues Alves, 138</v>
      </c>
      <c r="F9" s="8" t="str">
        <f>VLOOKUP($C9,tab_Agências[],4,FALSE)</f>
        <v>Vila Coralina</v>
      </c>
      <c r="G9" s="8" t="str">
        <f>VLOOKUP($C9,tab_Agências[],5,FALSE)</f>
        <v>17030-000</v>
      </c>
      <c r="H9" s="8" t="str">
        <f>VLOOKUP($C9,tab_Agências[],6,FALSE)</f>
        <v>Bauru</v>
      </c>
      <c r="I9" s="8" t="str">
        <f>VLOOKUP($C9,tab_Agências[],7,FALSE)</f>
        <v>Avenida Rodrigues Alves, 138 - Vila Coralina, Bauru, 17030-000</v>
      </c>
      <c r="J9" s="8" t="str">
        <f>VLOOKUP($C9,tab_Agências[],8,FALSE)</f>
        <v>(14) 3203-2058</v>
      </c>
      <c r="K9" s="8" t="str">
        <f>VLOOKUP($C9,tab_Agências[],9,FALSE)</f>
        <v>(14) 3203-2344</v>
      </c>
      <c r="L9" s="8" t="str">
        <f>VLOOKUP($C9,tab_Agências[],10,FALSE)</f>
        <v>bauru@cetesbnet.sp.gov.br</v>
      </c>
    </row>
    <row r="10" spans="1:12" x14ac:dyDescent="0.25">
      <c r="A10" s="8">
        <v>3500758</v>
      </c>
      <c r="B10" s="8" t="s">
        <v>948</v>
      </c>
      <c r="C10" s="9">
        <v>17</v>
      </c>
      <c r="D10" s="10" t="str">
        <f>VLOOKUP($C10,tab_Agências[],2,FALSE)</f>
        <v>Agência Ambiental de Itapetininga</v>
      </c>
      <c r="E10" s="8" t="str">
        <f>VLOOKUP($C10,tab_Agências[],3,FALSE)</f>
        <v>Rua General Carneiro, 196</v>
      </c>
      <c r="F10" s="8" t="str">
        <f>VLOOKUP($C10,tab_Agências[],4,FALSE)</f>
        <v>Centro</v>
      </c>
      <c r="G10" s="8" t="str">
        <f>VLOOKUP($C10,tab_Agências[],5,FALSE)</f>
        <v>18200-024</v>
      </c>
      <c r="H10" s="8" t="str">
        <f>VLOOKUP($C10,tab_Agências[],6,FALSE)</f>
        <v>Itapetininga</v>
      </c>
      <c r="I10" s="8" t="str">
        <f>VLOOKUP($C10,tab_Agências[],7,FALSE)</f>
        <v>Rua General Carneiro, 196 - Centro, Itapetininga, 18200-024</v>
      </c>
      <c r="J10" s="8" t="str">
        <f>VLOOKUP($C10,tab_Agências[],8,FALSE)</f>
        <v>(15) 3272-2888</v>
      </c>
      <c r="K10" s="8" t="str">
        <f>VLOOKUP($C10,tab_Agências[],9,FALSE)</f>
        <v>(15) 3272-2891</v>
      </c>
      <c r="L10" s="8" t="str">
        <f>VLOOKUP($C10,tab_Agências[],10,FALSE)</f>
        <v>itapetininga@cetesbnet.sp.gov.br</v>
      </c>
    </row>
    <row r="11" spans="1:12" x14ac:dyDescent="0.25">
      <c r="A11" s="8">
        <v>3500808</v>
      </c>
      <c r="B11" s="8" t="s">
        <v>949</v>
      </c>
      <c r="C11" s="9">
        <v>29</v>
      </c>
      <c r="D11" s="10" t="str">
        <f>VLOOKUP($C11,tab_Agências[],2,FALSE)</f>
        <v>Agência Ambiental de Presidente Prudente</v>
      </c>
      <c r="E11" s="8" t="str">
        <f>VLOOKUP($C11,tab_Agências[],3,FALSE)</f>
        <v>Rua João Gonçalves Foz, 1738</v>
      </c>
      <c r="F11" s="8" t="str">
        <f>VLOOKUP($C11,tab_Agências[],4,FALSE)</f>
        <v>Jardim das Rosas</v>
      </c>
      <c r="G11" s="8" t="str">
        <f>VLOOKUP($C11,tab_Agências[],5,FALSE)</f>
        <v>19060-050</v>
      </c>
      <c r="H11" s="8" t="str">
        <f>VLOOKUP($C11,tab_Agências[],6,FALSE)</f>
        <v>Presidente Prudente</v>
      </c>
      <c r="I11" s="8" t="str">
        <f>VLOOKUP($C11,tab_Agências[],7,FALSE)</f>
        <v>Rua João Gonçalves Foz, 1738 - Jardim das Rosas, Presidente Prudente, 19060-050</v>
      </c>
      <c r="J11" s="8" t="str">
        <f>VLOOKUP($C11,tab_Agências[],8,FALSE)</f>
        <v>(18) 3223-5001</v>
      </c>
      <c r="K11" s="8" t="str">
        <f>VLOOKUP($C11,tab_Agências[],9,FALSE)</f>
        <v xml:space="preserve"> </v>
      </c>
      <c r="L11" s="8" t="str">
        <f>VLOOKUP($C11,tab_Agências[],10,FALSE)</f>
        <v>prudente@cetesbnet.sp.gov.br</v>
      </c>
    </row>
    <row r="12" spans="1:12" x14ac:dyDescent="0.25">
      <c r="A12" s="8">
        <v>3500907</v>
      </c>
      <c r="B12" s="8" t="s">
        <v>950</v>
      </c>
      <c r="C12" s="9">
        <v>7</v>
      </c>
      <c r="D12" s="10" t="str">
        <f>VLOOKUP($C12,tab_Agências[],2,FALSE)</f>
        <v>Agência Ambiental de Barretos</v>
      </c>
      <c r="E12" s="8" t="str">
        <f>VLOOKUP($C12,tab_Agências[],3,FALSE)</f>
        <v>Rua Bolívia, 2255</v>
      </c>
      <c r="F12" s="8" t="str">
        <f>VLOOKUP($C12,tab_Agências[],4,FALSE)</f>
        <v>América</v>
      </c>
      <c r="G12" s="8" t="str">
        <f>VLOOKUP($C12,tab_Agências[],5,FALSE)</f>
        <v>14783-197</v>
      </c>
      <c r="H12" s="8" t="str">
        <f>VLOOKUP($C12,tab_Agências[],6,FALSE)</f>
        <v>Barretos</v>
      </c>
      <c r="I12" s="8" t="str">
        <f>VLOOKUP($C12,tab_Agências[],7,FALSE)</f>
        <v>Rua Bolívia, 2255 - América, Barretos, 14783-197</v>
      </c>
      <c r="J12" s="8" t="str">
        <f>VLOOKUP($C12,tab_Agências[],8,FALSE)</f>
        <v>(17) 3322-2655</v>
      </c>
      <c r="K12" s="8" t="str">
        <f>VLOOKUP($C12,tab_Agências[],9,FALSE)</f>
        <v>(17) 3322-2952</v>
      </c>
      <c r="L12" s="8" t="str">
        <f>VLOOKUP($C12,tab_Agências[],10,FALSE)</f>
        <v>barretos@cetesbnet.sp.gov.br</v>
      </c>
    </row>
    <row r="13" spans="1:12" x14ac:dyDescent="0.25">
      <c r="A13" s="8">
        <v>3501004</v>
      </c>
      <c r="B13" s="8" t="s">
        <v>951</v>
      </c>
      <c r="C13" s="9">
        <v>31</v>
      </c>
      <c r="D13" s="10" t="str">
        <f>VLOOKUP($C13,tab_Agências[],2,FALSE)</f>
        <v>Agência Ambiental de Ribeirão Preto</v>
      </c>
      <c r="E13" s="8" t="str">
        <f>VLOOKUP($C13,tab_Agências[],3,FALSE)</f>
        <v>Avenida Presidente Kennedy, 1760</v>
      </c>
      <c r="F13" s="8" t="str">
        <f>VLOOKUP($C13,tab_Agências[],4,FALSE)</f>
        <v>Ribeirânia</v>
      </c>
      <c r="G13" s="8" t="str">
        <f>VLOOKUP($C13,tab_Agências[],5,FALSE)</f>
        <v>14096-350</v>
      </c>
      <c r="H13" s="8" t="str">
        <f>VLOOKUP($C13,tab_Agências[],6,FALSE)</f>
        <v>Ribeirão Preto</v>
      </c>
      <c r="I13" s="8" t="str">
        <f>VLOOKUP($C13,tab_Agências[],7,FALSE)</f>
        <v>Avenida Presidente Kennedy, 1760 - Ribeirânia, Ribeirão Preto, 14096-350</v>
      </c>
      <c r="J13" s="8" t="str">
        <f>VLOOKUP($C13,tab_Agências[],8,FALSE)</f>
        <v>(16) 3617-4700</v>
      </c>
      <c r="K13" s="8" t="str">
        <f>VLOOKUP($C13,tab_Agências[],9,FALSE)</f>
        <v>(16) 3617-4207</v>
      </c>
      <c r="L13" s="8" t="str">
        <f>VLOOKUP($C13,tab_Agências[],10,FALSE)</f>
        <v>ribeirao@cetesbnet.sp.gov.br</v>
      </c>
    </row>
    <row r="14" spans="1:12" x14ac:dyDescent="0.25">
      <c r="A14" s="8">
        <v>3501103</v>
      </c>
      <c r="B14" s="8" t="s">
        <v>952</v>
      </c>
      <c r="C14" s="9">
        <v>2</v>
      </c>
      <c r="D14" s="10" t="str">
        <f>VLOOKUP($C14,tab_Agências[],2,FALSE)</f>
        <v>Agência Ambiental de Araçatuba</v>
      </c>
      <c r="E14" s="8" t="str">
        <f>VLOOKUP($C14,tab_Agências[],3,FALSE)</f>
        <v>Rua Ten. Alcides Teodoro dos Santos, 260</v>
      </c>
      <c r="F14" s="8" t="str">
        <f>VLOOKUP($C14,tab_Agências[],4,FALSE)</f>
        <v>Aviação</v>
      </c>
      <c r="G14" s="8" t="str">
        <f>VLOOKUP($C14,tab_Agências[],5,FALSE)</f>
        <v>16055-557</v>
      </c>
      <c r="H14" s="8" t="str">
        <f>VLOOKUP($C14,tab_Agências[],6,FALSE)</f>
        <v>Araçatuba</v>
      </c>
      <c r="I14" s="8" t="str">
        <f>VLOOKUP($C14,tab_Agências[],7,FALSE)</f>
        <v>Rua Ten. Alcides Teodoro dos Santos, 260 - Aviação, Araçatuba, 16055-557</v>
      </c>
      <c r="J14" s="8" t="str">
        <f>VLOOKUP($C14,tab_Agências[],8,FALSE)</f>
        <v>(18) 3608-8053</v>
      </c>
      <c r="K14" s="8" t="str">
        <f>VLOOKUP($C14,tab_Agências[],9,FALSE)</f>
        <v>(18) 3608-7197</v>
      </c>
      <c r="L14" s="8" t="str">
        <f>VLOOKUP($C14,tab_Agências[],10,FALSE)</f>
        <v>aracatuba@cetesbnet.sp.gov.br</v>
      </c>
    </row>
    <row r="15" spans="1:12" x14ac:dyDescent="0.25">
      <c r="A15" s="8">
        <v>3501152</v>
      </c>
      <c r="B15" s="8" t="s">
        <v>953</v>
      </c>
      <c r="C15" s="9">
        <v>18</v>
      </c>
      <c r="D15" s="10" t="str">
        <f>VLOOKUP($C15,tab_Agências[],2,FALSE)</f>
        <v>Agência Ambiental de Itu</v>
      </c>
      <c r="E15" s="8" t="str">
        <f>VLOOKUP($C15,tab_Agências[],3,FALSE)</f>
        <v>Rua Santa Rita, 1165</v>
      </c>
      <c r="F15" s="8" t="str">
        <f>VLOOKUP($C15,tab_Agências[],4,FALSE)</f>
        <v>Centro</v>
      </c>
      <c r="G15" s="8" t="str">
        <f>VLOOKUP($C15,tab_Agências[],5,FALSE)</f>
        <v>13300-065</v>
      </c>
      <c r="H15" s="8" t="str">
        <f>VLOOKUP($C15,tab_Agências[],6,FALSE)</f>
        <v>Itu</v>
      </c>
      <c r="I15" s="8" t="str">
        <f>VLOOKUP($C15,tab_Agências[],7,FALSE)</f>
        <v>Rua Santa Rita, 1165 - Centro, Itu, 13300-065</v>
      </c>
      <c r="J15" s="8" t="str">
        <f>VLOOKUP($C15,tab_Agências[],8,FALSE)</f>
        <v>(11) 4013-3419</v>
      </c>
      <c r="K15" s="8" t="str">
        <f>VLOOKUP($C15,tab_Agências[],9,FALSE)</f>
        <v>(11) 4013-3419</v>
      </c>
      <c r="L15" s="8" t="str">
        <f>VLOOKUP($C15,tab_Agências[],10,FALSE)</f>
        <v>itu@cetesbnet.sp.gov.br</v>
      </c>
    </row>
    <row r="16" spans="1:12" x14ac:dyDescent="0.25">
      <c r="A16" s="8">
        <v>3501202</v>
      </c>
      <c r="B16" s="8" t="s">
        <v>954</v>
      </c>
      <c r="C16" s="9">
        <v>41</v>
      </c>
      <c r="D16" s="10" t="str">
        <f>VLOOKUP($C16,tab_Agências[],2,FALSE)</f>
        <v>Agência Ambiental de Votuporanga</v>
      </c>
      <c r="E16" s="8" t="str">
        <f>VLOOKUP($C16,tab_Agências[],3,FALSE)</f>
        <v>Avenida Deputado Aureo Ferreira, 1724</v>
      </c>
      <c r="F16" s="8" t="str">
        <f>VLOOKUP($C16,tab_Agências[],4,FALSE)</f>
        <v>Vila Paes</v>
      </c>
      <c r="G16" s="8" t="str">
        <f>VLOOKUP($C16,tab_Agências[],5,FALSE)</f>
        <v>15500-112</v>
      </c>
      <c r="H16" s="8" t="str">
        <f>VLOOKUP($C16,tab_Agências[],6,FALSE)</f>
        <v>Votuporanga</v>
      </c>
      <c r="I16" s="8" t="str">
        <f>VLOOKUP($C16,tab_Agências[],7,FALSE)</f>
        <v>Avenida Deputado Aureo Ferreira, 1724 - Vila Paes, Votuporanga, 15500-112</v>
      </c>
      <c r="J16" s="8" t="str">
        <f>VLOOKUP($C16,tab_Agências[],8,FALSE)</f>
        <v>(17) 3421-4004</v>
      </c>
      <c r="K16" s="8" t="str">
        <f>VLOOKUP($C16,tab_Agências[],9,FALSE)</f>
        <v>(17) 3421-4004</v>
      </c>
      <c r="L16" s="8" t="str">
        <f>VLOOKUP($C16,tab_Agências[],10,FALSE)</f>
        <v>votuporanga@cetesbnet.sp.gov.br</v>
      </c>
    </row>
    <row r="17" spans="1:12" x14ac:dyDescent="0.25">
      <c r="A17" s="8">
        <v>3501301</v>
      </c>
      <c r="B17" s="8" t="s">
        <v>955</v>
      </c>
      <c r="C17" s="9">
        <v>29</v>
      </c>
      <c r="D17" s="10" t="str">
        <f>VLOOKUP($C17,tab_Agências[],2,FALSE)</f>
        <v>Agência Ambiental de Presidente Prudente</v>
      </c>
      <c r="E17" s="8" t="str">
        <f>VLOOKUP($C17,tab_Agências[],3,FALSE)</f>
        <v>Rua João Gonçalves Foz, 1738</v>
      </c>
      <c r="F17" s="8" t="str">
        <f>VLOOKUP($C17,tab_Agências[],4,FALSE)</f>
        <v>Jardim das Rosas</v>
      </c>
      <c r="G17" s="8" t="str">
        <f>VLOOKUP($C17,tab_Agências[],5,FALSE)</f>
        <v>19060-050</v>
      </c>
      <c r="H17" s="8" t="str">
        <f>VLOOKUP($C17,tab_Agências[],6,FALSE)</f>
        <v>Presidente Prudente</v>
      </c>
      <c r="I17" s="8" t="str">
        <f>VLOOKUP($C17,tab_Agências[],7,FALSE)</f>
        <v>Rua João Gonçalves Foz, 1738 - Jardim das Rosas, Presidente Prudente, 19060-050</v>
      </c>
      <c r="J17" s="8" t="str">
        <f>VLOOKUP($C17,tab_Agências[],8,FALSE)</f>
        <v>(18) 3223-5001</v>
      </c>
      <c r="K17" s="8" t="str">
        <f>VLOOKUP($C17,tab_Agências[],9,FALSE)</f>
        <v xml:space="preserve"> </v>
      </c>
      <c r="L17" s="8" t="str">
        <f>VLOOKUP($C17,tab_Agências[],10,FALSE)</f>
        <v>prudente@cetesbnet.sp.gov.br</v>
      </c>
    </row>
    <row r="18" spans="1:12" x14ac:dyDescent="0.25">
      <c r="A18" s="8">
        <v>3501400</v>
      </c>
      <c r="B18" s="8" t="s">
        <v>956</v>
      </c>
      <c r="C18" s="9">
        <v>23</v>
      </c>
      <c r="D18" s="10" t="str">
        <f>VLOOKUP($C18,tab_Agências[],2,FALSE)</f>
        <v>Agência Ambiental de Marília</v>
      </c>
      <c r="E18" s="8" t="str">
        <f>VLOOKUP($C18,tab_Agências[],3,FALSE)</f>
        <v>Rua Santa Helena, 436</v>
      </c>
      <c r="F18" s="8" t="str">
        <f>VLOOKUP($C18,tab_Agências[],4,FALSE)</f>
        <v>Jardim Alvorada</v>
      </c>
      <c r="G18" s="8" t="str">
        <f>VLOOKUP($C18,tab_Agências[],5,FALSE)</f>
        <v>17513-322</v>
      </c>
      <c r="H18" s="8" t="str">
        <f>VLOOKUP($C18,tab_Agências[],6,FALSE)</f>
        <v>Marília</v>
      </c>
      <c r="I18" s="8" t="str">
        <f>VLOOKUP($C18,tab_Agências[],7,FALSE)</f>
        <v>Rua Santa Helena, 436 - Jardim Alvorada, Marília, 17513-322</v>
      </c>
      <c r="J18" s="8" t="str">
        <f>VLOOKUP($C18,tab_Agências[],8,FALSE)</f>
        <v>(14) 3422-4666</v>
      </c>
      <c r="K18" s="8" t="str">
        <f>VLOOKUP($C18,tab_Agências[],9,FALSE)</f>
        <v>(14) 3422-4666</v>
      </c>
      <c r="L18" s="8" t="str">
        <f>VLOOKUP($C18,tab_Agências[],10,FALSE)</f>
        <v>marilia@cetesbnet.sp.gov.br</v>
      </c>
    </row>
    <row r="19" spans="1:12" x14ac:dyDescent="0.25">
      <c r="A19" s="8">
        <v>3501509</v>
      </c>
      <c r="B19" s="8" t="s">
        <v>957</v>
      </c>
      <c r="C19" s="9">
        <v>23</v>
      </c>
      <c r="D19" s="10" t="str">
        <f>VLOOKUP($C19,tab_Agências[],2,FALSE)</f>
        <v>Agência Ambiental de Marília</v>
      </c>
      <c r="E19" s="8" t="str">
        <f>VLOOKUP($C19,tab_Agências[],3,FALSE)</f>
        <v>Rua Santa Helena, 436</v>
      </c>
      <c r="F19" s="8" t="str">
        <f>VLOOKUP($C19,tab_Agências[],4,FALSE)</f>
        <v>Jardim Alvorada</v>
      </c>
      <c r="G19" s="8" t="str">
        <f>VLOOKUP($C19,tab_Agências[],5,FALSE)</f>
        <v>17513-322</v>
      </c>
      <c r="H19" s="8" t="str">
        <f>VLOOKUP($C19,tab_Agências[],6,FALSE)</f>
        <v>Marília</v>
      </c>
      <c r="I19" s="8" t="str">
        <f>VLOOKUP($C19,tab_Agências[],7,FALSE)</f>
        <v>Rua Santa Helena, 436 - Jardim Alvorada, Marília, 17513-322</v>
      </c>
      <c r="J19" s="8" t="str">
        <f>VLOOKUP($C19,tab_Agências[],8,FALSE)</f>
        <v>(14) 3422-4666</v>
      </c>
      <c r="K19" s="8" t="str">
        <f>VLOOKUP($C19,tab_Agências[],9,FALSE)</f>
        <v>(14) 3422-4666</v>
      </c>
      <c r="L19" s="8" t="str">
        <f>VLOOKUP($C19,tab_Agências[],10,FALSE)</f>
        <v>marilia@cetesbnet.sp.gov.br</v>
      </c>
    </row>
    <row r="20" spans="1:12" x14ac:dyDescent="0.25">
      <c r="A20" s="8">
        <v>3501608</v>
      </c>
      <c r="B20" s="8" t="s">
        <v>958</v>
      </c>
      <c r="C20" s="9">
        <v>1</v>
      </c>
      <c r="D20" s="10" t="str">
        <f>VLOOKUP($C20,tab_Agências[],2,FALSE)</f>
        <v>Agência Ambiental de Americana</v>
      </c>
      <c r="E20" s="8" t="str">
        <f>VLOOKUP($C20,tab_Agências[],3,FALSE)</f>
        <v>Rua Florindo Cibin, 435</v>
      </c>
      <c r="F20" s="8" t="str">
        <f>VLOOKUP($C20,tab_Agências[],4,FALSE)</f>
        <v>Vila Medon</v>
      </c>
      <c r="G20" s="8" t="str">
        <f>VLOOKUP($C20,tab_Agências[],5,FALSE)</f>
        <v>13465-230</v>
      </c>
      <c r="H20" s="8" t="str">
        <f>VLOOKUP($C20,tab_Agências[],6,FALSE)</f>
        <v>Americana</v>
      </c>
      <c r="I20" s="8" t="str">
        <f>VLOOKUP($C20,tab_Agências[],7,FALSE)</f>
        <v>Rua Florindo Cibin, 435 - Vila Medon, Americana, 13465-230</v>
      </c>
      <c r="J20" s="8" t="str">
        <f>VLOOKUP($C20,tab_Agências[],8,FALSE)</f>
        <v>(19) 3461-1550</v>
      </c>
      <c r="K20" s="8" t="str">
        <f>VLOOKUP($C20,tab_Agências[],9,FALSE)</f>
        <v>(19) 3461-1550</v>
      </c>
      <c r="L20" s="8" t="str">
        <f>VLOOKUP($C20,tab_Agências[],10,FALSE)</f>
        <v>americana@cetesbnet.sp.gov.br</v>
      </c>
    </row>
    <row r="21" spans="1:12" x14ac:dyDescent="0.25">
      <c r="A21" s="8">
        <v>3501707</v>
      </c>
      <c r="B21" s="8" t="s">
        <v>959</v>
      </c>
      <c r="C21" s="9">
        <v>3</v>
      </c>
      <c r="D21" s="10" t="str">
        <f>VLOOKUP($C21,tab_Agências[],2,FALSE)</f>
        <v>Agência Ambiental de Araraquara</v>
      </c>
      <c r="E21" s="8" t="str">
        <f>VLOOKUP($C21,tab_Agências[],3,FALSE)</f>
        <v>Avenida Castro Alves, 1271</v>
      </c>
      <c r="F21" s="8" t="str">
        <f>VLOOKUP($C21,tab_Agências[],4,FALSE)</f>
        <v>Carmo</v>
      </c>
      <c r="G21" s="8" t="str">
        <f>VLOOKUP($C21,tab_Agências[],5,FALSE)</f>
        <v>14800-140</v>
      </c>
      <c r="H21" s="8" t="str">
        <f>VLOOKUP($C21,tab_Agências[],6,FALSE)</f>
        <v>Araraquara</v>
      </c>
      <c r="I21" s="8" t="str">
        <f>VLOOKUP($C21,tab_Agências[],7,FALSE)</f>
        <v>Avenida Castro Alves, 1271 - Carmo, Araraquara, 14800-140</v>
      </c>
      <c r="J21" s="8" t="str">
        <f>VLOOKUP($C21,tab_Agências[],8,FALSE)</f>
        <v>(16) 3332-2211</v>
      </c>
      <c r="K21" s="8" t="str">
        <f>VLOOKUP($C21,tab_Agências[],9,FALSE)</f>
        <v>(16) 3332-2211</v>
      </c>
      <c r="L21" s="8" t="str">
        <f>VLOOKUP($C21,tab_Agências[],10,FALSE)</f>
        <v>araraquara@cetesbnet.sp.gov.br</v>
      </c>
    </row>
    <row r="22" spans="1:12" x14ac:dyDescent="0.25">
      <c r="A22" s="8">
        <v>3501806</v>
      </c>
      <c r="B22" s="8" t="s">
        <v>960</v>
      </c>
      <c r="C22" s="9">
        <v>41</v>
      </c>
      <c r="D22" s="10" t="str">
        <f>VLOOKUP($C22,tab_Agências[],2,FALSE)</f>
        <v>Agência Ambiental de Votuporanga</v>
      </c>
      <c r="E22" s="8" t="str">
        <f>VLOOKUP($C22,tab_Agências[],3,FALSE)</f>
        <v>Avenida Deputado Aureo Ferreira, 1724</v>
      </c>
      <c r="F22" s="8" t="str">
        <f>VLOOKUP($C22,tab_Agências[],4,FALSE)</f>
        <v>Vila Paes</v>
      </c>
      <c r="G22" s="8" t="str">
        <f>VLOOKUP($C22,tab_Agências[],5,FALSE)</f>
        <v>15500-112</v>
      </c>
      <c r="H22" s="8" t="str">
        <f>VLOOKUP($C22,tab_Agências[],6,FALSE)</f>
        <v>Votuporanga</v>
      </c>
      <c r="I22" s="8" t="str">
        <f>VLOOKUP($C22,tab_Agências[],7,FALSE)</f>
        <v>Avenida Deputado Aureo Ferreira, 1724 - Vila Paes, Votuporanga, 15500-112</v>
      </c>
      <c r="J22" s="8" t="str">
        <f>VLOOKUP($C22,tab_Agências[],8,FALSE)</f>
        <v>(17) 3421-4004</v>
      </c>
      <c r="K22" s="8" t="str">
        <f>VLOOKUP($C22,tab_Agências[],9,FALSE)</f>
        <v>(17) 3421-4004</v>
      </c>
      <c r="L22" s="8" t="str">
        <f>VLOOKUP($C22,tab_Agências[],10,FALSE)</f>
        <v>votuporanga@cetesbnet.sp.gov.br</v>
      </c>
    </row>
    <row r="23" spans="1:12" x14ac:dyDescent="0.25">
      <c r="A23" s="8">
        <v>3501905</v>
      </c>
      <c r="B23" s="8" t="s">
        <v>961</v>
      </c>
      <c r="C23" s="9">
        <v>27</v>
      </c>
      <c r="D23" s="10" t="str">
        <f>VLOOKUP($C23,tab_Agências[],2,FALSE)</f>
        <v>Agência Ambiental de Paulínia</v>
      </c>
      <c r="E23" s="8" t="str">
        <f>VLOOKUP($C23,tab_Agências[],3,FALSE)</f>
        <v>Rua Angelo Varandas, 550</v>
      </c>
      <c r="F23" s="8" t="str">
        <f>VLOOKUP($C23,tab_Agências[],4,FALSE)</f>
        <v>Jardim Santa Terezinha</v>
      </c>
      <c r="G23" s="8" t="str">
        <f>VLOOKUP($C23,tab_Agências[],5,FALSE)</f>
        <v>13140-802</v>
      </c>
      <c r="H23" s="8" t="str">
        <f>VLOOKUP($C23,tab_Agências[],6,FALSE)</f>
        <v>Paulínia</v>
      </c>
      <c r="I23" s="8" t="str">
        <f>VLOOKUP($C23,tab_Agências[],7,FALSE)</f>
        <v>Rua Angelo Varandas, 550 - Jardim Santa Terezinha, Paulínia, 13140-802</v>
      </c>
      <c r="J23" s="8" t="str">
        <f>VLOOKUP($C23,tab_Agências[],8,FALSE)</f>
        <v>(19) 3844-0466</v>
      </c>
      <c r="K23" s="8" t="str">
        <f>VLOOKUP($C23,tab_Agências[],9,FALSE)</f>
        <v>(19) 3844-0466</v>
      </c>
      <c r="L23" s="8" t="str">
        <f>VLOOKUP($C23,tab_Agências[],10,FALSE)</f>
        <v>paulinia@cetesbnet.sp.gov.br</v>
      </c>
    </row>
    <row r="24" spans="1:12" x14ac:dyDescent="0.25">
      <c r="A24" s="8">
        <v>3502002</v>
      </c>
      <c r="B24" s="8" t="s">
        <v>962</v>
      </c>
      <c r="C24" s="9">
        <v>28</v>
      </c>
      <c r="D24" s="10" t="str">
        <f>VLOOKUP($C24,tab_Agências[],2,FALSE)</f>
        <v>Agência Ambiental de Piracicaba</v>
      </c>
      <c r="E24" s="8" t="str">
        <f>VLOOKUP($C24,tab_Agências[],3,FALSE)</f>
        <v>Rua do Rosário, 566</v>
      </c>
      <c r="F24" s="8" t="str">
        <f>VLOOKUP($C24,tab_Agências[],4,FALSE)</f>
        <v>Centro</v>
      </c>
      <c r="G24" s="8" t="str">
        <f>VLOOKUP($C24,tab_Agências[],5,FALSE)</f>
        <v>13400-183</v>
      </c>
      <c r="H24" s="8" t="str">
        <f>VLOOKUP($C24,tab_Agências[],6,FALSE)</f>
        <v>Piracicaba</v>
      </c>
      <c r="I24" s="8" t="str">
        <f>VLOOKUP($C24,tab_Agências[],7,FALSE)</f>
        <v>Rua do Rosário, 566 - Centro, Piracicaba, 13400-183</v>
      </c>
      <c r="J24" s="8" t="str">
        <f>VLOOKUP($C24,tab_Agências[],8,FALSE)</f>
        <v>(19) 3402-6863</v>
      </c>
      <c r="K24" s="8" t="str">
        <f>VLOOKUP($C24,tab_Agências[],9,FALSE)</f>
        <v>(19) 3402-6863</v>
      </c>
      <c r="L24" s="8" t="str">
        <f>VLOOKUP($C24,tab_Agências[],10,FALSE)</f>
        <v>piracicaba@cetesbnet.sp.gov.br</v>
      </c>
    </row>
    <row r="25" spans="1:12" x14ac:dyDescent="0.25">
      <c r="A25" s="8">
        <v>3502101</v>
      </c>
      <c r="B25" s="8" t="s">
        <v>963</v>
      </c>
      <c r="C25" s="9">
        <v>13</v>
      </c>
      <c r="D25" s="10" t="str">
        <f>VLOOKUP($C25,tab_Agências[],2,FALSE)</f>
        <v>Agência Ambiental de Dracena</v>
      </c>
      <c r="E25" s="8" t="str">
        <f>VLOOKUP($C25,tab_Agências[],3,FALSE)</f>
        <v>Rua Tomé de Souza, 438</v>
      </c>
      <c r="F25" s="8" t="str">
        <f>VLOOKUP($C25,tab_Agências[],4,FALSE)</f>
        <v>Centro</v>
      </c>
      <c r="G25" s="8" t="str">
        <f>VLOOKUP($C25,tab_Agências[],5,FALSE)</f>
        <v>17900-000</v>
      </c>
      <c r="H25" s="8" t="str">
        <f>VLOOKUP($C25,tab_Agências[],6,FALSE)</f>
        <v>Dracena</v>
      </c>
      <c r="I25" s="8" t="str">
        <f>VLOOKUP($C25,tab_Agências[],7,FALSE)</f>
        <v>Rua Tomé de Souza, 438 - Centro, Dracena, 17900-000</v>
      </c>
      <c r="J25" s="8" t="str">
        <f>VLOOKUP($C25,tab_Agências[],8,FALSE)</f>
        <v>(18) 3822-3166</v>
      </c>
      <c r="K25" s="8" t="str">
        <f>VLOOKUP($C25,tab_Agências[],9,FALSE)</f>
        <v>(18) 3822-3166</v>
      </c>
      <c r="L25" s="8" t="str">
        <f>VLOOKUP($C25,tab_Agências[],10,FALSE)</f>
        <v>dracena@cetesbnet.sp.gov.br</v>
      </c>
    </row>
    <row r="26" spans="1:12" x14ac:dyDescent="0.25">
      <c r="A26" s="8">
        <v>3502200</v>
      </c>
      <c r="B26" s="8" t="s">
        <v>964</v>
      </c>
      <c r="C26" s="9">
        <v>17</v>
      </c>
      <c r="D26" s="10" t="str">
        <f>VLOOKUP($C26,tab_Agências[],2,FALSE)</f>
        <v>Agência Ambiental de Itapetininga</v>
      </c>
      <c r="E26" s="8" t="str">
        <f>VLOOKUP($C26,tab_Agências[],3,FALSE)</f>
        <v>Rua General Carneiro, 196</v>
      </c>
      <c r="F26" s="8" t="str">
        <f>VLOOKUP($C26,tab_Agências[],4,FALSE)</f>
        <v>Centro</v>
      </c>
      <c r="G26" s="8" t="str">
        <f>VLOOKUP($C26,tab_Agências[],5,FALSE)</f>
        <v>18200-024</v>
      </c>
      <c r="H26" s="8" t="str">
        <f>VLOOKUP($C26,tab_Agências[],6,FALSE)</f>
        <v>Itapetininga</v>
      </c>
      <c r="I26" s="8" t="str">
        <f>VLOOKUP($C26,tab_Agências[],7,FALSE)</f>
        <v>Rua General Carneiro, 196 - Centro, Itapetininga, 18200-024</v>
      </c>
      <c r="J26" s="8" t="str">
        <f>VLOOKUP($C26,tab_Agências[],8,FALSE)</f>
        <v>(15) 3272-2888</v>
      </c>
      <c r="K26" s="8" t="str">
        <f>VLOOKUP($C26,tab_Agências[],9,FALSE)</f>
        <v>(15) 3272-2891</v>
      </c>
      <c r="L26" s="8" t="str">
        <f>VLOOKUP($C26,tab_Agências[],10,FALSE)</f>
        <v>itapetininga@cetesbnet.sp.gov.br</v>
      </c>
    </row>
    <row r="27" spans="1:12" x14ac:dyDescent="0.25">
      <c r="A27" s="8">
        <v>3502309</v>
      </c>
      <c r="B27" s="8" t="s">
        <v>965</v>
      </c>
      <c r="C27" s="9">
        <v>9</v>
      </c>
      <c r="D27" s="10" t="str">
        <f>VLOOKUP($C27,tab_Agências[],2,FALSE)</f>
        <v>Agência Ambiental de Botucatu</v>
      </c>
      <c r="E27" s="8" t="str">
        <f>VLOOKUP($C27,tab_Agências[],3,FALSE)</f>
        <v>Rua João Morato da Conceição, 525</v>
      </c>
      <c r="F27" s="8" t="str">
        <f>VLOOKUP($C27,tab_Agências[],4,FALSE)</f>
        <v>Vila Maria</v>
      </c>
      <c r="G27" s="8" t="str">
        <f>VLOOKUP($C27,tab_Agências[],5,FALSE)</f>
        <v>18611-358</v>
      </c>
      <c r="H27" s="8" t="str">
        <f>VLOOKUP($C27,tab_Agências[],6,FALSE)</f>
        <v>Botucatu</v>
      </c>
      <c r="I27" s="8" t="str">
        <f>VLOOKUP($C27,tab_Agências[],7,FALSE)</f>
        <v>Rua João Morato da Conceição, 525 - Vila Maria, Botucatu, 18611-358</v>
      </c>
      <c r="J27" s="8" t="str">
        <f>VLOOKUP($C27,tab_Agências[],8,FALSE)</f>
        <v>(14) 3882-1134</v>
      </c>
      <c r="K27" s="8" t="str">
        <f>VLOOKUP($C27,tab_Agências[],9,FALSE)</f>
        <v>(14) 3882-1134</v>
      </c>
      <c r="L27" s="8" t="str">
        <f>VLOOKUP($C27,tab_Agências[],10,FALSE)</f>
        <v>botucatu@cetesbnet.sp.gov.br</v>
      </c>
    </row>
    <row r="28" spans="1:12" x14ac:dyDescent="0.25">
      <c r="A28" s="8">
        <v>3502408</v>
      </c>
      <c r="B28" s="8" t="s">
        <v>966</v>
      </c>
      <c r="C28" s="9">
        <v>29</v>
      </c>
      <c r="D28" s="10" t="str">
        <f>VLOOKUP($C28,tab_Agências[],2,FALSE)</f>
        <v>Agência Ambiental de Presidente Prudente</v>
      </c>
      <c r="E28" s="8" t="str">
        <f>VLOOKUP($C28,tab_Agências[],3,FALSE)</f>
        <v>Rua João Gonçalves Foz, 1738</v>
      </c>
      <c r="F28" s="8" t="str">
        <f>VLOOKUP($C28,tab_Agências[],4,FALSE)</f>
        <v>Jardim das Rosas</v>
      </c>
      <c r="G28" s="8" t="str">
        <f>VLOOKUP($C28,tab_Agências[],5,FALSE)</f>
        <v>19060-050</v>
      </c>
      <c r="H28" s="8" t="str">
        <f>VLOOKUP($C28,tab_Agências[],6,FALSE)</f>
        <v>Presidente Prudente</v>
      </c>
      <c r="I28" s="8" t="str">
        <f>VLOOKUP($C28,tab_Agências[],7,FALSE)</f>
        <v>Rua João Gonçalves Foz, 1738 - Jardim das Rosas, Presidente Prudente, 19060-050</v>
      </c>
      <c r="J28" s="8" t="str">
        <f>VLOOKUP($C28,tab_Agências[],8,FALSE)</f>
        <v>(18) 3223-5001</v>
      </c>
      <c r="K28" s="8" t="str">
        <f>VLOOKUP($C28,tab_Agências[],9,FALSE)</f>
        <v xml:space="preserve"> </v>
      </c>
      <c r="L28" s="8" t="str">
        <f>VLOOKUP($C28,tab_Agências[],10,FALSE)</f>
        <v>prudente@cetesbnet.sp.gov.br</v>
      </c>
    </row>
    <row r="29" spans="1:12" x14ac:dyDescent="0.25">
      <c r="A29" s="8">
        <v>3502507</v>
      </c>
      <c r="B29" s="8" t="s">
        <v>967</v>
      </c>
      <c r="C29" s="9">
        <v>40</v>
      </c>
      <c r="D29" s="10" t="str">
        <f>VLOOKUP($C29,tab_Agências[],2,FALSE)</f>
        <v>Agência Ambiental de Taubaté</v>
      </c>
      <c r="E29" s="8" t="str">
        <f>VLOOKUP($C29,tab_Agências[],3,FALSE)</f>
        <v>Avenida Itambé, 38</v>
      </c>
      <c r="F29" s="8" t="str">
        <f>VLOOKUP($C29,tab_Agências[],4,FALSE)</f>
        <v>Sta. Luzia</v>
      </c>
      <c r="G29" s="8" t="str">
        <f>VLOOKUP($C29,tab_Agências[],5,FALSE)</f>
        <v>12091-200</v>
      </c>
      <c r="H29" s="8" t="str">
        <f>VLOOKUP($C29,tab_Agências[],6,FALSE)</f>
        <v>Taubaté</v>
      </c>
      <c r="I29" s="8" t="str">
        <f>VLOOKUP($C29,tab_Agências[],7,FALSE)</f>
        <v>Avenida Itambé, 38 - Sta. Luzia, Taubaté, 12091-200</v>
      </c>
      <c r="J29" s="8" t="str">
        <f>VLOOKUP($C29,tab_Agências[],8,FALSE)</f>
        <v>(12) 3634-8222</v>
      </c>
      <c r="K29" s="8" t="str">
        <f>VLOOKUP($C29,tab_Agências[],9,FALSE)</f>
        <v>(12) 3634-8234</v>
      </c>
      <c r="L29" s="8" t="str">
        <f>VLOOKUP($C29,tab_Agências[],10,FALSE)</f>
        <v>taubate@cetesbnet.sp.gov.br</v>
      </c>
    </row>
    <row r="30" spans="1:12" x14ac:dyDescent="0.25">
      <c r="A30" s="8">
        <v>3502606</v>
      </c>
      <c r="B30" s="8" t="s">
        <v>968</v>
      </c>
      <c r="C30" s="9">
        <v>20</v>
      </c>
      <c r="D30" s="10" t="str">
        <f>VLOOKUP($C30,tab_Agências[],2,FALSE)</f>
        <v>Agência Ambiental de Jales</v>
      </c>
      <c r="E30" s="8" t="str">
        <f>VLOOKUP($C30,tab_Agências[],3,FALSE)</f>
        <v>Rua Nova Iorque, 1016</v>
      </c>
      <c r="F30" s="8" t="str">
        <f>VLOOKUP($C30,tab_Agências[],4,FALSE)</f>
        <v>Jardim Monte Rrey</v>
      </c>
      <c r="G30" s="8" t="str">
        <f>VLOOKUP($C30,tab_Agências[],5,FALSE)</f>
        <v>15703-326</v>
      </c>
      <c r="H30" s="8" t="str">
        <f>VLOOKUP($C30,tab_Agências[],6,FALSE)</f>
        <v>Jales</v>
      </c>
      <c r="I30" s="8" t="str">
        <f>VLOOKUP($C30,tab_Agências[],7,FALSE)</f>
        <v>Rua Nova Iorque, 1016 - Jardim Monte Rrey, Jales, 15703-326</v>
      </c>
      <c r="J30" s="8" t="str">
        <f>VLOOKUP($C30,tab_Agências[],8,FALSE)</f>
        <v>(17) 3621-1042</v>
      </c>
      <c r="K30" s="8" t="str">
        <f>VLOOKUP($C30,tab_Agências[],9,FALSE)</f>
        <v>(17) 3621-1042</v>
      </c>
      <c r="L30" s="8" t="str">
        <f>VLOOKUP($C30,tab_Agências[],10,FALSE)</f>
        <v>jales@cetesbnet.sp.gov.br</v>
      </c>
    </row>
    <row r="31" spans="1:12" x14ac:dyDescent="0.25">
      <c r="A31" s="8">
        <v>3502705</v>
      </c>
      <c r="B31" s="8" t="s">
        <v>969</v>
      </c>
      <c r="C31" s="9">
        <v>11</v>
      </c>
      <c r="D31" s="10" t="str">
        <f>VLOOKUP($C31,tab_Agências[],2,FALSE)</f>
        <v>Agência Ambiental de Capão Bonito</v>
      </c>
      <c r="E31" s="8" t="str">
        <f>VLOOKUP($C31,tab_Agências[],3,FALSE)</f>
        <v>Rua Denise, 131</v>
      </c>
      <c r="F31" s="8" t="str">
        <f>VLOOKUP($C31,tab_Agências[],4,FALSE)</f>
        <v>Terras de Imbirucu</v>
      </c>
      <c r="G31" s="8" t="str">
        <f>VLOOKUP($C31,tab_Agências[],5,FALSE)</f>
        <v>18304-700</v>
      </c>
      <c r="H31" s="8" t="str">
        <f>VLOOKUP($C31,tab_Agências[],6,FALSE)</f>
        <v>Capão Bonito</v>
      </c>
      <c r="I31" s="8" t="str">
        <f>VLOOKUP($C31,tab_Agências[],7,FALSE)</f>
        <v>Rua Denise, 131 - Terras de Imbirucu, Capão Bonito, 18304-700</v>
      </c>
      <c r="J31" s="8" t="str">
        <f>VLOOKUP($C31,tab_Agências[],8,FALSE)</f>
        <v>(15) 3542-3885</v>
      </c>
      <c r="K31" s="8" t="str">
        <f>VLOOKUP($C31,tab_Agências[],9,FALSE)</f>
        <v>(15) 3542-3885</v>
      </c>
      <c r="L31" s="8" t="str">
        <f>VLOOKUP($C31,tab_Agências[],10,FALSE)</f>
        <v>capaobonito@cetesbnet.sp.gov.br</v>
      </c>
    </row>
    <row r="32" spans="1:12" x14ac:dyDescent="0.25">
      <c r="A32" s="8">
        <v>3502754</v>
      </c>
      <c r="B32" s="8" t="s">
        <v>970</v>
      </c>
      <c r="C32" s="9">
        <v>18</v>
      </c>
      <c r="D32" s="10" t="str">
        <f>VLOOKUP($C32,tab_Agências[],2,FALSE)</f>
        <v>Agência Ambiental de Itu</v>
      </c>
      <c r="E32" s="8" t="str">
        <f>VLOOKUP($C32,tab_Agências[],3,FALSE)</f>
        <v>Rua Santa Rita, 1165</v>
      </c>
      <c r="F32" s="8" t="str">
        <f>VLOOKUP($C32,tab_Agências[],4,FALSE)</f>
        <v>Centro</v>
      </c>
      <c r="G32" s="8" t="str">
        <f>VLOOKUP($C32,tab_Agências[],5,FALSE)</f>
        <v>13300-065</v>
      </c>
      <c r="H32" s="8" t="str">
        <f>VLOOKUP($C32,tab_Agências[],6,FALSE)</f>
        <v>Itu</v>
      </c>
      <c r="I32" s="8" t="str">
        <f>VLOOKUP($C32,tab_Agências[],7,FALSE)</f>
        <v>Rua Santa Rita, 1165 - Centro, Itu, 13300-065</v>
      </c>
      <c r="J32" s="8" t="str">
        <f>VLOOKUP($C32,tab_Agências[],8,FALSE)</f>
        <v>(11) 4013-3419</v>
      </c>
      <c r="K32" s="8" t="str">
        <f>VLOOKUP($C32,tab_Agências[],9,FALSE)</f>
        <v>(11) 4013-3419</v>
      </c>
      <c r="L32" s="8" t="str">
        <f>VLOOKUP($C32,tab_Agências[],10,FALSE)</f>
        <v>itu@cetesbnet.sp.gov.br</v>
      </c>
    </row>
    <row r="33" spans="1:12" x14ac:dyDescent="0.25">
      <c r="A33" s="8">
        <v>3502804</v>
      </c>
      <c r="B33" s="8" t="s">
        <v>971</v>
      </c>
      <c r="C33" s="9">
        <v>2</v>
      </c>
      <c r="D33" s="10" t="str">
        <f>VLOOKUP($C33,tab_Agências[],2,FALSE)</f>
        <v>Agência Ambiental de Araçatuba</v>
      </c>
      <c r="E33" s="8" t="str">
        <f>VLOOKUP($C33,tab_Agências[],3,FALSE)</f>
        <v>Rua Ten. Alcides Teodoro dos Santos, 260</v>
      </c>
      <c r="F33" s="8" t="str">
        <f>VLOOKUP($C33,tab_Agências[],4,FALSE)</f>
        <v>Aviação</v>
      </c>
      <c r="G33" s="8" t="str">
        <f>VLOOKUP($C33,tab_Agências[],5,FALSE)</f>
        <v>16055-557</v>
      </c>
      <c r="H33" s="8" t="str">
        <f>VLOOKUP($C33,tab_Agências[],6,FALSE)</f>
        <v>Araçatuba</v>
      </c>
      <c r="I33" s="8" t="str">
        <f>VLOOKUP($C33,tab_Agências[],7,FALSE)</f>
        <v>Rua Ten. Alcides Teodoro dos Santos, 260 - Aviação, Araçatuba, 16055-557</v>
      </c>
      <c r="J33" s="8" t="str">
        <f>VLOOKUP($C33,tab_Agências[],8,FALSE)</f>
        <v>(18) 3608-8053</v>
      </c>
      <c r="K33" s="8" t="str">
        <f>VLOOKUP($C33,tab_Agências[],9,FALSE)</f>
        <v>(18) 3608-7197</v>
      </c>
      <c r="L33" s="8" t="str">
        <f>VLOOKUP($C33,tab_Agências[],10,FALSE)</f>
        <v>aracatuba@cetesbnet.sp.gov.br</v>
      </c>
    </row>
    <row r="34" spans="1:12" x14ac:dyDescent="0.25">
      <c r="A34" s="8">
        <v>3502903</v>
      </c>
      <c r="B34" s="8" t="s">
        <v>972</v>
      </c>
      <c r="C34" s="9">
        <v>39</v>
      </c>
      <c r="D34" s="10" t="str">
        <f>VLOOKUP($C34,tab_Agências[],2,FALSE)</f>
        <v>Agência Ambiental de Sorocaba</v>
      </c>
      <c r="E34" s="8" t="str">
        <f>VLOOKUP($C34,tab_Agências[],3,FALSE)</f>
        <v>Avenida Américo de Carvalho, 820</v>
      </c>
      <c r="F34" s="8" t="str">
        <f>VLOOKUP($C34,tab_Agências[],4,FALSE)</f>
        <v>Jardim Europa</v>
      </c>
      <c r="G34" s="8" t="str">
        <f>VLOOKUP($C34,tab_Agências[],5,FALSE)</f>
        <v>18045-000</v>
      </c>
      <c r="H34" s="8" t="str">
        <f>VLOOKUP($C34,tab_Agências[],6,FALSE)</f>
        <v>Sorocaba</v>
      </c>
      <c r="I34" s="8" t="str">
        <f>VLOOKUP($C34,tab_Agências[],7,FALSE)</f>
        <v>Avenida Américo de Carvalho, 820 - Jardim Europa, Sorocaba, 18045-000</v>
      </c>
      <c r="J34" s="8" t="str">
        <f>VLOOKUP($C34,tab_Agências[],8,FALSE)</f>
        <v>(15) 3222-2065</v>
      </c>
      <c r="K34" s="8" t="str">
        <f>VLOOKUP($C34,tab_Agências[],9,FALSE)</f>
        <v>(15) 3222-2065</v>
      </c>
      <c r="L34" s="8" t="str">
        <f>VLOOKUP($C34,tab_Agências[],10,FALSE)</f>
        <v>sorocaba@cetesbnet.sp.gov.br</v>
      </c>
    </row>
    <row r="35" spans="1:12" x14ac:dyDescent="0.25">
      <c r="A35" s="8">
        <v>3503000</v>
      </c>
      <c r="B35" s="8" t="s">
        <v>973</v>
      </c>
      <c r="C35" s="9">
        <v>15</v>
      </c>
      <c r="D35" s="10" t="str">
        <f>VLOOKUP($C35,tab_Agências[],2,FALSE)</f>
        <v>Agência Ambiental de Franca</v>
      </c>
      <c r="E35" s="8" t="str">
        <f>VLOOKUP($C35,tab_Agências[],3,FALSE)</f>
        <v>Avenida Dr. Flávio Rocha, 4551</v>
      </c>
      <c r="F35" s="8" t="str">
        <f>VLOOKUP($C35,tab_Agências[],4,FALSE)</f>
        <v>Parque dos Pinhais</v>
      </c>
      <c r="G35" s="8" t="str">
        <f>VLOOKUP($C35,tab_Agências[],5,FALSE)</f>
        <v>14405-600</v>
      </c>
      <c r="H35" s="8" t="str">
        <f>VLOOKUP($C35,tab_Agências[],6,FALSE)</f>
        <v>Franca</v>
      </c>
      <c r="I35" s="8" t="str">
        <f>VLOOKUP($C35,tab_Agências[],7,FALSE)</f>
        <v>Avenida Dr. Flávio Rocha, 4551 - Parque dos Pinhais, Franca, 14405-600</v>
      </c>
      <c r="J35" s="8" t="str">
        <f>VLOOKUP($C35,tab_Agências[],8,FALSE)</f>
        <v>(16) 3724-5922</v>
      </c>
      <c r="K35" s="8" t="str">
        <f>VLOOKUP($C35,tab_Agências[],9,FALSE)</f>
        <v>(16) 3724-5922</v>
      </c>
      <c r="L35" s="8" t="str">
        <f>VLOOKUP($C35,tab_Agências[],10,FALSE)</f>
        <v>franca@cetesbnet.sp.gov.br</v>
      </c>
    </row>
    <row r="36" spans="1:12" x14ac:dyDescent="0.25">
      <c r="A36" s="8">
        <v>3503109</v>
      </c>
      <c r="B36" s="8" t="s">
        <v>974</v>
      </c>
      <c r="C36" s="9">
        <v>6</v>
      </c>
      <c r="D36" s="10" t="str">
        <f>VLOOKUP($C36,tab_Agências[],2,FALSE)</f>
        <v>Agência Ambiental de Avaré</v>
      </c>
      <c r="E36" s="8" t="str">
        <f>VLOOKUP($C36,tab_Agências[],3,FALSE)</f>
        <v>Avenida Governador Mário Covas, 525</v>
      </c>
      <c r="F36" s="8" t="str">
        <f>VLOOKUP($C36,tab_Agências[],4,FALSE)</f>
        <v>Vila Industrial</v>
      </c>
      <c r="G36" s="8" t="str">
        <f>VLOOKUP($C36,tab_Agências[],5,FALSE)</f>
        <v>18705-851</v>
      </c>
      <c r="H36" s="8" t="str">
        <f>VLOOKUP($C36,tab_Agências[],6,FALSE)</f>
        <v>Avaré</v>
      </c>
      <c r="I36" s="8" t="str">
        <f>VLOOKUP($C36,tab_Agências[],7,FALSE)</f>
        <v>Avenida Governador Mário Covas, 525 - Vila Industrial, Avaré, 18705-851</v>
      </c>
      <c r="J36" s="8" t="str">
        <f>VLOOKUP($C36,tab_Agências[],8,FALSE)</f>
        <v>(14) 3732-4900</v>
      </c>
      <c r="K36" s="8" t="str">
        <f>VLOOKUP($C36,tab_Agências[],9,FALSE)</f>
        <v xml:space="preserve"> </v>
      </c>
      <c r="L36" s="8" t="str">
        <f>VLOOKUP($C36,tab_Agências[],10,FALSE)</f>
        <v>avare@cetesbnet.sp.gov.br</v>
      </c>
    </row>
    <row r="37" spans="1:12" x14ac:dyDescent="0.25">
      <c r="A37" s="8">
        <v>3503158</v>
      </c>
      <c r="B37" s="8" t="s">
        <v>975</v>
      </c>
      <c r="C37" s="9">
        <v>40</v>
      </c>
      <c r="D37" s="10" t="str">
        <f>VLOOKUP($C37,tab_Agências[],2,FALSE)</f>
        <v>Agência Ambiental de Taubaté</v>
      </c>
      <c r="E37" s="8" t="str">
        <f>VLOOKUP($C37,tab_Agências[],3,FALSE)</f>
        <v>Avenida Itambé, 38</v>
      </c>
      <c r="F37" s="8" t="str">
        <f>VLOOKUP($C37,tab_Agências[],4,FALSE)</f>
        <v>Sta. Luzia</v>
      </c>
      <c r="G37" s="8" t="str">
        <f>VLOOKUP($C37,tab_Agências[],5,FALSE)</f>
        <v>12091-200</v>
      </c>
      <c r="H37" s="8" t="str">
        <f>VLOOKUP($C37,tab_Agências[],6,FALSE)</f>
        <v>Taubaté</v>
      </c>
      <c r="I37" s="8" t="str">
        <f>VLOOKUP($C37,tab_Agências[],7,FALSE)</f>
        <v>Avenida Itambé, 38 - Sta. Luzia, Taubaté, 12091-200</v>
      </c>
      <c r="J37" s="8" t="str">
        <f>VLOOKUP($C37,tab_Agências[],8,FALSE)</f>
        <v>(12) 3634-8222</v>
      </c>
      <c r="K37" s="8" t="str">
        <f>VLOOKUP($C37,tab_Agências[],9,FALSE)</f>
        <v>(12) 3634-8234</v>
      </c>
      <c r="L37" s="8" t="str">
        <f>VLOOKUP($C37,tab_Agências[],10,FALSE)</f>
        <v>taubate@cetesbnet.sp.gov.br</v>
      </c>
    </row>
    <row r="38" spans="1:12" x14ac:dyDescent="0.25">
      <c r="A38" s="8">
        <v>3503208</v>
      </c>
      <c r="B38" s="8" t="s">
        <v>976</v>
      </c>
      <c r="C38" s="9">
        <v>3</v>
      </c>
      <c r="D38" s="10" t="str">
        <f>VLOOKUP($C38,tab_Agências[],2,FALSE)</f>
        <v>Agência Ambiental de Araraquara</v>
      </c>
      <c r="E38" s="8" t="str">
        <f>VLOOKUP($C38,tab_Agências[],3,FALSE)</f>
        <v>Avenida Castro Alves, 1271</v>
      </c>
      <c r="F38" s="8" t="str">
        <f>VLOOKUP($C38,tab_Agências[],4,FALSE)</f>
        <v>Carmo</v>
      </c>
      <c r="G38" s="8" t="str">
        <f>VLOOKUP($C38,tab_Agências[],5,FALSE)</f>
        <v>14800-140</v>
      </c>
      <c r="H38" s="8" t="str">
        <f>VLOOKUP($C38,tab_Agências[],6,FALSE)</f>
        <v>Araraquara</v>
      </c>
      <c r="I38" s="8" t="str">
        <f>VLOOKUP($C38,tab_Agências[],7,FALSE)</f>
        <v>Avenida Castro Alves, 1271 - Carmo, Araraquara, 14800-140</v>
      </c>
      <c r="J38" s="8" t="str">
        <f>VLOOKUP($C38,tab_Agências[],8,FALSE)</f>
        <v>(16) 3332-2211</v>
      </c>
      <c r="K38" s="8" t="str">
        <f>VLOOKUP($C38,tab_Agências[],9,FALSE)</f>
        <v>(16) 3332-2211</v>
      </c>
      <c r="L38" s="8" t="str">
        <f>VLOOKUP($C38,tab_Agências[],10,FALSE)</f>
        <v>araraquara@cetesbnet.sp.gov.br</v>
      </c>
    </row>
    <row r="39" spans="1:12" x14ac:dyDescent="0.25">
      <c r="A39" s="8">
        <v>3503307</v>
      </c>
      <c r="B39" s="8" t="s">
        <v>977</v>
      </c>
      <c r="C39" s="9">
        <v>25</v>
      </c>
      <c r="D39" s="10" t="str">
        <f>VLOOKUP($C39,tab_Agências[],2,FALSE)</f>
        <v>Agência Ambiental de Mogi Guaçu</v>
      </c>
      <c r="E39" s="8" t="str">
        <f>VLOOKUP($C39,tab_Agências[],3,FALSE)</f>
        <v>Rua Hugo Pancieira, 400</v>
      </c>
      <c r="F39" s="8" t="str">
        <f>VLOOKUP($C39,tab_Agências[],4,FALSE)</f>
        <v>Pedregulhal</v>
      </c>
      <c r="G39" s="8" t="str">
        <f>VLOOKUP($C39,tab_Agências[],5,FALSE)</f>
        <v>13845-190</v>
      </c>
      <c r="H39" s="8" t="str">
        <f>VLOOKUP($C39,tab_Agências[],6,FALSE)</f>
        <v>Mogi Guaçu</v>
      </c>
      <c r="I39" s="8" t="str">
        <f>VLOOKUP($C39,tab_Agências[],7,FALSE)</f>
        <v>Rua Hugo Pancieira, 400 - Pedregulhal, Mogi Guaçu, 13845-190</v>
      </c>
      <c r="J39" s="8" t="str">
        <f>VLOOKUP($C39,tab_Agências[],8,FALSE)</f>
        <v>(19) 3818-0396</v>
      </c>
      <c r="K39" s="8" t="str">
        <f>VLOOKUP($C39,tab_Agências[],9,FALSE)</f>
        <v>(19) 3818-0396</v>
      </c>
      <c r="L39" s="8" t="str">
        <f>VLOOKUP($C39,tab_Agências[],10,FALSE)</f>
        <v>mogiguacu@cetesbnet.sp.gov.br</v>
      </c>
    </row>
    <row r="40" spans="1:12" x14ac:dyDescent="0.25">
      <c r="A40" s="8">
        <v>3503356</v>
      </c>
      <c r="B40" s="8" t="s">
        <v>978</v>
      </c>
      <c r="C40" s="9">
        <v>23</v>
      </c>
      <c r="D40" s="10" t="str">
        <f>VLOOKUP($C40,tab_Agências[],2,FALSE)</f>
        <v>Agência Ambiental de Marília</v>
      </c>
      <c r="E40" s="8" t="str">
        <f>VLOOKUP($C40,tab_Agências[],3,FALSE)</f>
        <v>Rua Santa Helena, 436</v>
      </c>
      <c r="F40" s="8" t="str">
        <f>VLOOKUP($C40,tab_Agências[],4,FALSE)</f>
        <v>Jardim Alvorada</v>
      </c>
      <c r="G40" s="8" t="str">
        <f>VLOOKUP($C40,tab_Agências[],5,FALSE)</f>
        <v>17513-322</v>
      </c>
      <c r="H40" s="8" t="str">
        <f>VLOOKUP($C40,tab_Agências[],6,FALSE)</f>
        <v>Marília</v>
      </c>
      <c r="I40" s="8" t="str">
        <f>VLOOKUP($C40,tab_Agências[],7,FALSE)</f>
        <v>Rua Santa Helena, 436 - Jardim Alvorada, Marília, 17513-322</v>
      </c>
      <c r="J40" s="8" t="str">
        <f>VLOOKUP($C40,tab_Agências[],8,FALSE)</f>
        <v>(14) 3422-4666</v>
      </c>
      <c r="K40" s="8" t="str">
        <f>VLOOKUP($C40,tab_Agências[],9,FALSE)</f>
        <v>(14) 3422-4666</v>
      </c>
      <c r="L40" s="8" t="str">
        <f>VLOOKUP($C40,tab_Agências[],10,FALSE)</f>
        <v>marilia@cetesbnet.sp.gov.br</v>
      </c>
    </row>
    <row r="41" spans="1:12" x14ac:dyDescent="0.25">
      <c r="A41" s="8">
        <v>3503406</v>
      </c>
      <c r="B41" s="8" t="s">
        <v>979</v>
      </c>
      <c r="C41" s="9">
        <v>8</v>
      </c>
      <c r="D41" s="10" t="str">
        <f>VLOOKUP($C41,tab_Agências[],2,FALSE)</f>
        <v>Agência Ambiental de Bauru</v>
      </c>
      <c r="E41" s="8" t="str">
        <f>VLOOKUP($C41,tab_Agências[],3,FALSE)</f>
        <v>Avenida Rodrigues Alves, 138</v>
      </c>
      <c r="F41" s="8" t="str">
        <f>VLOOKUP($C41,tab_Agências[],4,FALSE)</f>
        <v>Vila Coralina</v>
      </c>
      <c r="G41" s="8" t="str">
        <f>VLOOKUP($C41,tab_Agências[],5,FALSE)</f>
        <v>17030-000</v>
      </c>
      <c r="H41" s="8" t="str">
        <f>VLOOKUP($C41,tab_Agências[],6,FALSE)</f>
        <v>Bauru</v>
      </c>
      <c r="I41" s="8" t="str">
        <f>VLOOKUP($C41,tab_Agências[],7,FALSE)</f>
        <v>Avenida Rodrigues Alves, 138 - Vila Coralina, Bauru, 17030-000</v>
      </c>
      <c r="J41" s="8" t="str">
        <f>VLOOKUP($C41,tab_Agências[],8,FALSE)</f>
        <v>(14) 3203-2058</v>
      </c>
      <c r="K41" s="8" t="str">
        <f>VLOOKUP($C41,tab_Agências[],9,FALSE)</f>
        <v>(14) 3203-2344</v>
      </c>
      <c r="L41" s="8" t="str">
        <f>VLOOKUP($C41,tab_Agências[],10,FALSE)</f>
        <v>bauru@cetesbnet.sp.gov.br</v>
      </c>
    </row>
    <row r="42" spans="1:12" x14ac:dyDescent="0.25">
      <c r="A42" s="8">
        <v>3503505</v>
      </c>
      <c r="B42" s="8" t="s">
        <v>980</v>
      </c>
      <c r="C42" s="9">
        <v>40</v>
      </c>
      <c r="D42" s="10" t="str">
        <f>VLOOKUP($C42,tab_Agências[],2,FALSE)</f>
        <v>Agência Ambiental de Taubaté</v>
      </c>
      <c r="E42" s="8" t="str">
        <f>VLOOKUP($C42,tab_Agências[],3,FALSE)</f>
        <v>Avenida Itambé, 38</v>
      </c>
      <c r="F42" s="8" t="str">
        <f>VLOOKUP($C42,tab_Agências[],4,FALSE)</f>
        <v>Sta. Luzia</v>
      </c>
      <c r="G42" s="8" t="str">
        <f>VLOOKUP($C42,tab_Agências[],5,FALSE)</f>
        <v>12091-200</v>
      </c>
      <c r="H42" s="8" t="str">
        <f>VLOOKUP($C42,tab_Agências[],6,FALSE)</f>
        <v>Taubaté</v>
      </c>
      <c r="I42" s="8" t="str">
        <f>VLOOKUP($C42,tab_Agências[],7,FALSE)</f>
        <v>Avenida Itambé, 38 - Sta. Luzia, Taubaté, 12091-200</v>
      </c>
      <c r="J42" s="8" t="str">
        <f>VLOOKUP($C42,tab_Agências[],8,FALSE)</f>
        <v>(12) 3634-8222</v>
      </c>
      <c r="K42" s="8" t="str">
        <f>VLOOKUP($C42,tab_Agências[],9,FALSE)</f>
        <v>(12) 3634-8234</v>
      </c>
      <c r="L42" s="8" t="str">
        <f>VLOOKUP($C42,tab_Agências[],10,FALSE)</f>
        <v>taubate@cetesbnet.sp.gov.br</v>
      </c>
    </row>
    <row r="43" spans="1:12" x14ac:dyDescent="0.25">
      <c r="A43" s="8">
        <v>3503604</v>
      </c>
      <c r="B43" s="8" t="s">
        <v>981</v>
      </c>
      <c r="C43" s="9">
        <v>9</v>
      </c>
      <c r="D43" s="10" t="str">
        <f>VLOOKUP($C43,tab_Agências[],2,FALSE)</f>
        <v>Agência Ambiental de Botucatu</v>
      </c>
      <c r="E43" s="8" t="str">
        <f>VLOOKUP($C43,tab_Agências[],3,FALSE)</f>
        <v>Rua João Morato da Conceição, 525</v>
      </c>
      <c r="F43" s="8" t="str">
        <f>VLOOKUP($C43,tab_Agências[],4,FALSE)</f>
        <v>Vila Maria</v>
      </c>
      <c r="G43" s="8" t="str">
        <f>VLOOKUP($C43,tab_Agências[],5,FALSE)</f>
        <v>18611-358</v>
      </c>
      <c r="H43" s="8" t="str">
        <f>VLOOKUP($C43,tab_Agências[],6,FALSE)</f>
        <v>Botucatu</v>
      </c>
      <c r="I43" s="8" t="str">
        <f>VLOOKUP($C43,tab_Agências[],7,FALSE)</f>
        <v>Rua João Morato da Conceição, 525 - Vila Maria, Botucatu, 18611-358</v>
      </c>
      <c r="J43" s="8" t="str">
        <f>VLOOKUP($C43,tab_Agências[],8,FALSE)</f>
        <v>(14) 3882-1134</v>
      </c>
      <c r="K43" s="8" t="str">
        <f>VLOOKUP($C43,tab_Agências[],9,FALSE)</f>
        <v>(14) 3882-1134</v>
      </c>
      <c r="L43" s="8" t="str">
        <f>VLOOKUP($C43,tab_Agências[],10,FALSE)</f>
        <v>botucatu@cetesbnet.sp.gov.br</v>
      </c>
    </row>
    <row r="44" spans="1:12" x14ac:dyDescent="0.25">
      <c r="A44" s="8">
        <v>3503703</v>
      </c>
      <c r="B44" s="8" t="s">
        <v>982</v>
      </c>
      <c r="C44" s="9">
        <v>36</v>
      </c>
      <c r="D44" s="10" t="str">
        <f>VLOOKUP($C44,tab_Agências[],2,FALSE)</f>
        <v>Agência Ambiental de São José do Rio Preto</v>
      </c>
      <c r="E44" s="8" t="str">
        <f>VLOOKUP($C44,tab_Agências[],3,FALSE)</f>
        <v>Avenida Mário Andreazza,</v>
      </c>
      <c r="F44" s="8" t="str">
        <f>VLOOKUP($C44,tab_Agências[],4,FALSE)</f>
        <v>Jardim São Marcos</v>
      </c>
      <c r="G44" s="8" t="str">
        <f>VLOOKUP($C44,tab_Agências[],5,FALSE)</f>
        <v>15081-490</v>
      </c>
      <c r="H44" s="8" t="str">
        <f>VLOOKUP($C44,tab_Agências[],6,FALSE)</f>
        <v>São José do Rio Preto</v>
      </c>
      <c r="I44" s="8" t="str">
        <f>VLOOKUP($C44,tab_Agências[],7,FALSE)</f>
        <v>Avenida Mário Andreazza, - Jardim São Marcos, São José do Rio Preto, 15081-490</v>
      </c>
      <c r="J44" s="8" t="str">
        <f>VLOOKUP($C44,tab_Agências[],8,FALSE)</f>
        <v>(17) 3218-4300</v>
      </c>
      <c r="K44" s="8" t="str">
        <f>VLOOKUP($C44,tab_Agências[],9,FALSE)</f>
        <v>(17) 3218-4300</v>
      </c>
      <c r="L44" s="8" t="str">
        <f>VLOOKUP($C44,tab_Agências[],10,FALSE)</f>
        <v>riopreto@cetesbnet.sp.gov.br</v>
      </c>
    </row>
    <row r="45" spans="1:12" x14ac:dyDescent="0.25">
      <c r="A45" s="8">
        <v>3503802</v>
      </c>
      <c r="B45" s="8" t="s">
        <v>983</v>
      </c>
      <c r="C45" s="9">
        <v>22</v>
      </c>
      <c r="D45" s="10" t="str">
        <f>VLOOKUP($C45,tab_Agências[],2,FALSE)</f>
        <v>Agência Ambiental de Limeira</v>
      </c>
      <c r="E45" s="8" t="str">
        <f>VLOOKUP($C45,tab_Agências[],3,FALSE)</f>
        <v>Avenida Vitório Bortolan, 1450</v>
      </c>
      <c r="F45" s="8" t="str">
        <f>VLOOKUP($C45,tab_Agências[],4,FALSE)</f>
        <v>Parque Abílio Pedro</v>
      </c>
      <c r="G45" s="8" t="str">
        <f>VLOOKUP($C45,tab_Agências[],5,FALSE)</f>
        <v>13483-132</v>
      </c>
      <c r="H45" s="8" t="str">
        <f>VLOOKUP($C45,tab_Agências[],6,FALSE)</f>
        <v>Limeira</v>
      </c>
      <c r="I45" s="8" t="str">
        <f>VLOOKUP($C45,tab_Agências[],7,FALSE)</f>
        <v>Avenida Vitório Bortolan, 1450 - Parque Abílio Pedro, Limeira, 13483-132</v>
      </c>
      <c r="J45" s="8" t="str">
        <f>VLOOKUP($C45,tab_Agências[],8,FALSE)</f>
        <v>(19) 3451-6203</v>
      </c>
      <c r="K45" s="8" t="str">
        <f>VLOOKUP($C45,tab_Agências[],9,FALSE)</f>
        <v>(19) 3451-6203</v>
      </c>
      <c r="L45" s="8" t="str">
        <f>VLOOKUP($C45,tab_Agências[],10,FALSE)</f>
        <v>limeira@cetesbnet.sp.gov.br</v>
      </c>
    </row>
    <row r="46" spans="1:12" x14ac:dyDescent="0.25">
      <c r="A46" s="8">
        <v>3503901</v>
      </c>
      <c r="B46" s="8" t="s">
        <v>984</v>
      </c>
      <c r="C46" s="9">
        <v>16</v>
      </c>
      <c r="D46" s="10" t="str">
        <f>VLOOKUP($C46,tab_Agências[],2,FALSE)</f>
        <v>Agência Ambiental de Guarulhos</v>
      </c>
      <c r="E46" s="8" t="str">
        <f>VLOOKUP($C46,tab_Agências[],3,FALSE)</f>
        <v>Avenida Emílio Ribas , 1120</v>
      </c>
      <c r="F46" s="8" t="str">
        <f>VLOOKUP($C46,tab_Agências[],4,FALSE)</f>
        <v>Gopouva</v>
      </c>
      <c r="G46" s="8" t="str">
        <f>VLOOKUP($C46,tab_Agências[],5,FALSE)</f>
        <v>07020-010</v>
      </c>
      <c r="H46" s="8" t="str">
        <f>VLOOKUP($C46,tab_Agências[],6,FALSE)</f>
        <v>Guarulhos</v>
      </c>
      <c r="I46" s="8" t="str">
        <f>VLOOKUP($C46,tab_Agências[],7,FALSE)</f>
        <v>Avenida Emílio Ribas , 1120 - Gopouva, Guarulhos, 07020-010</v>
      </c>
      <c r="J46" s="8" t="str">
        <f>VLOOKUP($C46,tab_Agências[],8,FALSE)</f>
        <v>(11) 2229-0031</v>
      </c>
      <c r="K46" s="8" t="str">
        <f>VLOOKUP($C46,tab_Agências[],9,FALSE)</f>
        <v>(11) 2229-0031</v>
      </c>
      <c r="L46" s="8" t="str">
        <f>VLOOKUP($C46,tab_Agências[],10,FALSE)</f>
        <v>guarulhos@cetesbnet.sp.gov.br</v>
      </c>
    </row>
    <row r="47" spans="1:12" x14ac:dyDescent="0.25">
      <c r="A47" s="8">
        <v>3503950</v>
      </c>
      <c r="B47" s="8" t="s">
        <v>985</v>
      </c>
      <c r="C47" s="9">
        <v>20</v>
      </c>
      <c r="D47" s="10" t="str">
        <f>VLOOKUP($C47,tab_Agências[],2,FALSE)</f>
        <v>Agência Ambiental de Jales</v>
      </c>
      <c r="E47" s="8" t="str">
        <f>VLOOKUP($C47,tab_Agências[],3,FALSE)</f>
        <v>Rua Nova Iorque, 1016</v>
      </c>
      <c r="F47" s="8" t="str">
        <f>VLOOKUP($C47,tab_Agências[],4,FALSE)</f>
        <v>Jardim Monte Rrey</v>
      </c>
      <c r="G47" s="8" t="str">
        <f>VLOOKUP($C47,tab_Agências[],5,FALSE)</f>
        <v>15703-326</v>
      </c>
      <c r="H47" s="8" t="str">
        <f>VLOOKUP($C47,tab_Agências[],6,FALSE)</f>
        <v>Jales</v>
      </c>
      <c r="I47" s="8" t="str">
        <f>VLOOKUP($C47,tab_Agências[],7,FALSE)</f>
        <v>Rua Nova Iorque, 1016 - Jardim Monte Rrey, Jales, 15703-326</v>
      </c>
      <c r="J47" s="8" t="str">
        <f>VLOOKUP($C47,tab_Agências[],8,FALSE)</f>
        <v>(17) 3621-1042</v>
      </c>
      <c r="K47" s="8" t="str">
        <f>VLOOKUP($C47,tab_Agências[],9,FALSE)</f>
        <v>(17) 3621-1042</v>
      </c>
      <c r="L47" s="8" t="str">
        <f>VLOOKUP($C47,tab_Agências[],10,FALSE)</f>
        <v>jales@cetesbnet.sp.gov.br</v>
      </c>
    </row>
    <row r="48" spans="1:12" x14ac:dyDescent="0.25">
      <c r="A48" s="8">
        <v>3504008</v>
      </c>
      <c r="B48" s="8" t="s">
        <v>986</v>
      </c>
      <c r="C48" s="9">
        <v>4</v>
      </c>
      <c r="D48" s="10" t="str">
        <f>VLOOKUP($C48,tab_Agências[],2,FALSE)</f>
        <v>Agência Ambiental de Assis</v>
      </c>
      <c r="E48" s="8" t="str">
        <f>VLOOKUP($C48,tab_Agências[],3,FALSE)</f>
        <v>Via Chico Mendes, 75</v>
      </c>
      <c r="F48" s="8" t="str">
        <f>VLOOKUP($C48,tab_Agências[],4,FALSE)</f>
        <v>Quinta dos Flamboyants</v>
      </c>
      <c r="G48" s="8" t="str">
        <f>VLOOKUP($C48,tab_Agências[],5,FALSE)</f>
        <v>19810-005</v>
      </c>
      <c r="H48" s="8" t="str">
        <f>VLOOKUP($C48,tab_Agências[],6,FALSE)</f>
        <v>Assis</v>
      </c>
      <c r="I48" s="8" t="str">
        <f>VLOOKUP($C48,tab_Agências[],7,FALSE)</f>
        <v>Via Chico Mendes, 75 - Quinta dos Flamboyants, Assis, 19810-005</v>
      </c>
      <c r="J48" s="8" t="str">
        <f>VLOOKUP($C48,tab_Agências[],8,FALSE)</f>
        <v>(18) 3324-4177</v>
      </c>
      <c r="K48" s="8" t="str">
        <f>VLOOKUP($C48,tab_Agências[],9,FALSE)</f>
        <v>(18) 3324-4177</v>
      </c>
      <c r="L48" s="8" t="str">
        <f>VLOOKUP($C48,tab_Agências[],10,FALSE)</f>
        <v>assis@cetesbnet.sp.gov.br</v>
      </c>
    </row>
    <row r="49" spans="1:12" x14ac:dyDescent="0.25">
      <c r="A49" s="8">
        <v>3504107</v>
      </c>
      <c r="B49" s="8" t="s">
        <v>987</v>
      </c>
      <c r="C49" s="9">
        <v>5</v>
      </c>
      <c r="D49" s="10" t="str">
        <f>VLOOKUP($C49,tab_Agências[],2,FALSE)</f>
        <v>Agência Ambiental de Atibaia</v>
      </c>
      <c r="E49" s="8" t="str">
        <f>VLOOKUP($C49,tab_Agências[],3,FALSE)</f>
        <v>Avenida Nove de Julho, 266</v>
      </c>
      <c r="F49" s="8" t="str">
        <f>VLOOKUP($C49,tab_Agências[],4,FALSE)</f>
        <v>Centro</v>
      </c>
      <c r="G49" s="8" t="str">
        <f>VLOOKUP($C49,tab_Agências[],5,FALSE)</f>
        <v>12940-580</v>
      </c>
      <c r="H49" s="8" t="str">
        <f>VLOOKUP($C49,tab_Agências[],6,FALSE)</f>
        <v>Atibaia</v>
      </c>
      <c r="I49" s="8" t="str">
        <f>VLOOKUP($C49,tab_Agências[],7,FALSE)</f>
        <v>Avenida Nove de Julho, 266 - Centro, Atibaia, 12940-580</v>
      </c>
      <c r="J49" s="8" t="str">
        <f>VLOOKUP($C49,tab_Agências[],8,FALSE)</f>
        <v>(11) 4411-0662</v>
      </c>
      <c r="K49" s="8" t="str">
        <f>VLOOKUP($C49,tab_Agências[],9,FALSE)</f>
        <v>(11) 4411-0662</v>
      </c>
      <c r="L49" s="8" t="str">
        <f>VLOOKUP($C49,tab_Agências[],10,FALSE)</f>
        <v>atibaia@cetesbnet.sp.gov.br</v>
      </c>
    </row>
    <row r="50" spans="1:12" x14ac:dyDescent="0.25">
      <c r="A50" s="8">
        <v>3504206</v>
      </c>
      <c r="B50" s="8" t="s">
        <v>988</v>
      </c>
      <c r="C50" s="9">
        <v>20</v>
      </c>
      <c r="D50" s="10" t="str">
        <f>VLOOKUP($C50,tab_Agências[],2,FALSE)</f>
        <v>Agência Ambiental de Jales</v>
      </c>
      <c r="E50" s="8" t="str">
        <f>VLOOKUP($C50,tab_Agências[],3,FALSE)</f>
        <v>Rua Nova Iorque, 1016</v>
      </c>
      <c r="F50" s="8" t="str">
        <f>VLOOKUP($C50,tab_Agências[],4,FALSE)</f>
        <v>Jardim Monte Rrey</v>
      </c>
      <c r="G50" s="8" t="str">
        <f>VLOOKUP($C50,tab_Agências[],5,FALSE)</f>
        <v>15703-326</v>
      </c>
      <c r="H50" s="8" t="str">
        <f>VLOOKUP($C50,tab_Agências[],6,FALSE)</f>
        <v>Jales</v>
      </c>
      <c r="I50" s="8" t="str">
        <f>VLOOKUP($C50,tab_Agências[],7,FALSE)</f>
        <v>Rua Nova Iorque, 1016 - Jardim Monte Rrey, Jales, 15703-326</v>
      </c>
      <c r="J50" s="8" t="str">
        <f>VLOOKUP($C50,tab_Agências[],8,FALSE)</f>
        <v>(17) 3621-1042</v>
      </c>
      <c r="K50" s="8" t="str">
        <f>VLOOKUP($C50,tab_Agências[],9,FALSE)</f>
        <v>(17) 3621-1042</v>
      </c>
      <c r="L50" s="8" t="str">
        <f>VLOOKUP($C50,tab_Agências[],10,FALSE)</f>
        <v>jales@cetesbnet.sp.gov.br</v>
      </c>
    </row>
    <row r="51" spans="1:12" x14ac:dyDescent="0.25">
      <c r="A51" s="8">
        <v>3504305</v>
      </c>
      <c r="B51" s="8" t="s">
        <v>989</v>
      </c>
      <c r="C51" s="9">
        <v>8</v>
      </c>
      <c r="D51" s="10" t="str">
        <f>VLOOKUP($C51,tab_Agências[],2,FALSE)</f>
        <v>Agência Ambiental de Bauru</v>
      </c>
      <c r="E51" s="8" t="str">
        <f>VLOOKUP($C51,tab_Agências[],3,FALSE)</f>
        <v>Avenida Rodrigues Alves, 138</v>
      </c>
      <c r="F51" s="8" t="str">
        <f>VLOOKUP($C51,tab_Agências[],4,FALSE)</f>
        <v>Vila Coralina</v>
      </c>
      <c r="G51" s="8" t="str">
        <f>VLOOKUP($C51,tab_Agências[],5,FALSE)</f>
        <v>17030-000</v>
      </c>
      <c r="H51" s="8" t="str">
        <f>VLOOKUP($C51,tab_Agências[],6,FALSE)</f>
        <v>Bauru</v>
      </c>
      <c r="I51" s="8" t="str">
        <f>VLOOKUP($C51,tab_Agências[],7,FALSE)</f>
        <v>Avenida Rodrigues Alves, 138 - Vila Coralina, Bauru, 17030-000</v>
      </c>
      <c r="J51" s="8" t="str">
        <f>VLOOKUP($C51,tab_Agências[],8,FALSE)</f>
        <v>(14) 3203-2058</v>
      </c>
      <c r="K51" s="8" t="str">
        <f>VLOOKUP($C51,tab_Agências[],9,FALSE)</f>
        <v>(14) 3203-2344</v>
      </c>
      <c r="L51" s="8" t="str">
        <f>VLOOKUP($C51,tab_Agências[],10,FALSE)</f>
        <v>bauru@cetesbnet.sp.gov.br</v>
      </c>
    </row>
    <row r="52" spans="1:12" x14ac:dyDescent="0.25">
      <c r="A52" s="8">
        <v>3504404</v>
      </c>
      <c r="B52" s="8" t="s">
        <v>990</v>
      </c>
      <c r="C52" s="9">
        <v>2</v>
      </c>
      <c r="D52" s="10" t="str">
        <f>VLOOKUP($C52,tab_Agências[],2,FALSE)</f>
        <v>Agência Ambiental de Araçatuba</v>
      </c>
      <c r="E52" s="8" t="str">
        <f>VLOOKUP($C52,tab_Agências[],3,FALSE)</f>
        <v>Rua Ten. Alcides Teodoro dos Santos, 260</v>
      </c>
      <c r="F52" s="8" t="str">
        <f>VLOOKUP($C52,tab_Agências[],4,FALSE)</f>
        <v>Aviação</v>
      </c>
      <c r="G52" s="8" t="str">
        <f>VLOOKUP($C52,tab_Agências[],5,FALSE)</f>
        <v>16055-557</v>
      </c>
      <c r="H52" s="8" t="str">
        <f>VLOOKUP($C52,tab_Agências[],6,FALSE)</f>
        <v>Araçatuba</v>
      </c>
      <c r="I52" s="8" t="str">
        <f>VLOOKUP($C52,tab_Agências[],7,FALSE)</f>
        <v>Rua Ten. Alcides Teodoro dos Santos, 260 - Aviação, Araçatuba, 16055-557</v>
      </c>
      <c r="J52" s="8" t="str">
        <f>VLOOKUP($C52,tab_Agências[],8,FALSE)</f>
        <v>(18) 3608-8053</v>
      </c>
      <c r="K52" s="8" t="str">
        <f>VLOOKUP($C52,tab_Agências[],9,FALSE)</f>
        <v>(18) 3608-7197</v>
      </c>
      <c r="L52" s="8" t="str">
        <f>VLOOKUP($C52,tab_Agências[],10,FALSE)</f>
        <v>aracatuba@cetesbnet.sp.gov.br</v>
      </c>
    </row>
    <row r="53" spans="1:12" x14ac:dyDescent="0.25">
      <c r="A53" s="8">
        <v>3504503</v>
      </c>
      <c r="B53" s="8" t="s">
        <v>991</v>
      </c>
      <c r="C53" s="9">
        <v>6</v>
      </c>
      <c r="D53" s="10" t="str">
        <f>VLOOKUP($C53,tab_Agências[],2,FALSE)</f>
        <v>Agência Ambiental de Avaré</v>
      </c>
      <c r="E53" s="8" t="str">
        <f>VLOOKUP($C53,tab_Agências[],3,FALSE)</f>
        <v>Avenida Governador Mário Covas, 525</v>
      </c>
      <c r="F53" s="8" t="str">
        <f>VLOOKUP($C53,tab_Agências[],4,FALSE)</f>
        <v>Vila Industrial</v>
      </c>
      <c r="G53" s="8" t="str">
        <f>VLOOKUP($C53,tab_Agências[],5,FALSE)</f>
        <v>18705-851</v>
      </c>
      <c r="H53" s="8" t="str">
        <f>VLOOKUP($C53,tab_Agências[],6,FALSE)</f>
        <v>Avaré</v>
      </c>
      <c r="I53" s="8" t="str">
        <f>VLOOKUP($C53,tab_Agências[],7,FALSE)</f>
        <v>Avenida Governador Mário Covas, 525 - Vila Industrial, Avaré, 18705-851</v>
      </c>
      <c r="J53" s="8" t="str">
        <f>VLOOKUP($C53,tab_Agências[],8,FALSE)</f>
        <v>(14) 3732-4900</v>
      </c>
      <c r="K53" s="8" t="str">
        <f>VLOOKUP($C53,tab_Agências[],9,FALSE)</f>
        <v xml:space="preserve"> </v>
      </c>
      <c r="L53" s="8" t="str">
        <f>VLOOKUP($C53,tab_Agências[],10,FALSE)</f>
        <v>avare@cetesbnet.sp.gov.br</v>
      </c>
    </row>
    <row r="54" spans="1:12" x14ac:dyDescent="0.25">
      <c r="A54" s="8">
        <v>3504602</v>
      </c>
      <c r="B54" s="8" t="s">
        <v>992</v>
      </c>
      <c r="C54" s="9">
        <v>36</v>
      </c>
      <c r="D54" s="10" t="str">
        <f>VLOOKUP($C54,tab_Agências[],2,FALSE)</f>
        <v>Agência Ambiental de São José do Rio Preto</v>
      </c>
      <c r="E54" s="8" t="str">
        <f>VLOOKUP($C54,tab_Agências[],3,FALSE)</f>
        <v>Avenida Mário Andreazza,</v>
      </c>
      <c r="F54" s="8" t="str">
        <f>VLOOKUP($C54,tab_Agências[],4,FALSE)</f>
        <v>Jardim São Marcos</v>
      </c>
      <c r="G54" s="8" t="str">
        <f>VLOOKUP($C54,tab_Agências[],5,FALSE)</f>
        <v>15081-490</v>
      </c>
      <c r="H54" s="8" t="str">
        <f>VLOOKUP($C54,tab_Agências[],6,FALSE)</f>
        <v>São José do Rio Preto</v>
      </c>
      <c r="I54" s="8" t="str">
        <f>VLOOKUP($C54,tab_Agências[],7,FALSE)</f>
        <v>Avenida Mário Andreazza, - Jardim São Marcos, São José do Rio Preto, 15081-490</v>
      </c>
      <c r="J54" s="8" t="str">
        <f>VLOOKUP($C54,tab_Agências[],8,FALSE)</f>
        <v>(17) 3218-4300</v>
      </c>
      <c r="K54" s="8" t="str">
        <f>VLOOKUP($C54,tab_Agências[],9,FALSE)</f>
        <v>(17) 3218-4300</v>
      </c>
      <c r="L54" s="8" t="str">
        <f>VLOOKUP($C54,tab_Agências[],10,FALSE)</f>
        <v>riopreto@cetesbnet.sp.gov.br</v>
      </c>
    </row>
    <row r="55" spans="1:12" x14ac:dyDescent="0.25">
      <c r="A55" s="8">
        <v>3504701</v>
      </c>
      <c r="B55" s="8" t="s">
        <v>993</v>
      </c>
      <c r="C55" s="9">
        <v>8</v>
      </c>
      <c r="D55" s="10" t="str">
        <f>VLOOKUP($C55,tab_Agências[],2,FALSE)</f>
        <v>Agência Ambiental de Bauru</v>
      </c>
      <c r="E55" s="8" t="str">
        <f>VLOOKUP($C55,tab_Agências[],3,FALSE)</f>
        <v>Avenida Rodrigues Alves, 138</v>
      </c>
      <c r="F55" s="8" t="str">
        <f>VLOOKUP($C55,tab_Agências[],4,FALSE)</f>
        <v>Vila Coralina</v>
      </c>
      <c r="G55" s="8" t="str">
        <f>VLOOKUP($C55,tab_Agências[],5,FALSE)</f>
        <v>17030-000</v>
      </c>
      <c r="H55" s="8" t="str">
        <f>VLOOKUP($C55,tab_Agências[],6,FALSE)</f>
        <v>Bauru</v>
      </c>
      <c r="I55" s="8" t="str">
        <f>VLOOKUP($C55,tab_Agências[],7,FALSE)</f>
        <v>Avenida Rodrigues Alves, 138 - Vila Coralina, Bauru, 17030-000</v>
      </c>
      <c r="J55" s="8" t="str">
        <f>VLOOKUP($C55,tab_Agências[],8,FALSE)</f>
        <v>(14) 3203-2058</v>
      </c>
      <c r="K55" s="8" t="str">
        <f>VLOOKUP($C55,tab_Agências[],9,FALSE)</f>
        <v>(14) 3203-2344</v>
      </c>
      <c r="L55" s="8" t="str">
        <f>VLOOKUP($C55,tab_Agências[],10,FALSE)</f>
        <v>bauru@cetesbnet.sp.gov.br</v>
      </c>
    </row>
    <row r="56" spans="1:12" x14ac:dyDescent="0.25">
      <c r="A56" s="8">
        <v>3504800</v>
      </c>
      <c r="B56" s="8" t="s">
        <v>994</v>
      </c>
      <c r="C56" s="9">
        <v>36</v>
      </c>
      <c r="D56" s="10" t="str">
        <f>VLOOKUP($C56,tab_Agências[],2,FALSE)</f>
        <v>Agência Ambiental de São José do Rio Preto</v>
      </c>
      <c r="E56" s="8" t="str">
        <f>VLOOKUP($C56,tab_Agências[],3,FALSE)</f>
        <v>Avenida Mário Andreazza,</v>
      </c>
      <c r="F56" s="8" t="str">
        <f>VLOOKUP($C56,tab_Agências[],4,FALSE)</f>
        <v>Jardim São Marcos</v>
      </c>
      <c r="G56" s="8" t="str">
        <f>VLOOKUP($C56,tab_Agências[],5,FALSE)</f>
        <v>15081-490</v>
      </c>
      <c r="H56" s="8" t="str">
        <f>VLOOKUP($C56,tab_Agências[],6,FALSE)</f>
        <v>São José do Rio Preto</v>
      </c>
      <c r="I56" s="8" t="str">
        <f>VLOOKUP($C56,tab_Agências[],7,FALSE)</f>
        <v>Avenida Mário Andreazza, - Jardim São Marcos, São José do Rio Preto, 15081-490</v>
      </c>
      <c r="J56" s="8" t="str">
        <f>VLOOKUP($C56,tab_Agências[],8,FALSE)</f>
        <v>(17) 3218-4300</v>
      </c>
      <c r="K56" s="8" t="str">
        <f>VLOOKUP($C56,tab_Agências[],9,FALSE)</f>
        <v>(17) 3218-4300</v>
      </c>
      <c r="L56" s="8" t="str">
        <f>VLOOKUP($C56,tab_Agências[],10,FALSE)</f>
        <v>riopreto@cetesbnet.sp.gov.br</v>
      </c>
    </row>
    <row r="57" spans="1:12" x14ac:dyDescent="0.25">
      <c r="A57" s="8">
        <v>3504909</v>
      </c>
      <c r="B57" s="8" t="s">
        <v>995</v>
      </c>
      <c r="C57" s="9">
        <v>40</v>
      </c>
      <c r="D57" s="10" t="str">
        <f>VLOOKUP($C57,tab_Agências[],2,FALSE)</f>
        <v>Agência Ambiental de Taubaté</v>
      </c>
      <c r="E57" s="8" t="str">
        <f>VLOOKUP($C57,tab_Agências[],3,FALSE)</f>
        <v>Avenida Itambé, 38</v>
      </c>
      <c r="F57" s="8" t="str">
        <f>VLOOKUP($C57,tab_Agências[],4,FALSE)</f>
        <v>Sta. Luzia</v>
      </c>
      <c r="G57" s="8" t="str">
        <f>VLOOKUP($C57,tab_Agências[],5,FALSE)</f>
        <v>12091-200</v>
      </c>
      <c r="H57" s="8" t="str">
        <f>VLOOKUP($C57,tab_Agências[],6,FALSE)</f>
        <v>Taubaté</v>
      </c>
      <c r="I57" s="8" t="str">
        <f>VLOOKUP($C57,tab_Agências[],7,FALSE)</f>
        <v>Avenida Itambé, 38 - Sta. Luzia, Taubaté, 12091-200</v>
      </c>
      <c r="J57" s="8" t="str">
        <f>VLOOKUP($C57,tab_Agências[],8,FALSE)</f>
        <v>(12) 3634-8222</v>
      </c>
      <c r="K57" s="8" t="str">
        <f>VLOOKUP($C57,tab_Agências[],9,FALSE)</f>
        <v>(12) 3634-8234</v>
      </c>
      <c r="L57" s="8" t="str">
        <f>VLOOKUP($C57,tab_Agências[],10,FALSE)</f>
        <v>taubate@cetesbnet.sp.gov.br</v>
      </c>
    </row>
    <row r="58" spans="1:12" x14ac:dyDescent="0.25">
      <c r="A58" s="8">
        <v>3505005</v>
      </c>
      <c r="B58" s="8" t="s">
        <v>996</v>
      </c>
      <c r="C58" s="9">
        <v>6</v>
      </c>
      <c r="D58" s="10" t="str">
        <f>VLOOKUP($C58,tab_Agências[],2,FALSE)</f>
        <v>Agência Ambiental de Avaré</v>
      </c>
      <c r="E58" s="8" t="str">
        <f>VLOOKUP($C58,tab_Agências[],3,FALSE)</f>
        <v>Avenida Governador Mário Covas, 525</v>
      </c>
      <c r="F58" s="8" t="str">
        <f>VLOOKUP($C58,tab_Agências[],4,FALSE)</f>
        <v>Vila Industrial</v>
      </c>
      <c r="G58" s="8" t="str">
        <f>VLOOKUP($C58,tab_Agências[],5,FALSE)</f>
        <v>18705-851</v>
      </c>
      <c r="H58" s="8" t="str">
        <f>VLOOKUP($C58,tab_Agências[],6,FALSE)</f>
        <v>Avaré</v>
      </c>
      <c r="I58" s="8" t="str">
        <f>VLOOKUP($C58,tab_Agências[],7,FALSE)</f>
        <v>Avenida Governador Mário Covas, 525 - Vila Industrial, Avaré, 18705-851</v>
      </c>
      <c r="J58" s="8" t="str">
        <f>VLOOKUP($C58,tab_Agências[],8,FALSE)</f>
        <v>(14) 3732-4900</v>
      </c>
      <c r="K58" s="8" t="str">
        <f>VLOOKUP($C58,tab_Agências[],9,FALSE)</f>
        <v xml:space="preserve"> </v>
      </c>
      <c r="L58" s="8" t="str">
        <f>VLOOKUP($C58,tab_Agências[],10,FALSE)</f>
        <v>avare@cetesbnet.sp.gov.br</v>
      </c>
    </row>
    <row r="59" spans="1:12" x14ac:dyDescent="0.25">
      <c r="A59" s="8">
        <v>3505104</v>
      </c>
      <c r="B59" s="8" t="s">
        <v>997</v>
      </c>
      <c r="C59" s="9">
        <v>2</v>
      </c>
      <c r="D59" s="10" t="str">
        <f>VLOOKUP($C59,tab_Agências[],2,FALSE)</f>
        <v>Agência Ambiental de Araçatuba</v>
      </c>
      <c r="E59" s="8" t="str">
        <f>VLOOKUP($C59,tab_Agências[],3,FALSE)</f>
        <v>Rua Ten. Alcides Teodoro dos Santos, 260</v>
      </c>
      <c r="F59" s="8" t="str">
        <f>VLOOKUP($C59,tab_Agências[],4,FALSE)</f>
        <v>Aviação</v>
      </c>
      <c r="G59" s="8" t="str">
        <f>VLOOKUP($C59,tab_Agências[],5,FALSE)</f>
        <v>16055-557</v>
      </c>
      <c r="H59" s="8" t="str">
        <f>VLOOKUP($C59,tab_Agências[],6,FALSE)</f>
        <v>Araçatuba</v>
      </c>
      <c r="I59" s="8" t="str">
        <f>VLOOKUP($C59,tab_Agências[],7,FALSE)</f>
        <v>Rua Ten. Alcides Teodoro dos Santos, 260 - Aviação, Araçatuba, 16055-557</v>
      </c>
      <c r="J59" s="8" t="str">
        <f>VLOOKUP($C59,tab_Agências[],8,FALSE)</f>
        <v>(18) 3608-8053</v>
      </c>
      <c r="K59" s="8" t="str">
        <f>VLOOKUP($C59,tab_Agências[],9,FALSE)</f>
        <v>(18) 3608-7197</v>
      </c>
      <c r="L59" s="8" t="str">
        <f>VLOOKUP($C59,tab_Agências[],10,FALSE)</f>
        <v>aracatuba@cetesbnet.sp.gov.br</v>
      </c>
    </row>
    <row r="60" spans="1:12" x14ac:dyDescent="0.25">
      <c r="A60" s="8">
        <v>3505203</v>
      </c>
      <c r="B60" s="8" t="s">
        <v>998</v>
      </c>
      <c r="C60" s="9">
        <v>8</v>
      </c>
      <c r="D60" s="10" t="str">
        <f>VLOOKUP($C60,tab_Agências[],2,FALSE)</f>
        <v>Agência Ambiental de Bauru</v>
      </c>
      <c r="E60" s="8" t="str">
        <f>VLOOKUP($C60,tab_Agências[],3,FALSE)</f>
        <v>Avenida Rodrigues Alves, 138</v>
      </c>
      <c r="F60" s="8" t="str">
        <f>VLOOKUP($C60,tab_Agências[],4,FALSE)</f>
        <v>Vila Coralina</v>
      </c>
      <c r="G60" s="8" t="str">
        <f>VLOOKUP($C60,tab_Agências[],5,FALSE)</f>
        <v>17030-000</v>
      </c>
      <c r="H60" s="8" t="str">
        <f>VLOOKUP($C60,tab_Agências[],6,FALSE)</f>
        <v>Bauru</v>
      </c>
      <c r="I60" s="8" t="str">
        <f>VLOOKUP($C60,tab_Agências[],7,FALSE)</f>
        <v>Avenida Rodrigues Alves, 138 - Vila Coralina, Bauru, 17030-000</v>
      </c>
      <c r="J60" s="8" t="str">
        <f>VLOOKUP($C60,tab_Agências[],8,FALSE)</f>
        <v>(14) 3203-2058</v>
      </c>
      <c r="K60" s="8" t="str">
        <f>VLOOKUP($C60,tab_Agências[],9,FALSE)</f>
        <v>(14) 3203-2344</v>
      </c>
      <c r="L60" s="8" t="str">
        <f>VLOOKUP($C60,tab_Agências[],10,FALSE)</f>
        <v>bauru@cetesbnet.sp.gov.br</v>
      </c>
    </row>
    <row r="61" spans="1:12" x14ac:dyDescent="0.25">
      <c r="A61" s="8">
        <v>3505302</v>
      </c>
      <c r="B61" s="8" t="s">
        <v>999</v>
      </c>
      <c r="C61" s="9">
        <v>8</v>
      </c>
      <c r="D61" s="10" t="str">
        <f>VLOOKUP($C61,tab_Agências[],2,FALSE)</f>
        <v>Agência Ambiental de Bauru</v>
      </c>
      <c r="E61" s="8" t="str">
        <f>VLOOKUP($C61,tab_Agências[],3,FALSE)</f>
        <v>Avenida Rodrigues Alves, 138</v>
      </c>
      <c r="F61" s="8" t="str">
        <f>VLOOKUP($C61,tab_Agências[],4,FALSE)</f>
        <v>Vila Coralina</v>
      </c>
      <c r="G61" s="8" t="str">
        <f>VLOOKUP($C61,tab_Agências[],5,FALSE)</f>
        <v>17030-000</v>
      </c>
      <c r="H61" s="8" t="str">
        <f>VLOOKUP($C61,tab_Agências[],6,FALSE)</f>
        <v>Bauru</v>
      </c>
      <c r="I61" s="8" t="str">
        <f>VLOOKUP($C61,tab_Agências[],7,FALSE)</f>
        <v>Avenida Rodrigues Alves, 138 - Vila Coralina, Bauru, 17030-000</v>
      </c>
      <c r="J61" s="8" t="str">
        <f>VLOOKUP($C61,tab_Agências[],8,FALSE)</f>
        <v>(14) 3203-2058</v>
      </c>
      <c r="K61" s="8" t="str">
        <f>VLOOKUP($C61,tab_Agências[],9,FALSE)</f>
        <v>(14) 3203-2344</v>
      </c>
      <c r="L61" s="8" t="str">
        <f>VLOOKUP($C61,tab_Agências[],10,FALSE)</f>
        <v>bauru@cetesbnet.sp.gov.br</v>
      </c>
    </row>
    <row r="62" spans="1:12" x14ac:dyDescent="0.25">
      <c r="A62" s="8">
        <v>3505351</v>
      </c>
      <c r="B62" s="8" t="s">
        <v>1000</v>
      </c>
      <c r="C62" s="9">
        <v>11</v>
      </c>
      <c r="D62" s="10" t="str">
        <f>VLOOKUP($C62,tab_Agências[],2,FALSE)</f>
        <v>Agência Ambiental de Capão Bonito</v>
      </c>
      <c r="E62" s="8" t="str">
        <f>VLOOKUP($C62,tab_Agências[],3,FALSE)</f>
        <v>Rua Denise, 131</v>
      </c>
      <c r="F62" s="8" t="str">
        <f>VLOOKUP($C62,tab_Agências[],4,FALSE)</f>
        <v>Terras de Imbirucu</v>
      </c>
      <c r="G62" s="8" t="str">
        <f>VLOOKUP($C62,tab_Agências[],5,FALSE)</f>
        <v>18304-700</v>
      </c>
      <c r="H62" s="8" t="str">
        <f>VLOOKUP($C62,tab_Agências[],6,FALSE)</f>
        <v>Capão Bonito</v>
      </c>
      <c r="I62" s="8" t="str">
        <f>VLOOKUP($C62,tab_Agências[],7,FALSE)</f>
        <v>Rua Denise, 131 - Terras de Imbirucu, Capão Bonito, 18304-700</v>
      </c>
      <c r="J62" s="8" t="str">
        <f>VLOOKUP($C62,tab_Agências[],8,FALSE)</f>
        <v>(15) 3542-3885</v>
      </c>
      <c r="K62" s="8" t="str">
        <f>VLOOKUP($C62,tab_Agências[],9,FALSE)</f>
        <v>(15) 3542-3885</v>
      </c>
      <c r="L62" s="8" t="str">
        <f>VLOOKUP($C62,tab_Agências[],10,FALSE)</f>
        <v>capaobonito@cetesbnet.sp.gov.br</v>
      </c>
    </row>
    <row r="63" spans="1:12" x14ac:dyDescent="0.25">
      <c r="A63" s="8">
        <v>3505401</v>
      </c>
      <c r="B63" s="8" t="s">
        <v>1001</v>
      </c>
      <c r="C63" s="9">
        <v>30</v>
      </c>
      <c r="D63" s="10" t="str">
        <f>VLOOKUP($C63,tab_Agências[],2,FALSE)</f>
        <v>Agência Ambiental de Registro</v>
      </c>
      <c r="E63" s="8" t="str">
        <f>VLOOKUP($C63,tab_Agências[],3,FALSE)</f>
        <v>Rua São Bento, 249</v>
      </c>
      <c r="F63" s="8" t="str">
        <f>VLOOKUP($C63,tab_Agências[],4,FALSE)</f>
        <v>Jardim São Nicolau</v>
      </c>
      <c r="G63" s="8" t="str">
        <f>VLOOKUP($C63,tab_Agências[],5,FALSE)</f>
        <v>11900-000</v>
      </c>
      <c r="H63" s="8" t="str">
        <f>VLOOKUP($C63,tab_Agências[],6,FALSE)</f>
        <v>Registro</v>
      </c>
      <c r="I63" s="8" t="str">
        <f>VLOOKUP($C63,tab_Agências[],7,FALSE)</f>
        <v>Rua São Bento, 249 - Jardim São Nicolau, Registro, 11900-000</v>
      </c>
      <c r="J63" s="8" t="str">
        <f>VLOOKUP($C63,tab_Agências[],8,FALSE)</f>
        <v>(13) 3822-3855</v>
      </c>
      <c r="K63" s="8" t="str">
        <f>VLOOKUP($C63,tab_Agências[],9,FALSE)</f>
        <v>(13) 3822-4437</v>
      </c>
      <c r="L63" s="8" t="str">
        <f>VLOOKUP($C63,tab_Agências[],10,FALSE)</f>
        <v>registro@cetesbnet.sp.gov.br</v>
      </c>
    </row>
    <row r="64" spans="1:12" x14ac:dyDescent="0.25">
      <c r="A64" s="8">
        <v>3505500</v>
      </c>
      <c r="B64" s="8" t="s">
        <v>1002</v>
      </c>
      <c r="C64" s="9">
        <v>7</v>
      </c>
      <c r="D64" s="10" t="str">
        <f>VLOOKUP($C64,tab_Agências[],2,FALSE)</f>
        <v>Agência Ambiental de Barretos</v>
      </c>
      <c r="E64" s="8" t="str">
        <f>VLOOKUP($C64,tab_Agências[],3,FALSE)</f>
        <v>Rua Bolívia, 2255</v>
      </c>
      <c r="F64" s="8" t="str">
        <f>VLOOKUP($C64,tab_Agências[],4,FALSE)</f>
        <v>América</v>
      </c>
      <c r="G64" s="8" t="str">
        <f>VLOOKUP($C64,tab_Agências[],5,FALSE)</f>
        <v>14783-197</v>
      </c>
      <c r="H64" s="8" t="str">
        <f>VLOOKUP($C64,tab_Agências[],6,FALSE)</f>
        <v>Barretos</v>
      </c>
      <c r="I64" s="8" t="str">
        <f>VLOOKUP($C64,tab_Agências[],7,FALSE)</f>
        <v>Rua Bolívia, 2255 - América, Barretos, 14783-197</v>
      </c>
      <c r="J64" s="8" t="str">
        <f>VLOOKUP($C64,tab_Agências[],8,FALSE)</f>
        <v>(17) 3322-2655</v>
      </c>
      <c r="K64" s="8" t="str">
        <f>VLOOKUP($C64,tab_Agências[],9,FALSE)</f>
        <v>(17) 3322-2952</v>
      </c>
      <c r="L64" s="8" t="str">
        <f>VLOOKUP($C64,tab_Agências[],10,FALSE)</f>
        <v>barretos@cetesbnet.sp.gov.br</v>
      </c>
    </row>
    <row r="65" spans="1:12" x14ac:dyDescent="0.25">
      <c r="A65" s="8">
        <v>3505609</v>
      </c>
      <c r="B65" s="8" t="s">
        <v>1003</v>
      </c>
      <c r="C65" s="9">
        <v>19</v>
      </c>
      <c r="D65" s="10" t="str">
        <f>VLOOKUP($C65,tab_Agências[],2,FALSE)</f>
        <v>Agência Ambiental de Jaboticabal</v>
      </c>
      <c r="E65" s="8" t="str">
        <f>VLOOKUP($C65,tab_Agências[],3,FALSE)</f>
        <v>Avenida Angelo Morello, 60</v>
      </c>
      <c r="F65" s="8" t="str">
        <f>VLOOKUP($C65,tab_Agências[],4,FALSE)</f>
        <v>Jardim Santa Rosa</v>
      </c>
      <c r="G65" s="8" t="str">
        <f>VLOOKUP($C65,tab_Agências[],5,FALSE)</f>
        <v>14875-290</v>
      </c>
      <c r="H65" s="8" t="str">
        <f>VLOOKUP($C65,tab_Agências[],6,FALSE)</f>
        <v>Jaboticabal</v>
      </c>
      <c r="I65" s="8" t="str">
        <f>VLOOKUP($C65,tab_Agências[],7,FALSE)</f>
        <v>Avenida Angelo Morello, 60 - Jardim Santa Rosa, Jaboticabal, 14875-290</v>
      </c>
      <c r="J65" s="8" t="str">
        <f>VLOOKUP($C65,tab_Agências[],8,FALSE)</f>
        <v>(16) 3203-9400</v>
      </c>
      <c r="K65" s="8" t="str">
        <f>VLOOKUP($C65,tab_Agências[],9,FALSE)</f>
        <v>(16) 3203-9400</v>
      </c>
      <c r="L65" s="8" t="str">
        <f>VLOOKUP($C65,tab_Agências[],10,FALSE)</f>
        <v>jaboticabal@cetesbnet.sp.gov.br</v>
      </c>
    </row>
    <row r="66" spans="1:12" x14ac:dyDescent="0.25">
      <c r="A66" s="8">
        <v>3505708</v>
      </c>
      <c r="B66" s="8" t="s">
        <v>1004</v>
      </c>
      <c r="C66" s="9">
        <v>26</v>
      </c>
      <c r="D66" s="10" t="str">
        <f>VLOOKUP($C66,tab_Agências[],2,FALSE)</f>
        <v>Agência Ambiental de Osasco</v>
      </c>
      <c r="E66" s="8" t="str">
        <f>VLOOKUP($C66,tab_Agências[],3,FALSE)</f>
        <v>Rua Anete Queiroz Lacerda, 80</v>
      </c>
      <c r="F66" s="8" t="str">
        <f>VLOOKUP($C66,tab_Agências[],4,FALSE)</f>
        <v>Butantã</v>
      </c>
      <c r="G66" s="8" t="str">
        <f>VLOOKUP($C66,tab_Agências[],5,FALSE)</f>
        <v>05591-080</v>
      </c>
      <c r="H66" s="8" t="str">
        <f>VLOOKUP($C66,tab_Agências[],6,FALSE)</f>
        <v>São Paulo</v>
      </c>
      <c r="I66" s="8" t="str">
        <f>VLOOKUP($C66,tab_Agências[],7,FALSE)</f>
        <v>Rua Anete Queiroz Lacerda, 80 - Butantã, São Paulo, 05591-080</v>
      </c>
      <c r="J66" s="8" t="str">
        <f>VLOOKUP($C66,tab_Agências[],8,FALSE)</f>
        <v>(11) 3721-9600</v>
      </c>
      <c r="K66" s="8" t="str">
        <f>VLOOKUP($C66,tab_Agências[],9,FALSE)</f>
        <v>(11) 3721-9600</v>
      </c>
      <c r="L66" s="8" t="str">
        <f>VLOOKUP($C66,tab_Agências[],10,FALSE)</f>
        <v>osasco@cetesbnet.sp.gov.br</v>
      </c>
    </row>
    <row r="67" spans="1:12" x14ac:dyDescent="0.25">
      <c r="A67" s="8">
        <v>3505807</v>
      </c>
      <c r="B67" s="8" t="s">
        <v>1005</v>
      </c>
      <c r="C67" s="9">
        <v>23</v>
      </c>
      <c r="D67" s="10" t="str">
        <f>VLOOKUP($C67,tab_Agências[],2,FALSE)</f>
        <v>Agência Ambiental de Marília</v>
      </c>
      <c r="E67" s="8" t="str">
        <f>VLOOKUP($C67,tab_Agências[],3,FALSE)</f>
        <v>Rua Santa Helena, 436</v>
      </c>
      <c r="F67" s="8" t="str">
        <f>VLOOKUP($C67,tab_Agências[],4,FALSE)</f>
        <v>Jardim Alvorada</v>
      </c>
      <c r="G67" s="8" t="str">
        <f>VLOOKUP($C67,tab_Agências[],5,FALSE)</f>
        <v>17513-322</v>
      </c>
      <c r="H67" s="8" t="str">
        <f>VLOOKUP($C67,tab_Agências[],6,FALSE)</f>
        <v>Marília</v>
      </c>
      <c r="I67" s="8" t="str">
        <f>VLOOKUP($C67,tab_Agências[],7,FALSE)</f>
        <v>Rua Santa Helena, 436 - Jardim Alvorada, Marília, 17513-322</v>
      </c>
      <c r="J67" s="8" t="str">
        <f>VLOOKUP($C67,tab_Agências[],8,FALSE)</f>
        <v>(14) 3422-4666</v>
      </c>
      <c r="K67" s="8" t="str">
        <f>VLOOKUP($C67,tab_Agências[],9,FALSE)</f>
        <v>(14) 3422-4666</v>
      </c>
      <c r="L67" s="8" t="str">
        <f>VLOOKUP($C67,tab_Agências[],10,FALSE)</f>
        <v>marilia@cetesbnet.sp.gov.br</v>
      </c>
    </row>
    <row r="68" spans="1:12" x14ac:dyDescent="0.25">
      <c r="A68" s="8">
        <v>3505906</v>
      </c>
      <c r="B68" s="8" t="s">
        <v>1006</v>
      </c>
      <c r="C68" s="9">
        <v>15</v>
      </c>
      <c r="D68" s="10" t="str">
        <f>VLOOKUP($C68,tab_Agências[],2,FALSE)</f>
        <v>Agência Ambiental de Franca</v>
      </c>
      <c r="E68" s="8" t="str">
        <f>VLOOKUP($C68,tab_Agências[],3,FALSE)</f>
        <v>Avenida Dr. Flávio Rocha, 4551</v>
      </c>
      <c r="F68" s="8" t="str">
        <f>VLOOKUP($C68,tab_Agências[],4,FALSE)</f>
        <v>Parque dos Pinhais</v>
      </c>
      <c r="G68" s="8" t="str">
        <f>VLOOKUP($C68,tab_Agências[],5,FALSE)</f>
        <v>14405-600</v>
      </c>
      <c r="H68" s="8" t="str">
        <f>VLOOKUP($C68,tab_Agências[],6,FALSE)</f>
        <v>Franca</v>
      </c>
      <c r="I68" s="8" t="str">
        <f>VLOOKUP($C68,tab_Agências[],7,FALSE)</f>
        <v>Avenida Dr. Flávio Rocha, 4551 - Parque dos Pinhais, Franca, 14405-600</v>
      </c>
      <c r="J68" s="8" t="str">
        <f>VLOOKUP($C68,tab_Agências[],8,FALSE)</f>
        <v>(16) 3724-5922</v>
      </c>
      <c r="K68" s="8" t="str">
        <f>VLOOKUP($C68,tab_Agências[],9,FALSE)</f>
        <v>(16) 3724-5922</v>
      </c>
      <c r="L68" s="8" t="str">
        <f>VLOOKUP($C68,tab_Agências[],10,FALSE)</f>
        <v>franca@cetesbnet.sp.gov.br</v>
      </c>
    </row>
    <row r="69" spans="1:12" x14ac:dyDescent="0.25">
      <c r="A69" s="8">
        <v>3506003</v>
      </c>
      <c r="B69" s="8" t="s">
        <v>1007</v>
      </c>
      <c r="C69" s="9">
        <v>8</v>
      </c>
      <c r="D69" s="10" t="str">
        <f>VLOOKUP($C69,tab_Agências[],2,FALSE)</f>
        <v>Agência Ambiental de Bauru</v>
      </c>
      <c r="E69" s="8" t="str">
        <f>VLOOKUP($C69,tab_Agências[],3,FALSE)</f>
        <v>Avenida Rodrigues Alves, 138</v>
      </c>
      <c r="F69" s="8" t="str">
        <f>VLOOKUP($C69,tab_Agências[],4,FALSE)</f>
        <v>Vila Coralina</v>
      </c>
      <c r="G69" s="8" t="str">
        <f>VLOOKUP($C69,tab_Agências[],5,FALSE)</f>
        <v>17030-000</v>
      </c>
      <c r="H69" s="8" t="str">
        <f>VLOOKUP($C69,tab_Agências[],6,FALSE)</f>
        <v>Bauru</v>
      </c>
      <c r="I69" s="8" t="str">
        <f>VLOOKUP($C69,tab_Agências[],7,FALSE)</f>
        <v>Avenida Rodrigues Alves, 138 - Vila Coralina, Bauru, 17030-000</v>
      </c>
      <c r="J69" s="8" t="str">
        <f>VLOOKUP($C69,tab_Agências[],8,FALSE)</f>
        <v>(14) 3203-2058</v>
      </c>
      <c r="K69" s="8" t="str">
        <f>VLOOKUP($C69,tab_Agências[],9,FALSE)</f>
        <v>(14) 3203-2344</v>
      </c>
      <c r="L69" s="8" t="str">
        <f>VLOOKUP($C69,tab_Agências[],10,FALSE)</f>
        <v>bauru@cetesbnet.sp.gov.br</v>
      </c>
    </row>
    <row r="70" spans="1:12" x14ac:dyDescent="0.25">
      <c r="A70" s="8">
        <v>3506102</v>
      </c>
      <c r="B70" s="8" t="s">
        <v>1008</v>
      </c>
      <c r="C70" s="9">
        <v>7</v>
      </c>
      <c r="D70" s="10" t="str">
        <f>VLOOKUP($C70,tab_Agências[],2,FALSE)</f>
        <v>Agência Ambiental de Barretos</v>
      </c>
      <c r="E70" s="8" t="str">
        <f>VLOOKUP($C70,tab_Agências[],3,FALSE)</f>
        <v>Rua Bolívia, 2255</v>
      </c>
      <c r="F70" s="8" t="str">
        <f>VLOOKUP($C70,tab_Agências[],4,FALSE)</f>
        <v>América</v>
      </c>
      <c r="G70" s="8" t="str">
        <f>VLOOKUP($C70,tab_Agências[],5,FALSE)</f>
        <v>14783-197</v>
      </c>
      <c r="H70" s="8" t="str">
        <f>VLOOKUP($C70,tab_Agências[],6,FALSE)</f>
        <v>Barretos</v>
      </c>
      <c r="I70" s="8" t="str">
        <f>VLOOKUP($C70,tab_Agências[],7,FALSE)</f>
        <v>Rua Bolívia, 2255 - América, Barretos, 14783-197</v>
      </c>
      <c r="J70" s="8" t="str">
        <f>VLOOKUP($C70,tab_Agências[],8,FALSE)</f>
        <v>(17) 3322-2655</v>
      </c>
      <c r="K70" s="8" t="str">
        <f>VLOOKUP($C70,tab_Agências[],9,FALSE)</f>
        <v>(17) 3322-2952</v>
      </c>
      <c r="L70" s="8" t="str">
        <f>VLOOKUP($C70,tab_Agências[],10,FALSE)</f>
        <v>barretos@cetesbnet.sp.gov.br</v>
      </c>
    </row>
    <row r="71" spans="1:12" x14ac:dyDescent="0.25">
      <c r="A71" s="8">
        <v>3506201</v>
      </c>
      <c r="B71" s="8" t="s">
        <v>1009</v>
      </c>
      <c r="C71" s="9">
        <v>2</v>
      </c>
      <c r="D71" s="10" t="str">
        <f>VLOOKUP($C71,tab_Agências[],2,FALSE)</f>
        <v>Agência Ambiental de Araçatuba</v>
      </c>
      <c r="E71" s="8" t="str">
        <f>VLOOKUP($C71,tab_Agências[],3,FALSE)</f>
        <v>Rua Ten. Alcides Teodoro dos Santos, 260</v>
      </c>
      <c r="F71" s="8" t="str">
        <f>VLOOKUP($C71,tab_Agências[],4,FALSE)</f>
        <v>Aviação</v>
      </c>
      <c r="G71" s="8" t="str">
        <f>VLOOKUP($C71,tab_Agências[],5,FALSE)</f>
        <v>16055-557</v>
      </c>
      <c r="H71" s="8" t="str">
        <f>VLOOKUP($C71,tab_Agências[],6,FALSE)</f>
        <v>Araçatuba</v>
      </c>
      <c r="I71" s="8" t="str">
        <f>VLOOKUP($C71,tab_Agências[],7,FALSE)</f>
        <v>Rua Ten. Alcides Teodoro dos Santos, 260 - Aviação, Araçatuba, 16055-557</v>
      </c>
      <c r="J71" s="8" t="str">
        <f>VLOOKUP($C71,tab_Agências[],8,FALSE)</f>
        <v>(18) 3608-8053</v>
      </c>
      <c r="K71" s="8" t="str">
        <f>VLOOKUP($C71,tab_Agências[],9,FALSE)</f>
        <v>(18) 3608-7197</v>
      </c>
      <c r="L71" s="8" t="str">
        <f>VLOOKUP($C71,tab_Agências[],10,FALSE)</f>
        <v>aracatuba@cetesbnet.sp.gov.br</v>
      </c>
    </row>
    <row r="72" spans="1:12" x14ac:dyDescent="0.25">
      <c r="A72" s="8">
        <v>3506300</v>
      </c>
      <c r="B72" s="8" t="s">
        <v>1010</v>
      </c>
      <c r="C72" s="9">
        <v>4</v>
      </c>
      <c r="D72" s="10" t="str">
        <f>VLOOKUP($C72,tab_Agências[],2,FALSE)</f>
        <v>Agência Ambiental de Assis</v>
      </c>
      <c r="E72" s="8" t="str">
        <f>VLOOKUP($C72,tab_Agências[],3,FALSE)</f>
        <v>Via Chico Mendes, 75</v>
      </c>
      <c r="F72" s="8" t="str">
        <f>VLOOKUP($C72,tab_Agências[],4,FALSE)</f>
        <v>Quinta dos Flamboyants</v>
      </c>
      <c r="G72" s="8" t="str">
        <f>VLOOKUP($C72,tab_Agências[],5,FALSE)</f>
        <v>19810-005</v>
      </c>
      <c r="H72" s="8" t="str">
        <f>VLOOKUP($C72,tab_Agências[],6,FALSE)</f>
        <v>Assis</v>
      </c>
      <c r="I72" s="8" t="str">
        <f>VLOOKUP($C72,tab_Agências[],7,FALSE)</f>
        <v>Via Chico Mendes, 75 - Quinta dos Flamboyants, Assis, 19810-005</v>
      </c>
      <c r="J72" s="8" t="str">
        <f>VLOOKUP($C72,tab_Agências[],8,FALSE)</f>
        <v>(18) 3324-4177</v>
      </c>
      <c r="K72" s="8" t="str">
        <f>VLOOKUP($C72,tab_Agências[],9,FALSE)</f>
        <v>(18) 3324-4177</v>
      </c>
      <c r="L72" s="8" t="str">
        <f>VLOOKUP($C72,tab_Agências[],10,FALSE)</f>
        <v>assis@cetesbnet.sp.gov.br</v>
      </c>
    </row>
    <row r="73" spans="1:12" x14ac:dyDescent="0.25">
      <c r="A73" s="8">
        <v>3506359</v>
      </c>
      <c r="B73" s="8" t="s">
        <v>1011</v>
      </c>
      <c r="C73" s="9">
        <v>12</v>
      </c>
      <c r="D73" s="10" t="str">
        <f>VLOOKUP($C73,tab_Agências[],2,FALSE)</f>
        <v>Agência Ambiental de Cubatão</v>
      </c>
      <c r="E73" s="8" t="str">
        <f>VLOOKUP($C73,tab_Agências[],3,FALSE)</f>
        <v>Rua Salgado Filho, 353</v>
      </c>
      <c r="F73" s="8" t="str">
        <f>VLOOKUP($C73,tab_Agências[],4,FALSE)</f>
        <v>Jardim Costa e Silva</v>
      </c>
      <c r="G73" s="8" t="str">
        <f>VLOOKUP($C73,tab_Agências[],5,FALSE)</f>
        <v>11500-270</v>
      </c>
      <c r="H73" s="8" t="str">
        <f>VLOOKUP($C73,tab_Agências[],6,FALSE)</f>
        <v>Cubatão</v>
      </c>
      <c r="I73" s="8" t="str">
        <f>VLOOKUP($C73,tab_Agências[],7,FALSE)</f>
        <v>Rua Salgado Filho, 353 - Jardim Costa e Silva, Cubatão, 11500-270</v>
      </c>
      <c r="J73" s="8" t="str">
        <f>VLOOKUP($C73,tab_Agências[],8,FALSE)</f>
        <v>(13) 3361-6663</v>
      </c>
      <c r="K73" s="8" t="str">
        <f>VLOOKUP($C73,tab_Agências[],9,FALSE)</f>
        <v>(13) 3361-6743</v>
      </c>
      <c r="L73" s="8" t="str">
        <f>VLOOKUP($C73,tab_Agências[],10,FALSE)</f>
        <v>cubatao@cetesbnet.sp.gov.br</v>
      </c>
    </row>
    <row r="74" spans="1:12" x14ac:dyDescent="0.25">
      <c r="A74" s="8">
        <v>3506409</v>
      </c>
      <c r="B74" s="8" t="s">
        <v>1012</v>
      </c>
      <c r="C74" s="9">
        <v>2</v>
      </c>
      <c r="D74" s="10" t="str">
        <f>VLOOKUP($C74,tab_Agências[],2,FALSE)</f>
        <v>Agência Ambiental de Araçatuba</v>
      </c>
      <c r="E74" s="8" t="str">
        <f>VLOOKUP($C74,tab_Agências[],3,FALSE)</f>
        <v>Rua Ten. Alcides Teodoro dos Santos, 260</v>
      </c>
      <c r="F74" s="8" t="str">
        <f>VLOOKUP($C74,tab_Agências[],4,FALSE)</f>
        <v>Aviação</v>
      </c>
      <c r="G74" s="8" t="str">
        <f>VLOOKUP($C74,tab_Agências[],5,FALSE)</f>
        <v>16055-557</v>
      </c>
      <c r="H74" s="8" t="str">
        <f>VLOOKUP($C74,tab_Agências[],6,FALSE)</f>
        <v>Araçatuba</v>
      </c>
      <c r="I74" s="8" t="str">
        <f>VLOOKUP($C74,tab_Agências[],7,FALSE)</f>
        <v>Rua Ten. Alcides Teodoro dos Santos, 260 - Aviação, Araçatuba, 16055-557</v>
      </c>
      <c r="J74" s="8" t="str">
        <f>VLOOKUP($C74,tab_Agências[],8,FALSE)</f>
        <v>(18) 3608-8053</v>
      </c>
      <c r="K74" s="8" t="str">
        <f>VLOOKUP($C74,tab_Agências[],9,FALSE)</f>
        <v>(18) 3608-7197</v>
      </c>
      <c r="L74" s="8" t="str">
        <f>VLOOKUP($C74,tab_Agências[],10,FALSE)</f>
        <v>aracatuba@cetesbnet.sp.gov.br</v>
      </c>
    </row>
    <row r="75" spans="1:12" x14ac:dyDescent="0.25">
      <c r="A75" s="8">
        <v>3506508</v>
      </c>
      <c r="B75" s="8" t="s">
        <v>1013</v>
      </c>
      <c r="C75" s="9">
        <v>2</v>
      </c>
      <c r="D75" s="10" t="str">
        <f>VLOOKUP($C75,tab_Agências[],2,FALSE)</f>
        <v>Agência Ambiental de Araçatuba</v>
      </c>
      <c r="E75" s="8" t="str">
        <f>VLOOKUP($C75,tab_Agências[],3,FALSE)</f>
        <v>Rua Ten. Alcides Teodoro dos Santos, 260</v>
      </c>
      <c r="F75" s="8" t="str">
        <f>VLOOKUP($C75,tab_Agências[],4,FALSE)</f>
        <v>Aviação</v>
      </c>
      <c r="G75" s="8" t="str">
        <f>VLOOKUP($C75,tab_Agências[],5,FALSE)</f>
        <v>16055-557</v>
      </c>
      <c r="H75" s="8" t="str">
        <f>VLOOKUP($C75,tab_Agências[],6,FALSE)</f>
        <v>Araçatuba</v>
      </c>
      <c r="I75" s="8" t="str">
        <f>VLOOKUP($C75,tab_Agências[],7,FALSE)</f>
        <v>Rua Ten. Alcides Teodoro dos Santos, 260 - Aviação, Araçatuba, 16055-557</v>
      </c>
      <c r="J75" s="8" t="str">
        <f>VLOOKUP($C75,tab_Agências[],8,FALSE)</f>
        <v>(18) 3608-8053</v>
      </c>
      <c r="K75" s="8" t="str">
        <f>VLOOKUP($C75,tab_Agências[],9,FALSE)</f>
        <v>(18) 3608-7197</v>
      </c>
      <c r="L75" s="8" t="str">
        <f>VLOOKUP($C75,tab_Agências[],10,FALSE)</f>
        <v>aracatuba@cetesbnet.sp.gov.br</v>
      </c>
    </row>
    <row r="76" spans="1:12" x14ac:dyDescent="0.25">
      <c r="A76" s="8">
        <v>3506607</v>
      </c>
      <c r="B76" s="8" t="s">
        <v>1014</v>
      </c>
      <c r="C76" s="9">
        <v>24</v>
      </c>
      <c r="D76" s="10" t="str">
        <f>VLOOKUP($C76,tab_Agências[],2,FALSE)</f>
        <v>Agência Ambiental de Mogi das Cruzes</v>
      </c>
      <c r="E76" s="8" t="str">
        <f>VLOOKUP($C76,tab_Agências[],3,FALSE)</f>
        <v>Avenida João XXIII, 165</v>
      </c>
      <c r="F76" s="8" t="str">
        <f>VLOOKUP($C76,tab_Agências[],4,FALSE)</f>
        <v>Socorro</v>
      </c>
      <c r="G76" s="8" t="str">
        <f>VLOOKUP($C76,tab_Agências[],5,FALSE)</f>
        <v>08830-000</v>
      </c>
      <c r="H76" s="8" t="str">
        <f>VLOOKUP($C76,tab_Agências[],6,FALSE)</f>
        <v>Mogi das Cruzes</v>
      </c>
      <c r="I76" s="8" t="str">
        <f>VLOOKUP($C76,tab_Agências[],7,FALSE)</f>
        <v>Avenida João XXIII, 165 - Socorro, Mogi das Cruzes, 08830-000</v>
      </c>
      <c r="J76" s="8" t="str">
        <f>VLOOKUP($C76,tab_Agências[],8,FALSE)</f>
        <v>(11) 4725-7490</v>
      </c>
      <c r="K76" s="8" t="str">
        <f>VLOOKUP($C76,tab_Agências[],9,FALSE)</f>
        <v xml:space="preserve"> </v>
      </c>
      <c r="L76" s="8" t="str">
        <f>VLOOKUP($C76,tab_Agências[],10,FALSE)</f>
        <v>mogi@cetesbnet.sp.gov.br</v>
      </c>
    </row>
    <row r="77" spans="1:12" x14ac:dyDescent="0.25">
      <c r="A77" s="8">
        <v>3506706</v>
      </c>
      <c r="B77" s="8" t="s">
        <v>1015</v>
      </c>
      <c r="C77" s="9">
        <v>3</v>
      </c>
      <c r="D77" s="10" t="str">
        <f>VLOOKUP($C77,tab_Agências[],2,FALSE)</f>
        <v>Agência Ambiental de Araraquara</v>
      </c>
      <c r="E77" s="8" t="str">
        <f>VLOOKUP($C77,tab_Agências[],3,FALSE)</f>
        <v>Avenida Castro Alves, 1271</v>
      </c>
      <c r="F77" s="8" t="str">
        <f>VLOOKUP($C77,tab_Agências[],4,FALSE)</f>
        <v>Carmo</v>
      </c>
      <c r="G77" s="8" t="str">
        <f>VLOOKUP($C77,tab_Agências[],5,FALSE)</f>
        <v>14800-140</v>
      </c>
      <c r="H77" s="8" t="str">
        <f>VLOOKUP($C77,tab_Agências[],6,FALSE)</f>
        <v>Araraquara</v>
      </c>
      <c r="I77" s="8" t="str">
        <f>VLOOKUP($C77,tab_Agências[],7,FALSE)</f>
        <v>Avenida Castro Alves, 1271 - Carmo, Araraquara, 14800-140</v>
      </c>
      <c r="J77" s="8" t="str">
        <f>VLOOKUP($C77,tab_Agências[],8,FALSE)</f>
        <v>(16) 3332-2211</v>
      </c>
      <c r="K77" s="8" t="str">
        <f>VLOOKUP($C77,tab_Agências[],9,FALSE)</f>
        <v>(16) 3332-2211</v>
      </c>
      <c r="L77" s="8" t="str">
        <f>VLOOKUP($C77,tab_Agências[],10,FALSE)</f>
        <v>araraquara@cetesbnet.sp.gov.br</v>
      </c>
    </row>
    <row r="78" spans="1:12" x14ac:dyDescent="0.25">
      <c r="A78" s="8">
        <v>3506805</v>
      </c>
      <c r="B78" s="8" t="s">
        <v>1016</v>
      </c>
      <c r="C78" s="9">
        <v>8</v>
      </c>
      <c r="D78" s="10" t="str">
        <f>VLOOKUP($C78,tab_Agências[],2,FALSE)</f>
        <v>Agência Ambiental de Bauru</v>
      </c>
      <c r="E78" s="8" t="str">
        <f>VLOOKUP($C78,tab_Agências[],3,FALSE)</f>
        <v>Avenida Rodrigues Alves, 138</v>
      </c>
      <c r="F78" s="8" t="str">
        <f>VLOOKUP($C78,tab_Agências[],4,FALSE)</f>
        <v>Vila Coralina</v>
      </c>
      <c r="G78" s="8" t="str">
        <f>VLOOKUP($C78,tab_Agências[],5,FALSE)</f>
        <v>17030-000</v>
      </c>
      <c r="H78" s="8" t="str">
        <f>VLOOKUP($C78,tab_Agências[],6,FALSE)</f>
        <v>Bauru</v>
      </c>
      <c r="I78" s="8" t="str">
        <f>VLOOKUP($C78,tab_Agências[],7,FALSE)</f>
        <v>Avenida Rodrigues Alves, 138 - Vila Coralina, Bauru, 17030-000</v>
      </c>
      <c r="J78" s="8" t="str">
        <f>VLOOKUP($C78,tab_Agências[],8,FALSE)</f>
        <v>(14) 3203-2058</v>
      </c>
      <c r="K78" s="8" t="str">
        <f>VLOOKUP($C78,tab_Agências[],9,FALSE)</f>
        <v>(14) 3203-2344</v>
      </c>
      <c r="L78" s="8" t="str">
        <f>VLOOKUP($C78,tab_Agências[],10,FALSE)</f>
        <v>bauru@cetesbnet.sp.gov.br</v>
      </c>
    </row>
    <row r="79" spans="1:12" x14ac:dyDescent="0.25">
      <c r="A79" s="8">
        <v>3506904</v>
      </c>
      <c r="B79" s="8" t="s">
        <v>1017</v>
      </c>
      <c r="C79" s="9">
        <v>9</v>
      </c>
      <c r="D79" s="10" t="str">
        <f>VLOOKUP($C79,tab_Agências[],2,FALSE)</f>
        <v>Agência Ambiental de Botucatu</v>
      </c>
      <c r="E79" s="8" t="str">
        <f>VLOOKUP($C79,tab_Agências[],3,FALSE)</f>
        <v>Rua João Morato da Conceição, 525</v>
      </c>
      <c r="F79" s="8" t="str">
        <f>VLOOKUP($C79,tab_Agências[],4,FALSE)</f>
        <v>Vila Maria</v>
      </c>
      <c r="G79" s="8" t="str">
        <f>VLOOKUP($C79,tab_Agências[],5,FALSE)</f>
        <v>18611-358</v>
      </c>
      <c r="H79" s="8" t="str">
        <f>VLOOKUP($C79,tab_Agências[],6,FALSE)</f>
        <v>Botucatu</v>
      </c>
      <c r="I79" s="8" t="str">
        <f>VLOOKUP($C79,tab_Agências[],7,FALSE)</f>
        <v>Rua João Morato da Conceição, 525 - Vila Maria, Botucatu, 18611-358</v>
      </c>
      <c r="J79" s="8" t="str">
        <f>VLOOKUP($C79,tab_Agências[],8,FALSE)</f>
        <v>(14) 3882-1134</v>
      </c>
      <c r="K79" s="8" t="str">
        <f>VLOOKUP($C79,tab_Agências[],9,FALSE)</f>
        <v>(14) 3882-1134</v>
      </c>
      <c r="L79" s="8" t="str">
        <f>VLOOKUP($C79,tab_Agências[],10,FALSE)</f>
        <v>botucatu@cetesbnet.sp.gov.br</v>
      </c>
    </row>
    <row r="80" spans="1:12" x14ac:dyDescent="0.25">
      <c r="A80" s="8">
        <v>3507001</v>
      </c>
      <c r="B80" s="8" t="s">
        <v>1018</v>
      </c>
      <c r="C80" s="9">
        <v>18</v>
      </c>
      <c r="D80" s="10" t="str">
        <f>VLOOKUP($C80,tab_Agências[],2,FALSE)</f>
        <v>Agência Ambiental de Itu</v>
      </c>
      <c r="E80" s="8" t="str">
        <f>VLOOKUP($C80,tab_Agências[],3,FALSE)</f>
        <v>Rua Santa Rita, 1165</v>
      </c>
      <c r="F80" s="8" t="str">
        <f>VLOOKUP($C80,tab_Agências[],4,FALSE)</f>
        <v>Centro</v>
      </c>
      <c r="G80" s="8" t="str">
        <f>VLOOKUP($C80,tab_Agências[],5,FALSE)</f>
        <v>13300-065</v>
      </c>
      <c r="H80" s="8" t="str">
        <f>VLOOKUP($C80,tab_Agências[],6,FALSE)</f>
        <v>Itu</v>
      </c>
      <c r="I80" s="8" t="str">
        <f>VLOOKUP($C80,tab_Agências[],7,FALSE)</f>
        <v>Rua Santa Rita, 1165 - Centro, Itu, 13300-065</v>
      </c>
      <c r="J80" s="8" t="str">
        <f>VLOOKUP($C80,tab_Agências[],8,FALSE)</f>
        <v>(11) 4013-3419</v>
      </c>
      <c r="K80" s="8" t="str">
        <f>VLOOKUP($C80,tab_Agências[],9,FALSE)</f>
        <v>(11) 4013-3419</v>
      </c>
      <c r="L80" s="8" t="str">
        <f>VLOOKUP($C80,tab_Agências[],10,FALSE)</f>
        <v>itu@cetesbnet.sp.gov.br</v>
      </c>
    </row>
    <row r="81" spans="1:12" x14ac:dyDescent="0.25">
      <c r="A81" s="8">
        <v>3507100</v>
      </c>
      <c r="B81" s="8" t="s">
        <v>1019</v>
      </c>
      <c r="C81" s="9">
        <v>5</v>
      </c>
      <c r="D81" s="10" t="str">
        <f>VLOOKUP($C81,tab_Agências[],2,FALSE)</f>
        <v>Agência Ambiental de Atibaia</v>
      </c>
      <c r="E81" s="8" t="str">
        <f>VLOOKUP($C81,tab_Agências[],3,FALSE)</f>
        <v>Avenida Nove de Julho, 266</v>
      </c>
      <c r="F81" s="8" t="str">
        <f>VLOOKUP($C81,tab_Agências[],4,FALSE)</f>
        <v>Centro</v>
      </c>
      <c r="G81" s="8" t="str">
        <f>VLOOKUP($C81,tab_Agências[],5,FALSE)</f>
        <v>12940-580</v>
      </c>
      <c r="H81" s="8" t="str">
        <f>VLOOKUP($C81,tab_Agências[],6,FALSE)</f>
        <v>Atibaia</v>
      </c>
      <c r="I81" s="8" t="str">
        <f>VLOOKUP($C81,tab_Agências[],7,FALSE)</f>
        <v>Avenida Nove de Julho, 266 - Centro, Atibaia, 12940-580</v>
      </c>
      <c r="J81" s="8" t="str">
        <f>VLOOKUP($C81,tab_Agências[],8,FALSE)</f>
        <v>(11) 4411-0662</v>
      </c>
      <c r="K81" s="8" t="str">
        <f>VLOOKUP($C81,tab_Agências[],9,FALSE)</f>
        <v>(11) 4411-0662</v>
      </c>
      <c r="L81" s="8" t="str">
        <f>VLOOKUP($C81,tab_Agências[],10,FALSE)</f>
        <v>atibaia@cetesbnet.sp.gov.br</v>
      </c>
    </row>
    <row r="82" spans="1:12" x14ac:dyDescent="0.25">
      <c r="A82" s="8">
        <v>3507159</v>
      </c>
      <c r="B82" s="8" t="s">
        <v>1020</v>
      </c>
      <c r="C82" s="9">
        <v>11</v>
      </c>
      <c r="D82" s="10" t="str">
        <f>VLOOKUP($C82,tab_Agências[],2,FALSE)</f>
        <v>Agência Ambiental de Capão Bonito</v>
      </c>
      <c r="E82" s="8" t="str">
        <f>VLOOKUP($C82,tab_Agências[],3,FALSE)</f>
        <v>Rua Denise, 131</v>
      </c>
      <c r="F82" s="8" t="str">
        <f>VLOOKUP($C82,tab_Agências[],4,FALSE)</f>
        <v>Terras de Imbirucu</v>
      </c>
      <c r="G82" s="8" t="str">
        <f>VLOOKUP($C82,tab_Agências[],5,FALSE)</f>
        <v>18304-700</v>
      </c>
      <c r="H82" s="8" t="str">
        <f>VLOOKUP($C82,tab_Agências[],6,FALSE)</f>
        <v>Capão Bonito</v>
      </c>
      <c r="I82" s="8" t="str">
        <f>VLOOKUP($C82,tab_Agências[],7,FALSE)</f>
        <v>Rua Denise, 131 - Terras de Imbirucu, Capão Bonito, 18304-700</v>
      </c>
      <c r="J82" s="8" t="str">
        <f>VLOOKUP($C82,tab_Agências[],8,FALSE)</f>
        <v>(15) 3542-3885</v>
      </c>
      <c r="K82" s="8" t="str">
        <f>VLOOKUP($C82,tab_Agências[],9,FALSE)</f>
        <v>(15) 3542-3885</v>
      </c>
      <c r="L82" s="8" t="str">
        <f>VLOOKUP($C82,tab_Agências[],10,FALSE)</f>
        <v>capaobonito@cetesbnet.sp.gov.br</v>
      </c>
    </row>
    <row r="83" spans="1:12" x14ac:dyDescent="0.25">
      <c r="A83" s="8">
        <v>3507209</v>
      </c>
      <c r="B83" s="8" t="s">
        <v>1021</v>
      </c>
      <c r="C83" s="9">
        <v>4</v>
      </c>
      <c r="D83" s="10" t="str">
        <f>VLOOKUP($C83,tab_Agências[],2,FALSE)</f>
        <v>Agência Ambiental de Assis</v>
      </c>
      <c r="E83" s="8" t="str">
        <f>VLOOKUP($C83,tab_Agências[],3,FALSE)</f>
        <v>Via Chico Mendes, 75</v>
      </c>
      <c r="F83" s="8" t="str">
        <f>VLOOKUP($C83,tab_Agências[],4,FALSE)</f>
        <v>Quinta dos Flamboyants</v>
      </c>
      <c r="G83" s="8" t="str">
        <f>VLOOKUP($C83,tab_Agências[],5,FALSE)</f>
        <v>19810-005</v>
      </c>
      <c r="H83" s="8" t="str">
        <f>VLOOKUP($C83,tab_Agências[],6,FALSE)</f>
        <v>Assis</v>
      </c>
      <c r="I83" s="8" t="str">
        <f>VLOOKUP($C83,tab_Agências[],7,FALSE)</f>
        <v>Via Chico Mendes, 75 - Quinta dos Flamboyants, Assis, 19810-005</v>
      </c>
      <c r="J83" s="8" t="str">
        <f>VLOOKUP($C83,tab_Agências[],8,FALSE)</f>
        <v>(18) 3324-4177</v>
      </c>
      <c r="K83" s="8" t="str">
        <f>VLOOKUP($C83,tab_Agências[],9,FALSE)</f>
        <v>(18) 3324-4177</v>
      </c>
      <c r="L83" s="8" t="str">
        <f>VLOOKUP($C83,tab_Agências[],10,FALSE)</f>
        <v>assis@cetesbnet.sp.gov.br</v>
      </c>
    </row>
    <row r="84" spans="1:12" x14ac:dyDescent="0.25">
      <c r="A84" s="8">
        <v>3507308</v>
      </c>
      <c r="B84" s="8" t="s">
        <v>1022</v>
      </c>
      <c r="C84" s="9">
        <v>8</v>
      </c>
      <c r="D84" s="10" t="str">
        <f>VLOOKUP($C84,tab_Agências[],2,FALSE)</f>
        <v>Agência Ambiental de Bauru</v>
      </c>
      <c r="E84" s="8" t="str">
        <f>VLOOKUP($C84,tab_Agências[],3,FALSE)</f>
        <v>Avenida Rodrigues Alves, 138</v>
      </c>
      <c r="F84" s="8" t="str">
        <f>VLOOKUP($C84,tab_Agências[],4,FALSE)</f>
        <v>Vila Coralina</v>
      </c>
      <c r="G84" s="8" t="str">
        <f>VLOOKUP($C84,tab_Agências[],5,FALSE)</f>
        <v>17030-000</v>
      </c>
      <c r="H84" s="8" t="str">
        <f>VLOOKUP($C84,tab_Agências[],6,FALSE)</f>
        <v>Bauru</v>
      </c>
      <c r="I84" s="8" t="str">
        <f>VLOOKUP($C84,tab_Agências[],7,FALSE)</f>
        <v>Avenida Rodrigues Alves, 138 - Vila Coralina, Bauru, 17030-000</v>
      </c>
      <c r="J84" s="8" t="str">
        <f>VLOOKUP($C84,tab_Agências[],8,FALSE)</f>
        <v>(14) 3203-2058</v>
      </c>
      <c r="K84" s="8" t="str">
        <f>VLOOKUP($C84,tab_Agências[],9,FALSE)</f>
        <v>(14) 3203-2344</v>
      </c>
      <c r="L84" s="8" t="str">
        <f>VLOOKUP($C84,tab_Agências[],10,FALSE)</f>
        <v>bauru@cetesbnet.sp.gov.br</v>
      </c>
    </row>
    <row r="85" spans="1:12" x14ac:dyDescent="0.25">
      <c r="A85" s="8">
        <v>3507407</v>
      </c>
      <c r="B85" s="8" t="s">
        <v>1023</v>
      </c>
      <c r="C85" s="9">
        <v>3</v>
      </c>
      <c r="D85" s="10" t="str">
        <f>VLOOKUP($C85,tab_Agências[],2,FALSE)</f>
        <v>Agência Ambiental de Araraquara</v>
      </c>
      <c r="E85" s="8" t="str">
        <f>VLOOKUP($C85,tab_Agências[],3,FALSE)</f>
        <v>Avenida Castro Alves, 1271</v>
      </c>
      <c r="F85" s="8" t="str">
        <f>VLOOKUP($C85,tab_Agências[],4,FALSE)</f>
        <v>Carmo</v>
      </c>
      <c r="G85" s="8" t="str">
        <f>VLOOKUP($C85,tab_Agências[],5,FALSE)</f>
        <v>14800-140</v>
      </c>
      <c r="H85" s="8" t="str">
        <f>VLOOKUP($C85,tab_Agências[],6,FALSE)</f>
        <v>Araraquara</v>
      </c>
      <c r="I85" s="8" t="str">
        <f>VLOOKUP($C85,tab_Agências[],7,FALSE)</f>
        <v>Avenida Castro Alves, 1271 - Carmo, Araraquara, 14800-140</v>
      </c>
      <c r="J85" s="8" t="str">
        <f>VLOOKUP($C85,tab_Agências[],8,FALSE)</f>
        <v>(16) 3332-2211</v>
      </c>
      <c r="K85" s="8" t="str">
        <f>VLOOKUP($C85,tab_Agências[],9,FALSE)</f>
        <v>(16) 3332-2211</v>
      </c>
      <c r="L85" s="8" t="str">
        <f>VLOOKUP($C85,tab_Agências[],10,FALSE)</f>
        <v>araraquara@cetesbnet.sp.gov.br</v>
      </c>
    </row>
    <row r="86" spans="1:12" x14ac:dyDescent="0.25">
      <c r="A86" s="8">
        <v>3507456</v>
      </c>
      <c r="B86" s="8" t="s">
        <v>1024</v>
      </c>
      <c r="C86" s="9">
        <v>8</v>
      </c>
      <c r="D86" s="10" t="str">
        <f>VLOOKUP($C86,tab_Agências[],2,FALSE)</f>
        <v>Agência Ambiental de Bauru</v>
      </c>
      <c r="E86" s="8" t="str">
        <f>VLOOKUP($C86,tab_Agências[],3,FALSE)</f>
        <v>Avenida Rodrigues Alves, 138</v>
      </c>
      <c r="F86" s="8" t="str">
        <f>VLOOKUP($C86,tab_Agências[],4,FALSE)</f>
        <v>Vila Coralina</v>
      </c>
      <c r="G86" s="8" t="str">
        <f>VLOOKUP($C86,tab_Agências[],5,FALSE)</f>
        <v>17030-000</v>
      </c>
      <c r="H86" s="8" t="str">
        <f>VLOOKUP($C86,tab_Agências[],6,FALSE)</f>
        <v>Bauru</v>
      </c>
      <c r="I86" s="8" t="str">
        <f>VLOOKUP($C86,tab_Agências[],7,FALSE)</f>
        <v>Avenida Rodrigues Alves, 138 - Vila Coralina, Bauru, 17030-000</v>
      </c>
      <c r="J86" s="8" t="str">
        <f>VLOOKUP($C86,tab_Agências[],8,FALSE)</f>
        <v>(14) 3203-2058</v>
      </c>
      <c r="K86" s="8" t="str">
        <f>VLOOKUP($C86,tab_Agências[],9,FALSE)</f>
        <v>(14) 3203-2344</v>
      </c>
      <c r="L86" s="8" t="str">
        <f>VLOOKUP($C86,tab_Agências[],10,FALSE)</f>
        <v>bauru@cetesbnet.sp.gov.br</v>
      </c>
    </row>
    <row r="87" spans="1:12" x14ac:dyDescent="0.25">
      <c r="A87" s="8">
        <v>3507506</v>
      </c>
      <c r="B87" s="8" t="s">
        <v>1025</v>
      </c>
      <c r="C87" s="9">
        <v>9</v>
      </c>
      <c r="D87" s="10" t="str">
        <f>VLOOKUP($C87,tab_Agências[],2,FALSE)</f>
        <v>Agência Ambiental de Botucatu</v>
      </c>
      <c r="E87" s="8" t="str">
        <f>VLOOKUP($C87,tab_Agências[],3,FALSE)</f>
        <v>Rua João Morato da Conceição, 525</v>
      </c>
      <c r="F87" s="8" t="str">
        <f>VLOOKUP($C87,tab_Agências[],4,FALSE)</f>
        <v>Vila Maria</v>
      </c>
      <c r="G87" s="8" t="str">
        <f>VLOOKUP($C87,tab_Agências[],5,FALSE)</f>
        <v>18611-358</v>
      </c>
      <c r="H87" s="8" t="str">
        <f>VLOOKUP($C87,tab_Agências[],6,FALSE)</f>
        <v>Botucatu</v>
      </c>
      <c r="I87" s="8" t="str">
        <f>VLOOKUP($C87,tab_Agências[],7,FALSE)</f>
        <v>Rua João Morato da Conceição, 525 - Vila Maria, Botucatu, 18611-358</v>
      </c>
      <c r="J87" s="8" t="str">
        <f>VLOOKUP($C87,tab_Agências[],8,FALSE)</f>
        <v>(14) 3882-1134</v>
      </c>
      <c r="K87" s="8" t="str">
        <f>VLOOKUP($C87,tab_Agências[],9,FALSE)</f>
        <v>(14) 3882-1134</v>
      </c>
      <c r="L87" s="8" t="str">
        <f>VLOOKUP($C87,tab_Agências[],10,FALSE)</f>
        <v>botucatu@cetesbnet.sp.gov.br</v>
      </c>
    </row>
    <row r="88" spans="1:12" x14ac:dyDescent="0.25">
      <c r="A88" s="8">
        <v>3507605</v>
      </c>
      <c r="B88" s="8" t="s">
        <v>1026</v>
      </c>
      <c r="C88" s="9">
        <v>5</v>
      </c>
      <c r="D88" s="10" t="str">
        <f>VLOOKUP($C88,tab_Agências[],2,FALSE)</f>
        <v>Agência Ambiental de Atibaia</v>
      </c>
      <c r="E88" s="8" t="str">
        <f>VLOOKUP($C88,tab_Agências[],3,FALSE)</f>
        <v>Avenida Nove de Julho, 266</v>
      </c>
      <c r="F88" s="8" t="str">
        <f>VLOOKUP($C88,tab_Agências[],4,FALSE)</f>
        <v>Centro</v>
      </c>
      <c r="G88" s="8" t="str">
        <f>VLOOKUP($C88,tab_Agências[],5,FALSE)</f>
        <v>12940-580</v>
      </c>
      <c r="H88" s="8" t="str">
        <f>VLOOKUP($C88,tab_Agências[],6,FALSE)</f>
        <v>Atibaia</v>
      </c>
      <c r="I88" s="8" t="str">
        <f>VLOOKUP($C88,tab_Agências[],7,FALSE)</f>
        <v>Avenida Nove de Julho, 266 - Centro, Atibaia, 12940-580</v>
      </c>
      <c r="J88" s="8" t="str">
        <f>VLOOKUP($C88,tab_Agências[],8,FALSE)</f>
        <v>(11) 4411-0662</v>
      </c>
      <c r="K88" s="8" t="str">
        <f>VLOOKUP($C88,tab_Agências[],9,FALSE)</f>
        <v>(11) 4411-0662</v>
      </c>
      <c r="L88" s="8" t="str">
        <f>VLOOKUP($C88,tab_Agências[],10,FALSE)</f>
        <v>atibaia@cetesbnet.sp.gov.br</v>
      </c>
    </row>
    <row r="89" spans="1:12" x14ac:dyDescent="0.25">
      <c r="A89" s="8">
        <v>3507704</v>
      </c>
      <c r="B89" s="8" t="s">
        <v>1027</v>
      </c>
      <c r="C89" s="9">
        <v>2</v>
      </c>
      <c r="D89" s="10" t="str">
        <f>VLOOKUP($C89,tab_Agências[],2,FALSE)</f>
        <v>Agência Ambiental de Araçatuba</v>
      </c>
      <c r="E89" s="8" t="str">
        <f>VLOOKUP($C89,tab_Agências[],3,FALSE)</f>
        <v>Rua Ten. Alcides Teodoro dos Santos, 260</v>
      </c>
      <c r="F89" s="8" t="str">
        <f>VLOOKUP($C89,tab_Agências[],4,FALSE)</f>
        <v>Aviação</v>
      </c>
      <c r="G89" s="8" t="str">
        <f>VLOOKUP($C89,tab_Agências[],5,FALSE)</f>
        <v>16055-557</v>
      </c>
      <c r="H89" s="8" t="str">
        <f>VLOOKUP($C89,tab_Agências[],6,FALSE)</f>
        <v>Araçatuba</v>
      </c>
      <c r="I89" s="8" t="str">
        <f>VLOOKUP($C89,tab_Agências[],7,FALSE)</f>
        <v>Rua Ten. Alcides Teodoro dos Santos, 260 - Aviação, Araçatuba, 16055-557</v>
      </c>
      <c r="J89" s="8" t="str">
        <f>VLOOKUP($C89,tab_Agências[],8,FALSE)</f>
        <v>(18) 3608-8053</v>
      </c>
      <c r="K89" s="8" t="str">
        <f>VLOOKUP($C89,tab_Agências[],9,FALSE)</f>
        <v>(18) 3608-7197</v>
      </c>
      <c r="L89" s="8" t="str">
        <f>VLOOKUP($C89,tab_Agências[],10,FALSE)</f>
        <v>aracatuba@cetesbnet.sp.gov.br</v>
      </c>
    </row>
    <row r="90" spans="1:12" x14ac:dyDescent="0.25">
      <c r="A90" s="8">
        <v>3507753</v>
      </c>
      <c r="B90" s="8" t="s">
        <v>1028</v>
      </c>
      <c r="C90" s="9">
        <v>2</v>
      </c>
      <c r="D90" s="10" t="str">
        <f>VLOOKUP($C90,tab_Agências[],2,FALSE)</f>
        <v>Agência Ambiental de Araçatuba</v>
      </c>
      <c r="E90" s="8" t="str">
        <f>VLOOKUP($C90,tab_Agências[],3,FALSE)</f>
        <v>Rua Ten. Alcides Teodoro dos Santos, 260</v>
      </c>
      <c r="F90" s="8" t="str">
        <f>VLOOKUP($C90,tab_Agências[],4,FALSE)</f>
        <v>Aviação</v>
      </c>
      <c r="G90" s="8" t="str">
        <f>VLOOKUP($C90,tab_Agências[],5,FALSE)</f>
        <v>16055-557</v>
      </c>
      <c r="H90" s="8" t="str">
        <f>VLOOKUP($C90,tab_Agências[],6,FALSE)</f>
        <v>Araçatuba</v>
      </c>
      <c r="I90" s="8" t="str">
        <f>VLOOKUP($C90,tab_Agências[],7,FALSE)</f>
        <v>Rua Ten. Alcides Teodoro dos Santos, 260 - Aviação, Araçatuba, 16055-557</v>
      </c>
      <c r="J90" s="8" t="str">
        <f>VLOOKUP($C90,tab_Agências[],8,FALSE)</f>
        <v>(18) 3608-8053</v>
      </c>
      <c r="K90" s="8" t="str">
        <f>VLOOKUP($C90,tab_Agências[],9,FALSE)</f>
        <v>(18) 3608-7197</v>
      </c>
      <c r="L90" s="8" t="str">
        <f>VLOOKUP($C90,tab_Agências[],10,FALSE)</f>
        <v>aracatuba@cetesbnet.sp.gov.br</v>
      </c>
    </row>
    <row r="91" spans="1:12" x14ac:dyDescent="0.25">
      <c r="A91" s="8">
        <v>3507803</v>
      </c>
      <c r="B91" s="8" t="s">
        <v>1029</v>
      </c>
      <c r="C91" s="9">
        <v>31</v>
      </c>
      <c r="D91" s="10" t="str">
        <f>VLOOKUP($C91,tab_Agências[],2,FALSE)</f>
        <v>Agência Ambiental de Ribeirão Preto</v>
      </c>
      <c r="E91" s="8" t="str">
        <f>VLOOKUP($C91,tab_Agências[],3,FALSE)</f>
        <v>Avenida Presidente Kennedy, 1760</v>
      </c>
      <c r="F91" s="8" t="str">
        <f>VLOOKUP($C91,tab_Agências[],4,FALSE)</f>
        <v>Ribeirânia</v>
      </c>
      <c r="G91" s="8" t="str">
        <f>VLOOKUP($C91,tab_Agências[],5,FALSE)</f>
        <v>14096-350</v>
      </c>
      <c r="H91" s="8" t="str">
        <f>VLOOKUP($C91,tab_Agências[],6,FALSE)</f>
        <v>Ribeirão Preto</v>
      </c>
      <c r="I91" s="8" t="str">
        <f>VLOOKUP($C91,tab_Agências[],7,FALSE)</f>
        <v>Avenida Presidente Kennedy, 1760 - Ribeirânia, Ribeirão Preto, 14096-350</v>
      </c>
      <c r="J91" s="8" t="str">
        <f>VLOOKUP($C91,tab_Agências[],8,FALSE)</f>
        <v>(16) 3617-4700</v>
      </c>
      <c r="K91" s="8" t="str">
        <f>VLOOKUP($C91,tab_Agências[],9,FALSE)</f>
        <v>(16) 3617-4207</v>
      </c>
      <c r="L91" s="8" t="str">
        <f>VLOOKUP($C91,tab_Agências[],10,FALSE)</f>
        <v>ribeirao@cetesbnet.sp.gov.br</v>
      </c>
    </row>
    <row r="92" spans="1:12" x14ac:dyDescent="0.25">
      <c r="A92" s="8">
        <v>3507902</v>
      </c>
      <c r="B92" s="8" t="s">
        <v>1030</v>
      </c>
      <c r="C92" s="9">
        <v>34</v>
      </c>
      <c r="D92" s="10" t="str">
        <f>VLOOKUP($C92,tab_Agências[],2,FALSE)</f>
        <v>Agência Ambiental de São Carlos</v>
      </c>
      <c r="E92" s="8" t="str">
        <f>VLOOKUP($C92,tab_Agências[],3,FALSE)</f>
        <v>Avenida das Azaléias, 700</v>
      </c>
      <c r="F92" s="8" t="str">
        <f>VLOOKUP($C92,tab_Agências[],4,FALSE)</f>
        <v>Cidade Jardim</v>
      </c>
      <c r="G92" s="8" t="str">
        <f>VLOOKUP($C92,tab_Agências[],5,FALSE)</f>
        <v>13566-500</v>
      </c>
      <c r="H92" s="8" t="str">
        <f>VLOOKUP($C92,tab_Agências[],6,FALSE)</f>
        <v>São Carlos</v>
      </c>
      <c r="I92" s="8" t="str">
        <f>VLOOKUP($C92,tab_Agências[],7,FALSE)</f>
        <v>Avenida das Azaléias, 700 - Cidade Jardim, São Carlos, 13566-500</v>
      </c>
      <c r="J92" s="8" t="str">
        <f>VLOOKUP($C92,tab_Agências[],8,FALSE)</f>
        <v>(16) 3361-2004</v>
      </c>
      <c r="K92" s="8" t="str">
        <f>VLOOKUP($C92,tab_Agências[],9,FALSE)</f>
        <v>(16) 3361-2004</v>
      </c>
      <c r="L92" s="8" t="str">
        <f>VLOOKUP($C92,tab_Agências[],10,FALSE)</f>
        <v>saocarlos@cetesbnet.sp.gov.br</v>
      </c>
    </row>
    <row r="93" spans="1:12" x14ac:dyDescent="0.25">
      <c r="A93" s="8">
        <v>3508009</v>
      </c>
      <c r="B93" s="8" t="s">
        <v>1031</v>
      </c>
      <c r="C93" s="9">
        <v>11</v>
      </c>
      <c r="D93" s="10" t="str">
        <f>VLOOKUP($C93,tab_Agências[],2,FALSE)</f>
        <v>Agência Ambiental de Capão Bonito</v>
      </c>
      <c r="E93" s="8" t="str">
        <f>VLOOKUP($C93,tab_Agências[],3,FALSE)</f>
        <v>Rua Denise, 131</v>
      </c>
      <c r="F93" s="8" t="str">
        <f>VLOOKUP($C93,tab_Agências[],4,FALSE)</f>
        <v>Terras de Imbirucu</v>
      </c>
      <c r="G93" s="8" t="str">
        <f>VLOOKUP($C93,tab_Agências[],5,FALSE)</f>
        <v>18304-700</v>
      </c>
      <c r="H93" s="8" t="str">
        <f>VLOOKUP($C93,tab_Agências[],6,FALSE)</f>
        <v>Capão Bonito</v>
      </c>
      <c r="I93" s="8" t="str">
        <f>VLOOKUP($C93,tab_Agências[],7,FALSE)</f>
        <v>Rua Denise, 131 - Terras de Imbirucu, Capão Bonito, 18304-700</v>
      </c>
      <c r="J93" s="8" t="str">
        <f>VLOOKUP($C93,tab_Agências[],8,FALSE)</f>
        <v>(15) 3542-3885</v>
      </c>
      <c r="K93" s="8" t="str">
        <f>VLOOKUP($C93,tab_Agências[],9,FALSE)</f>
        <v>(15) 3542-3885</v>
      </c>
      <c r="L93" s="8" t="str">
        <f>VLOOKUP($C93,tab_Agências[],10,FALSE)</f>
        <v>capaobonito@cetesbnet.sp.gov.br</v>
      </c>
    </row>
    <row r="94" spans="1:12" x14ac:dyDescent="0.25">
      <c r="A94" s="8">
        <v>3508108</v>
      </c>
      <c r="B94" s="8" t="s">
        <v>1032</v>
      </c>
      <c r="C94" s="9">
        <v>2</v>
      </c>
      <c r="D94" s="10" t="str">
        <f>VLOOKUP($C94,tab_Agências[],2,FALSE)</f>
        <v>Agência Ambiental de Araçatuba</v>
      </c>
      <c r="E94" s="8" t="str">
        <f>VLOOKUP($C94,tab_Agências[],3,FALSE)</f>
        <v>Rua Ten. Alcides Teodoro dos Santos, 260</v>
      </c>
      <c r="F94" s="8" t="str">
        <f>VLOOKUP($C94,tab_Agências[],4,FALSE)</f>
        <v>Aviação</v>
      </c>
      <c r="G94" s="8" t="str">
        <f>VLOOKUP($C94,tab_Agências[],5,FALSE)</f>
        <v>16055-557</v>
      </c>
      <c r="H94" s="8" t="str">
        <f>VLOOKUP($C94,tab_Agências[],6,FALSE)</f>
        <v>Araçatuba</v>
      </c>
      <c r="I94" s="8" t="str">
        <f>VLOOKUP($C94,tab_Agências[],7,FALSE)</f>
        <v>Rua Ten. Alcides Teodoro dos Santos, 260 - Aviação, Araçatuba, 16055-557</v>
      </c>
      <c r="J94" s="8" t="str">
        <f>VLOOKUP($C94,tab_Agências[],8,FALSE)</f>
        <v>(18) 3608-8053</v>
      </c>
      <c r="K94" s="8" t="str">
        <f>VLOOKUP($C94,tab_Agências[],9,FALSE)</f>
        <v>(18) 3608-7197</v>
      </c>
      <c r="L94" s="8" t="str">
        <f>VLOOKUP($C94,tab_Agências[],10,FALSE)</f>
        <v>aracatuba@cetesbnet.sp.gov.br</v>
      </c>
    </row>
    <row r="95" spans="1:12" x14ac:dyDescent="0.25">
      <c r="A95" s="8">
        <v>3508207</v>
      </c>
      <c r="B95" s="8" t="s">
        <v>1033</v>
      </c>
      <c r="C95" s="9">
        <v>15</v>
      </c>
      <c r="D95" s="10" t="str">
        <f>VLOOKUP($C95,tab_Agências[],2,FALSE)</f>
        <v>Agência Ambiental de Franca</v>
      </c>
      <c r="E95" s="8" t="str">
        <f>VLOOKUP($C95,tab_Agências[],3,FALSE)</f>
        <v>Avenida Dr. Flávio Rocha, 4551</v>
      </c>
      <c r="F95" s="8" t="str">
        <f>VLOOKUP($C95,tab_Agências[],4,FALSE)</f>
        <v>Parque dos Pinhais</v>
      </c>
      <c r="G95" s="8" t="str">
        <f>VLOOKUP($C95,tab_Agências[],5,FALSE)</f>
        <v>14405-600</v>
      </c>
      <c r="H95" s="8" t="str">
        <f>VLOOKUP($C95,tab_Agências[],6,FALSE)</f>
        <v>Franca</v>
      </c>
      <c r="I95" s="8" t="str">
        <f>VLOOKUP($C95,tab_Agências[],7,FALSE)</f>
        <v>Avenida Dr. Flávio Rocha, 4551 - Parque dos Pinhais, Franca, 14405-600</v>
      </c>
      <c r="J95" s="8" t="str">
        <f>VLOOKUP($C95,tab_Agências[],8,FALSE)</f>
        <v>(16) 3724-5922</v>
      </c>
      <c r="K95" s="8" t="str">
        <f>VLOOKUP($C95,tab_Agências[],9,FALSE)</f>
        <v>(16) 3724-5922</v>
      </c>
      <c r="L95" s="8" t="str">
        <f>VLOOKUP($C95,tab_Agências[],10,FALSE)</f>
        <v>franca@cetesbnet.sp.gov.br</v>
      </c>
    </row>
    <row r="96" spans="1:12" x14ac:dyDescent="0.25">
      <c r="A96" s="8">
        <v>3508306</v>
      </c>
      <c r="B96" s="8" t="s">
        <v>1034</v>
      </c>
      <c r="C96" s="9">
        <v>8</v>
      </c>
      <c r="D96" s="10" t="str">
        <f>VLOOKUP($C96,tab_Agências[],2,FALSE)</f>
        <v>Agência Ambiental de Bauru</v>
      </c>
      <c r="E96" s="8" t="str">
        <f>VLOOKUP($C96,tab_Agências[],3,FALSE)</f>
        <v>Avenida Rodrigues Alves, 138</v>
      </c>
      <c r="F96" s="8" t="str">
        <f>VLOOKUP($C96,tab_Agências[],4,FALSE)</f>
        <v>Vila Coralina</v>
      </c>
      <c r="G96" s="8" t="str">
        <f>VLOOKUP($C96,tab_Agências[],5,FALSE)</f>
        <v>17030-000</v>
      </c>
      <c r="H96" s="8" t="str">
        <f>VLOOKUP($C96,tab_Agências[],6,FALSE)</f>
        <v>Bauru</v>
      </c>
      <c r="I96" s="8" t="str">
        <f>VLOOKUP($C96,tab_Agências[],7,FALSE)</f>
        <v>Avenida Rodrigues Alves, 138 - Vila Coralina, Bauru, 17030-000</v>
      </c>
      <c r="J96" s="8" t="str">
        <f>VLOOKUP($C96,tab_Agências[],8,FALSE)</f>
        <v>(14) 3203-2058</v>
      </c>
      <c r="K96" s="8" t="str">
        <f>VLOOKUP($C96,tab_Agências[],9,FALSE)</f>
        <v>(14) 3203-2344</v>
      </c>
      <c r="L96" s="8" t="str">
        <f>VLOOKUP($C96,tab_Agências[],10,FALSE)</f>
        <v>bauru@cetesbnet.sp.gov.br</v>
      </c>
    </row>
    <row r="97" spans="1:12" x14ac:dyDescent="0.25">
      <c r="A97" s="8">
        <v>3508405</v>
      </c>
      <c r="B97" s="8" t="s">
        <v>1035</v>
      </c>
      <c r="C97" s="9">
        <v>21</v>
      </c>
      <c r="D97" s="10" t="str">
        <f>VLOOKUP($C97,tab_Agências[],2,FALSE)</f>
        <v>Agência Ambiental de Jundiaí</v>
      </c>
      <c r="E97" s="8" t="str">
        <f>VLOOKUP($C97,tab_Agências[],3,FALSE)</f>
        <v>Rua João Ferrara, 555</v>
      </c>
      <c r="F97" s="8" t="str">
        <f>VLOOKUP($C97,tab_Agências[],4,FALSE)</f>
        <v>Jardim Pitangueiras II</v>
      </c>
      <c r="G97" s="8" t="str">
        <f>VLOOKUP($C97,tab_Agências[],5,FALSE)</f>
        <v>13206-714</v>
      </c>
      <c r="H97" s="8" t="str">
        <f>VLOOKUP($C97,tab_Agências[],6,FALSE)</f>
        <v>Jundiaí</v>
      </c>
      <c r="I97" s="8" t="str">
        <f>VLOOKUP($C97,tab_Agências[],7,FALSE)</f>
        <v>Rua João Ferrara, 555 - Jardim Pitangueiras II, Jundiaí, 13206-714</v>
      </c>
      <c r="J97" s="8" t="str">
        <f>VLOOKUP($C97,tab_Agências[],8,FALSE)</f>
        <v>(11) 4817-1898</v>
      </c>
      <c r="K97" s="8" t="str">
        <f>VLOOKUP($C97,tab_Agências[],9,FALSE)</f>
        <v>(11) 4587-3597</v>
      </c>
      <c r="L97" s="8" t="str">
        <f>VLOOKUP($C97,tab_Agências[],10,FALSE)</f>
        <v>jundiai@cetesbnet.sp.gov.br</v>
      </c>
    </row>
    <row r="98" spans="1:12" x14ac:dyDescent="0.25">
      <c r="A98" s="8">
        <v>3508504</v>
      </c>
      <c r="B98" s="8" t="s">
        <v>1036</v>
      </c>
      <c r="C98" s="9">
        <v>37</v>
      </c>
      <c r="D98" s="10" t="str">
        <f>VLOOKUP($C98,tab_Agências[],2,FALSE)</f>
        <v>Agência Ambiental de São José dos Campos</v>
      </c>
      <c r="E98" s="8" t="str">
        <f>VLOOKUP($C98,tab_Agências[],3,FALSE)</f>
        <v>Avenida Olivo Gomes, 100</v>
      </c>
      <c r="F98" s="8" t="str">
        <f>VLOOKUP($C98,tab_Agências[],4,FALSE)</f>
        <v>Parque da Cidade/Santana</v>
      </c>
      <c r="G98" s="8" t="str">
        <f>VLOOKUP($C98,tab_Agências[],5,FALSE)</f>
        <v>12211-115</v>
      </c>
      <c r="H98" s="8" t="str">
        <f>VLOOKUP($C98,tab_Agências[],6,FALSE)</f>
        <v>São José dos Campos</v>
      </c>
      <c r="I98" s="8" t="str">
        <f>VLOOKUP($C98,tab_Agências[],7,FALSE)</f>
        <v>Avenida Olivo Gomes, 100 - Parque da Cidade/Santana, São José dos Campos, 12211-115</v>
      </c>
      <c r="J98" s="8" t="str">
        <f>VLOOKUP($C98,tab_Agências[],8,FALSE)</f>
        <v>(12) 3911-9536</v>
      </c>
      <c r="K98" s="8" t="str">
        <f>VLOOKUP($C98,tab_Agências[],9,FALSE)</f>
        <v>(12) 3911-9536</v>
      </c>
      <c r="L98" s="8" t="str">
        <f>VLOOKUP($C98,tab_Agências[],10,FALSE)</f>
        <v>sjcampos@cetesbnet.sp.gov.br</v>
      </c>
    </row>
    <row r="99" spans="1:12" x14ac:dyDescent="0.25">
      <c r="A99" s="8">
        <v>3508603</v>
      </c>
      <c r="B99" s="8" t="s">
        <v>1037</v>
      </c>
      <c r="C99" s="9">
        <v>40</v>
      </c>
      <c r="D99" s="10" t="str">
        <f>VLOOKUP($C99,tab_Agências[],2,FALSE)</f>
        <v>Agência Ambiental de Taubaté</v>
      </c>
      <c r="E99" s="8" t="str">
        <f>VLOOKUP($C99,tab_Agências[],3,FALSE)</f>
        <v>Avenida Itambé, 38</v>
      </c>
      <c r="F99" s="8" t="str">
        <f>VLOOKUP($C99,tab_Agências[],4,FALSE)</f>
        <v>Sta. Luzia</v>
      </c>
      <c r="G99" s="8" t="str">
        <f>VLOOKUP($C99,tab_Agências[],5,FALSE)</f>
        <v>12091-200</v>
      </c>
      <c r="H99" s="8" t="str">
        <f>VLOOKUP($C99,tab_Agências[],6,FALSE)</f>
        <v>Taubaté</v>
      </c>
      <c r="I99" s="8" t="str">
        <f>VLOOKUP($C99,tab_Agências[],7,FALSE)</f>
        <v>Avenida Itambé, 38 - Sta. Luzia, Taubaté, 12091-200</v>
      </c>
      <c r="J99" s="8" t="str">
        <f>VLOOKUP($C99,tab_Agências[],8,FALSE)</f>
        <v>(12) 3634-8222</v>
      </c>
      <c r="K99" s="8" t="str">
        <f>VLOOKUP($C99,tab_Agências[],9,FALSE)</f>
        <v>(12) 3634-8234</v>
      </c>
      <c r="L99" s="8" t="str">
        <f>VLOOKUP($C99,tab_Agências[],10,FALSE)</f>
        <v>taubate@cetesbnet.sp.gov.br</v>
      </c>
    </row>
    <row r="100" spans="1:12" x14ac:dyDescent="0.25">
      <c r="A100" s="8">
        <v>3508702</v>
      </c>
      <c r="B100" s="8" t="s">
        <v>1038</v>
      </c>
      <c r="C100" s="9">
        <v>35</v>
      </c>
      <c r="D100" s="10" t="str">
        <f>VLOOKUP($C100,tab_Agências[],2,FALSE)</f>
        <v>Agência Ambiental de São João da Boa Vista</v>
      </c>
      <c r="E100" s="8" t="str">
        <f>VLOOKUP($C100,tab_Agências[],3,FALSE)</f>
        <v>Rua Marechal Deodoro, 345</v>
      </c>
      <c r="F100" s="8" t="str">
        <f>VLOOKUP($C100,tab_Agências[],4,FALSE)</f>
        <v>Centro</v>
      </c>
      <c r="G100" s="8" t="str">
        <f>VLOOKUP($C100,tab_Agências[],5,FALSE)</f>
        <v>13870-223</v>
      </c>
      <c r="H100" s="8" t="str">
        <f>VLOOKUP($C100,tab_Agências[],6,FALSE)</f>
        <v>São João da Boa Vista</v>
      </c>
      <c r="I100" s="8" t="str">
        <f>VLOOKUP($C100,tab_Agências[],7,FALSE)</f>
        <v>Rua Marechal Deodoro, 345 - Centro, São João da Boa Vista, 13870-223</v>
      </c>
      <c r="J100" s="8" t="str">
        <f>VLOOKUP($C100,tab_Agências[],8,FALSE)</f>
        <v>(19) 3633-1510</v>
      </c>
      <c r="K100" s="8" t="str">
        <f>VLOOKUP($C100,tab_Agências[],9,FALSE)</f>
        <v>(19) 3633-1510</v>
      </c>
      <c r="L100" s="8" t="str">
        <f>VLOOKUP($C100,tab_Agências[],10,FALSE)</f>
        <v>sjboavista@cetesbnet.sp.gov.br</v>
      </c>
    </row>
    <row r="101" spans="1:12" x14ac:dyDescent="0.25">
      <c r="A101" s="8">
        <v>3508801</v>
      </c>
      <c r="B101" s="8" t="s">
        <v>1039</v>
      </c>
      <c r="C101" s="9">
        <v>23</v>
      </c>
      <c r="D101" s="10" t="str">
        <f>VLOOKUP($C101,tab_Agências[],2,FALSE)</f>
        <v>Agência Ambiental de Marília</v>
      </c>
      <c r="E101" s="8" t="str">
        <f>VLOOKUP($C101,tab_Agências[],3,FALSE)</f>
        <v>Rua Santa Helena, 436</v>
      </c>
      <c r="F101" s="8" t="str">
        <f>VLOOKUP($C101,tab_Agências[],4,FALSE)</f>
        <v>Jardim Alvorada</v>
      </c>
      <c r="G101" s="8" t="str">
        <f>VLOOKUP($C101,tab_Agências[],5,FALSE)</f>
        <v>17513-322</v>
      </c>
      <c r="H101" s="8" t="str">
        <f>VLOOKUP($C101,tab_Agências[],6,FALSE)</f>
        <v>Marília</v>
      </c>
      <c r="I101" s="8" t="str">
        <f>VLOOKUP($C101,tab_Agências[],7,FALSE)</f>
        <v>Rua Santa Helena, 436 - Jardim Alvorada, Marília, 17513-322</v>
      </c>
      <c r="J101" s="8" t="str">
        <f>VLOOKUP($C101,tab_Agências[],8,FALSE)</f>
        <v>(14) 3422-4666</v>
      </c>
      <c r="K101" s="8" t="str">
        <f>VLOOKUP($C101,tab_Agências[],9,FALSE)</f>
        <v>(14) 3422-4666</v>
      </c>
      <c r="L101" s="8" t="str">
        <f>VLOOKUP($C101,tab_Agências[],10,FALSE)</f>
        <v>marilia@cetesbnet.sp.gov.br</v>
      </c>
    </row>
    <row r="102" spans="1:12" x14ac:dyDescent="0.25">
      <c r="A102" s="8">
        <v>3508900</v>
      </c>
      <c r="B102" s="8" t="s">
        <v>1040</v>
      </c>
      <c r="C102" s="9">
        <v>29</v>
      </c>
      <c r="D102" s="10" t="str">
        <f>VLOOKUP($C102,tab_Agências[],2,FALSE)</f>
        <v>Agência Ambiental de Presidente Prudente</v>
      </c>
      <c r="E102" s="8" t="str">
        <f>VLOOKUP($C102,tab_Agências[],3,FALSE)</f>
        <v>Rua João Gonçalves Foz, 1738</v>
      </c>
      <c r="F102" s="8" t="str">
        <f>VLOOKUP($C102,tab_Agências[],4,FALSE)</f>
        <v>Jardim das Rosas</v>
      </c>
      <c r="G102" s="8" t="str">
        <f>VLOOKUP($C102,tab_Agências[],5,FALSE)</f>
        <v>19060-050</v>
      </c>
      <c r="H102" s="8" t="str">
        <f>VLOOKUP($C102,tab_Agências[],6,FALSE)</f>
        <v>Presidente Prudente</v>
      </c>
      <c r="I102" s="8" t="str">
        <f>VLOOKUP($C102,tab_Agências[],7,FALSE)</f>
        <v>Rua João Gonçalves Foz, 1738 - Jardim das Rosas, Presidente Prudente, 19060-050</v>
      </c>
      <c r="J102" s="8" t="str">
        <f>VLOOKUP($C102,tab_Agências[],8,FALSE)</f>
        <v>(18) 3223-5001</v>
      </c>
      <c r="K102" s="8" t="str">
        <f>VLOOKUP($C102,tab_Agências[],9,FALSE)</f>
        <v xml:space="preserve"> </v>
      </c>
      <c r="L102" s="8" t="str">
        <f>VLOOKUP($C102,tab_Agências[],10,FALSE)</f>
        <v>prudente@cetesbnet.sp.gov.br</v>
      </c>
    </row>
    <row r="103" spans="1:12" x14ac:dyDescent="0.25">
      <c r="A103" s="8">
        <v>3509007</v>
      </c>
      <c r="B103" s="8" t="s">
        <v>1041</v>
      </c>
      <c r="C103" s="9">
        <v>32</v>
      </c>
      <c r="D103" s="10" t="str">
        <f>VLOOKUP($C103,tab_Agências[],2,FALSE)</f>
        <v>Agência Ambiental de Santana</v>
      </c>
      <c r="E103" s="8" t="str">
        <f>VLOOKUP($C103,tab_Agências[],3,FALSE)</f>
        <v>Avenida Santa Inês, 1796</v>
      </c>
      <c r="F103" s="8" t="str">
        <f>VLOOKUP($C103,tab_Agências[],4,FALSE)</f>
        <v>Horto Florestal</v>
      </c>
      <c r="G103" s="8" t="str">
        <f>VLOOKUP($C103,tab_Agências[],5,FALSE)</f>
        <v>02415-002</v>
      </c>
      <c r="H103" s="8" t="str">
        <f>VLOOKUP($C103,tab_Agências[],6,FALSE)</f>
        <v>São Paulo</v>
      </c>
      <c r="I103" s="8" t="str">
        <f>VLOOKUP($C103,tab_Agências[],7,FALSE)</f>
        <v>Avenida Santa Inês, 1796 - Horto Florestal, São Paulo, 02415-002</v>
      </c>
      <c r="J103" s="8" t="str">
        <f>VLOOKUP($C103,tab_Agências[],8,FALSE)</f>
        <v>(11) 2261-3291</v>
      </c>
      <c r="K103" s="8" t="str">
        <f>VLOOKUP($C103,tab_Agências[],9,FALSE)</f>
        <v xml:space="preserve"> </v>
      </c>
      <c r="L103" s="8" t="str">
        <f>VLOOKUP($C103,tab_Agências[],10,FALSE)</f>
        <v>santana@cetesbnet.sp.gov.br</v>
      </c>
    </row>
    <row r="104" spans="1:12" x14ac:dyDescent="0.25">
      <c r="A104" s="8">
        <v>3509106</v>
      </c>
      <c r="B104" s="8" t="s">
        <v>1042</v>
      </c>
      <c r="C104" s="9">
        <v>29</v>
      </c>
      <c r="D104" s="10" t="str">
        <f>VLOOKUP($C104,tab_Agências[],2,FALSE)</f>
        <v>Agência Ambiental de Presidente Prudente</v>
      </c>
      <c r="E104" s="8" t="str">
        <f>VLOOKUP($C104,tab_Agências[],3,FALSE)</f>
        <v>Rua João Gonçalves Foz, 1738</v>
      </c>
      <c r="F104" s="8" t="str">
        <f>VLOOKUP($C104,tab_Agências[],4,FALSE)</f>
        <v>Jardim das Rosas</v>
      </c>
      <c r="G104" s="8" t="str">
        <f>VLOOKUP($C104,tab_Agências[],5,FALSE)</f>
        <v>19060-050</v>
      </c>
      <c r="H104" s="8" t="str">
        <f>VLOOKUP($C104,tab_Agências[],6,FALSE)</f>
        <v>Presidente Prudente</v>
      </c>
      <c r="I104" s="8" t="str">
        <f>VLOOKUP($C104,tab_Agências[],7,FALSE)</f>
        <v>Rua João Gonçalves Foz, 1738 - Jardim das Rosas, Presidente Prudente, 19060-050</v>
      </c>
      <c r="J104" s="8" t="str">
        <f>VLOOKUP($C104,tab_Agências[],8,FALSE)</f>
        <v>(18) 3223-5001</v>
      </c>
      <c r="K104" s="8" t="str">
        <f>VLOOKUP($C104,tab_Agências[],9,FALSE)</f>
        <v xml:space="preserve"> </v>
      </c>
      <c r="L104" s="8" t="str">
        <f>VLOOKUP($C104,tab_Agências[],10,FALSE)</f>
        <v>prudente@cetesbnet.sp.gov.br</v>
      </c>
    </row>
    <row r="105" spans="1:12" x14ac:dyDescent="0.25">
      <c r="A105" s="8">
        <v>3509205</v>
      </c>
      <c r="B105" s="8" t="s">
        <v>1043</v>
      </c>
      <c r="C105" s="9">
        <v>26</v>
      </c>
      <c r="D105" s="10" t="str">
        <f>VLOOKUP($C105,tab_Agências[],2,FALSE)</f>
        <v>Agência Ambiental de Osasco</v>
      </c>
      <c r="E105" s="8" t="str">
        <f>VLOOKUP($C105,tab_Agências[],3,FALSE)</f>
        <v>Rua Anete Queiroz Lacerda, 80</v>
      </c>
      <c r="F105" s="8" t="str">
        <f>VLOOKUP($C105,tab_Agências[],4,FALSE)</f>
        <v>Butantã</v>
      </c>
      <c r="G105" s="8" t="str">
        <f>VLOOKUP($C105,tab_Agências[],5,FALSE)</f>
        <v>05591-080</v>
      </c>
      <c r="H105" s="8" t="str">
        <f>VLOOKUP($C105,tab_Agências[],6,FALSE)</f>
        <v>São Paulo</v>
      </c>
      <c r="I105" s="8" t="str">
        <f>VLOOKUP($C105,tab_Agências[],7,FALSE)</f>
        <v>Rua Anete Queiroz Lacerda, 80 - Butantã, São Paulo, 05591-080</v>
      </c>
      <c r="J105" s="8" t="str">
        <f>VLOOKUP($C105,tab_Agências[],8,FALSE)</f>
        <v>(11) 3721-9600</v>
      </c>
      <c r="K105" s="8" t="str">
        <f>VLOOKUP($C105,tab_Agências[],9,FALSE)</f>
        <v>(11) 3721-9600</v>
      </c>
      <c r="L105" s="8" t="str">
        <f>VLOOKUP($C105,tab_Agências[],10,FALSE)</f>
        <v>osasco@cetesbnet.sp.gov.br</v>
      </c>
    </row>
    <row r="106" spans="1:12" x14ac:dyDescent="0.25">
      <c r="A106" s="8">
        <v>3509254</v>
      </c>
      <c r="B106" s="8" t="s">
        <v>1044</v>
      </c>
      <c r="C106" s="9">
        <v>30</v>
      </c>
      <c r="D106" s="10" t="str">
        <f>VLOOKUP($C106,tab_Agências[],2,FALSE)</f>
        <v>Agência Ambiental de Registro</v>
      </c>
      <c r="E106" s="8" t="str">
        <f>VLOOKUP($C106,tab_Agências[],3,FALSE)</f>
        <v>Rua São Bento, 249</v>
      </c>
      <c r="F106" s="8" t="str">
        <f>VLOOKUP($C106,tab_Agências[],4,FALSE)</f>
        <v>Jardim São Nicolau</v>
      </c>
      <c r="G106" s="8" t="str">
        <f>VLOOKUP($C106,tab_Agências[],5,FALSE)</f>
        <v>11900-000</v>
      </c>
      <c r="H106" s="8" t="str">
        <f>VLOOKUP($C106,tab_Agências[],6,FALSE)</f>
        <v>Registro</v>
      </c>
      <c r="I106" s="8" t="str">
        <f>VLOOKUP($C106,tab_Agências[],7,FALSE)</f>
        <v>Rua São Bento, 249 - Jardim São Nicolau, Registro, 11900-000</v>
      </c>
      <c r="J106" s="8" t="str">
        <f>VLOOKUP($C106,tab_Agências[],8,FALSE)</f>
        <v>(13) 3822-3855</v>
      </c>
      <c r="K106" s="8" t="str">
        <f>VLOOKUP($C106,tab_Agências[],9,FALSE)</f>
        <v>(13) 3822-4437</v>
      </c>
      <c r="L106" s="8" t="str">
        <f>VLOOKUP($C106,tab_Agências[],10,FALSE)</f>
        <v>registro@cetesbnet.sp.gov.br</v>
      </c>
    </row>
    <row r="107" spans="1:12" x14ac:dyDescent="0.25">
      <c r="A107" s="8">
        <v>3509304</v>
      </c>
      <c r="B107" s="8" t="s">
        <v>1045</v>
      </c>
      <c r="C107" s="9">
        <v>7</v>
      </c>
      <c r="D107" s="10" t="str">
        <f>VLOOKUP($C107,tab_Agências[],2,FALSE)</f>
        <v>Agência Ambiental de Barretos</v>
      </c>
      <c r="E107" s="8" t="str">
        <f>VLOOKUP($C107,tab_Agências[],3,FALSE)</f>
        <v>Rua Bolívia, 2255</v>
      </c>
      <c r="F107" s="8" t="str">
        <f>VLOOKUP($C107,tab_Agências[],4,FALSE)</f>
        <v>América</v>
      </c>
      <c r="G107" s="8" t="str">
        <f>VLOOKUP($C107,tab_Agências[],5,FALSE)</f>
        <v>14783-197</v>
      </c>
      <c r="H107" s="8" t="str">
        <f>VLOOKUP($C107,tab_Agências[],6,FALSE)</f>
        <v>Barretos</v>
      </c>
      <c r="I107" s="8" t="str">
        <f>VLOOKUP($C107,tab_Agências[],7,FALSE)</f>
        <v>Rua Bolívia, 2255 - América, Barretos, 14783-197</v>
      </c>
      <c r="J107" s="8" t="str">
        <f>VLOOKUP($C107,tab_Agências[],8,FALSE)</f>
        <v>(17) 3322-2655</v>
      </c>
      <c r="K107" s="8" t="str">
        <f>VLOOKUP($C107,tab_Agências[],9,FALSE)</f>
        <v>(17) 3322-2952</v>
      </c>
      <c r="L107" s="8" t="str">
        <f>VLOOKUP($C107,tab_Agências[],10,FALSE)</f>
        <v>barretos@cetesbnet.sp.gov.br</v>
      </c>
    </row>
    <row r="108" spans="1:12" x14ac:dyDescent="0.25">
      <c r="A108" s="8">
        <v>3509403</v>
      </c>
      <c r="B108" s="8" t="s">
        <v>1046</v>
      </c>
      <c r="C108" s="9">
        <v>31</v>
      </c>
      <c r="D108" s="10" t="str">
        <f>VLOOKUP($C108,tab_Agências[],2,FALSE)</f>
        <v>Agência Ambiental de Ribeirão Preto</v>
      </c>
      <c r="E108" s="8" t="str">
        <f>VLOOKUP($C108,tab_Agências[],3,FALSE)</f>
        <v>Avenida Presidente Kennedy, 1760</v>
      </c>
      <c r="F108" s="8" t="str">
        <f>VLOOKUP($C108,tab_Agências[],4,FALSE)</f>
        <v>Ribeirânia</v>
      </c>
      <c r="G108" s="8" t="str">
        <f>VLOOKUP($C108,tab_Agências[],5,FALSE)</f>
        <v>14096-350</v>
      </c>
      <c r="H108" s="8" t="str">
        <f>VLOOKUP($C108,tab_Agências[],6,FALSE)</f>
        <v>Ribeirão Preto</v>
      </c>
      <c r="I108" s="8" t="str">
        <f>VLOOKUP($C108,tab_Agências[],7,FALSE)</f>
        <v>Avenida Presidente Kennedy, 1760 - Ribeirânia, Ribeirão Preto, 14096-350</v>
      </c>
      <c r="J108" s="8" t="str">
        <f>VLOOKUP($C108,tab_Agências[],8,FALSE)</f>
        <v>(16) 3617-4700</v>
      </c>
      <c r="K108" s="8" t="str">
        <f>VLOOKUP($C108,tab_Agências[],9,FALSE)</f>
        <v>(16) 3617-4207</v>
      </c>
      <c r="L108" s="8" t="str">
        <f>VLOOKUP($C108,tab_Agências[],10,FALSE)</f>
        <v>ribeirao@cetesbnet.sp.gov.br</v>
      </c>
    </row>
    <row r="109" spans="1:12" x14ac:dyDescent="0.25">
      <c r="A109" s="8">
        <v>3509452</v>
      </c>
      <c r="B109" s="8" t="s">
        <v>1047</v>
      </c>
      <c r="C109" s="9">
        <v>17</v>
      </c>
      <c r="D109" s="10" t="str">
        <f>VLOOKUP($C109,tab_Agências[],2,FALSE)</f>
        <v>Agência Ambiental de Itapetininga</v>
      </c>
      <c r="E109" s="8" t="str">
        <f>VLOOKUP($C109,tab_Agências[],3,FALSE)</f>
        <v>Rua General Carneiro, 196</v>
      </c>
      <c r="F109" s="8" t="str">
        <f>VLOOKUP($C109,tab_Agências[],4,FALSE)</f>
        <v>Centro</v>
      </c>
      <c r="G109" s="8" t="str">
        <f>VLOOKUP($C109,tab_Agências[],5,FALSE)</f>
        <v>18200-024</v>
      </c>
      <c r="H109" s="8" t="str">
        <f>VLOOKUP($C109,tab_Agências[],6,FALSE)</f>
        <v>Itapetininga</v>
      </c>
      <c r="I109" s="8" t="str">
        <f>VLOOKUP($C109,tab_Agências[],7,FALSE)</f>
        <v>Rua General Carneiro, 196 - Centro, Itapetininga, 18200-024</v>
      </c>
      <c r="J109" s="8" t="str">
        <f>VLOOKUP($C109,tab_Agências[],8,FALSE)</f>
        <v>(15) 3272-2888</v>
      </c>
      <c r="K109" s="8" t="str">
        <f>VLOOKUP($C109,tab_Agências[],9,FALSE)</f>
        <v>(15) 3272-2891</v>
      </c>
      <c r="L109" s="8" t="str">
        <f>VLOOKUP($C109,tab_Agências[],10,FALSE)</f>
        <v>itapetininga@cetesbnet.sp.gov.br</v>
      </c>
    </row>
    <row r="110" spans="1:12" x14ac:dyDescent="0.25">
      <c r="A110" s="8">
        <v>3509502</v>
      </c>
      <c r="B110" s="8" t="s">
        <v>1048</v>
      </c>
      <c r="C110" s="9">
        <v>10</v>
      </c>
      <c r="D110" s="10" t="str">
        <f>VLOOKUP($C110,tab_Agências[],2,FALSE)</f>
        <v>Agência Ambiental de Campinas</v>
      </c>
      <c r="E110" s="8" t="str">
        <f>VLOOKUP($C110,tab_Agências[],3,FALSE)</f>
        <v>Rua São Carlos, 277</v>
      </c>
      <c r="F110" s="8" t="str">
        <f>VLOOKUP($C110,tab_Agências[],4,FALSE)</f>
        <v>Vila Industrial</v>
      </c>
      <c r="G110" s="8" t="str">
        <f>VLOOKUP($C110,tab_Agências[],5,FALSE)</f>
        <v>13035-420</v>
      </c>
      <c r="H110" s="8" t="str">
        <f>VLOOKUP($C110,tab_Agências[],6,FALSE)</f>
        <v>Campinas</v>
      </c>
      <c r="I110" s="8" t="str">
        <f>VLOOKUP($C110,tab_Agências[],7,FALSE)</f>
        <v>Rua São Carlos, 277 - Vila Industrial, Campinas, 13035-420</v>
      </c>
      <c r="J110" s="8" t="str">
        <f>VLOOKUP($C110,tab_Agências[],8,FALSE)</f>
        <v>(19) 3772-6600</v>
      </c>
      <c r="K110" s="8" t="str">
        <f>VLOOKUP($C110,tab_Agências[],9,FALSE)</f>
        <v>(19) 3772-6624</v>
      </c>
      <c r="L110" s="8" t="str">
        <f>VLOOKUP($C110,tab_Agências[],10,FALSE)</f>
        <v>campinasI@cetesbnet.sp.gov.br</v>
      </c>
    </row>
    <row r="111" spans="1:12" x14ac:dyDescent="0.25">
      <c r="A111" s="8">
        <v>3509601</v>
      </c>
      <c r="B111" s="8" t="s">
        <v>1049</v>
      </c>
      <c r="C111" s="9">
        <v>21</v>
      </c>
      <c r="D111" s="10" t="str">
        <f>VLOOKUP($C111,tab_Agências[],2,FALSE)</f>
        <v>Agência Ambiental de Jundiaí</v>
      </c>
      <c r="E111" s="8" t="str">
        <f>VLOOKUP($C111,tab_Agências[],3,FALSE)</f>
        <v>Rua João Ferrara, 555</v>
      </c>
      <c r="F111" s="8" t="str">
        <f>VLOOKUP($C111,tab_Agências[],4,FALSE)</f>
        <v>Jardim Pitangueiras II</v>
      </c>
      <c r="G111" s="8" t="str">
        <f>VLOOKUP($C111,tab_Agências[],5,FALSE)</f>
        <v>13206-714</v>
      </c>
      <c r="H111" s="8" t="str">
        <f>VLOOKUP($C111,tab_Agências[],6,FALSE)</f>
        <v>Jundiaí</v>
      </c>
      <c r="I111" s="8" t="str">
        <f>VLOOKUP($C111,tab_Agências[],7,FALSE)</f>
        <v>Rua João Ferrara, 555 - Jardim Pitangueiras II, Jundiaí, 13206-714</v>
      </c>
      <c r="J111" s="8" t="str">
        <f>VLOOKUP($C111,tab_Agências[],8,FALSE)</f>
        <v>(11) 4817-1898</v>
      </c>
      <c r="K111" s="8" t="str">
        <f>VLOOKUP($C111,tab_Agências[],9,FALSE)</f>
        <v>(11) 4587-3597</v>
      </c>
      <c r="L111" s="8" t="str">
        <f>VLOOKUP($C111,tab_Agências[],10,FALSE)</f>
        <v>jundiai@cetesbnet.sp.gov.br</v>
      </c>
    </row>
    <row r="112" spans="1:12" x14ac:dyDescent="0.25">
      <c r="A112" s="8">
        <v>3509700</v>
      </c>
      <c r="B112" s="8" t="s">
        <v>1050</v>
      </c>
      <c r="C112" s="9">
        <v>40</v>
      </c>
      <c r="D112" s="10" t="str">
        <f>VLOOKUP($C112,tab_Agências[],2,FALSE)</f>
        <v>Agência Ambiental de Taubaté</v>
      </c>
      <c r="E112" s="8" t="str">
        <f>VLOOKUP($C112,tab_Agências[],3,FALSE)</f>
        <v>Avenida Itambé, 38</v>
      </c>
      <c r="F112" s="8" t="str">
        <f>VLOOKUP($C112,tab_Agências[],4,FALSE)</f>
        <v>Sta. Luzia</v>
      </c>
      <c r="G112" s="8" t="str">
        <f>VLOOKUP($C112,tab_Agências[],5,FALSE)</f>
        <v>12091-200</v>
      </c>
      <c r="H112" s="8" t="str">
        <f>VLOOKUP($C112,tab_Agências[],6,FALSE)</f>
        <v>Taubaté</v>
      </c>
      <c r="I112" s="8" t="str">
        <f>VLOOKUP($C112,tab_Agências[],7,FALSE)</f>
        <v>Avenida Itambé, 38 - Sta. Luzia, Taubaté, 12091-200</v>
      </c>
      <c r="J112" s="8" t="str">
        <f>VLOOKUP($C112,tab_Agências[],8,FALSE)</f>
        <v>(12) 3634-8222</v>
      </c>
      <c r="K112" s="8" t="str">
        <f>VLOOKUP($C112,tab_Agências[],9,FALSE)</f>
        <v>(12) 3634-8234</v>
      </c>
      <c r="L112" s="8" t="str">
        <f>VLOOKUP($C112,tab_Agências[],10,FALSE)</f>
        <v>taubate@cetesbnet.sp.gov.br</v>
      </c>
    </row>
    <row r="113" spans="1:12" x14ac:dyDescent="0.25">
      <c r="A113" s="8">
        <v>3509809</v>
      </c>
      <c r="B113" s="8" t="s">
        <v>1051</v>
      </c>
      <c r="C113" s="9">
        <v>4</v>
      </c>
      <c r="D113" s="10" t="str">
        <f>VLOOKUP($C113,tab_Agências[],2,FALSE)</f>
        <v>Agência Ambiental de Assis</v>
      </c>
      <c r="E113" s="8" t="str">
        <f>VLOOKUP($C113,tab_Agências[],3,FALSE)</f>
        <v>Via Chico Mendes, 75</v>
      </c>
      <c r="F113" s="8" t="str">
        <f>VLOOKUP($C113,tab_Agências[],4,FALSE)</f>
        <v>Quinta dos Flamboyants</v>
      </c>
      <c r="G113" s="8" t="str">
        <f>VLOOKUP($C113,tab_Agências[],5,FALSE)</f>
        <v>19810-005</v>
      </c>
      <c r="H113" s="8" t="str">
        <f>VLOOKUP($C113,tab_Agências[],6,FALSE)</f>
        <v>Assis</v>
      </c>
      <c r="I113" s="8" t="str">
        <f>VLOOKUP($C113,tab_Agências[],7,FALSE)</f>
        <v>Via Chico Mendes, 75 - Quinta dos Flamboyants, Assis, 19810-005</v>
      </c>
      <c r="J113" s="8" t="str">
        <f>VLOOKUP($C113,tab_Agências[],8,FALSE)</f>
        <v>(18) 3324-4177</v>
      </c>
      <c r="K113" s="8" t="str">
        <f>VLOOKUP($C113,tab_Agências[],9,FALSE)</f>
        <v>(18) 3324-4177</v>
      </c>
      <c r="L113" s="8" t="str">
        <f>VLOOKUP($C113,tab_Agências[],10,FALSE)</f>
        <v>assis@cetesbnet.sp.gov.br</v>
      </c>
    </row>
    <row r="114" spans="1:12" x14ac:dyDescent="0.25">
      <c r="A114" s="8">
        <v>3509908</v>
      </c>
      <c r="B114" s="8" t="s">
        <v>1052</v>
      </c>
      <c r="C114" s="9">
        <v>30</v>
      </c>
      <c r="D114" s="10" t="str">
        <f>VLOOKUP($C114,tab_Agências[],2,FALSE)</f>
        <v>Agência Ambiental de Registro</v>
      </c>
      <c r="E114" s="8" t="str">
        <f>VLOOKUP($C114,tab_Agências[],3,FALSE)</f>
        <v>Rua São Bento, 249</v>
      </c>
      <c r="F114" s="8" t="str">
        <f>VLOOKUP($C114,tab_Agências[],4,FALSE)</f>
        <v>Jardim São Nicolau</v>
      </c>
      <c r="G114" s="8" t="str">
        <f>VLOOKUP($C114,tab_Agências[],5,FALSE)</f>
        <v>11900-000</v>
      </c>
      <c r="H114" s="8" t="str">
        <f>VLOOKUP($C114,tab_Agências[],6,FALSE)</f>
        <v>Registro</v>
      </c>
      <c r="I114" s="8" t="str">
        <f>VLOOKUP($C114,tab_Agências[],7,FALSE)</f>
        <v>Rua São Bento, 249 - Jardim São Nicolau, Registro, 11900-000</v>
      </c>
      <c r="J114" s="8" t="str">
        <f>VLOOKUP($C114,tab_Agências[],8,FALSE)</f>
        <v>(13) 3822-3855</v>
      </c>
      <c r="K114" s="8" t="str">
        <f>VLOOKUP($C114,tab_Agências[],9,FALSE)</f>
        <v>(13) 3822-4437</v>
      </c>
      <c r="L114" s="8" t="str">
        <f>VLOOKUP($C114,tab_Agências[],10,FALSE)</f>
        <v>registro@cetesbnet.sp.gov.br</v>
      </c>
    </row>
    <row r="115" spans="1:12" x14ac:dyDescent="0.25">
      <c r="A115" s="8">
        <v>3509957</v>
      </c>
      <c r="B115" s="8" t="s">
        <v>1053</v>
      </c>
      <c r="C115" s="9">
        <v>40</v>
      </c>
      <c r="D115" s="10" t="str">
        <f>VLOOKUP($C115,tab_Agências[],2,FALSE)</f>
        <v>Agência Ambiental de Taubaté</v>
      </c>
      <c r="E115" s="8" t="str">
        <f>VLOOKUP($C115,tab_Agências[],3,FALSE)</f>
        <v>Avenida Itambé, 38</v>
      </c>
      <c r="F115" s="8" t="str">
        <f>VLOOKUP($C115,tab_Agências[],4,FALSE)</f>
        <v>Sta. Luzia</v>
      </c>
      <c r="G115" s="8" t="str">
        <f>VLOOKUP($C115,tab_Agências[],5,FALSE)</f>
        <v>12091-200</v>
      </c>
      <c r="H115" s="8" t="str">
        <f>VLOOKUP($C115,tab_Agências[],6,FALSE)</f>
        <v>Taubaté</v>
      </c>
      <c r="I115" s="8" t="str">
        <f>VLOOKUP($C115,tab_Agências[],7,FALSE)</f>
        <v>Avenida Itambé, 38 - Sta. Luzia, Taubaté, 12091-200</v>
      </c>
      <c r="J115" s="8" t="str">
        <f>VLOOKUP($C115,tab_Agências[],8,FALSE)</f>
        <v>(12) 3634-8222</v>
      </c>
      <c r="K115" s="8" t="str">
        <f>VLOOKUP($C115,tab_Agências[],9,FALSE)</f>
        <v>(12) 3634-8234</v>
      </c>
      <c r="L115" s="8" t="str">
        <f>VLOOKUP($C115,tab_Agências[],10,FALSE)</f>
        <v>taubate@cetesbnet.sp.gov.br</v>
      </c>
    </row>
    <row r="116" spans="1:12" x14ac:dyDescent="0.25">
      <c r="A116" s="8">
        <v>3510005</v>
      </c>
      <c r="B116" s="8" t="s">
        <v>1054</v>
      </c>
      <c r="C116" s="9">
        <v>4</v>
      </c>
      <c r="D116" s="10" t="str">
        <f>VLOOKUP($C116,tab_Agências[],2,FALSE)</f>
        <v>Agência Ambiental de Assis</v>
      </c>
      <c r="E116" s="8" t="str">
        <f>VLOOKUP($C116,tab_Agências[],3,FALSE)</f>
        <v>Via Chico Mendes, 75</v>
      </c>
      <c r="F116" s="8" t="str">
        <f>VLOOKUP($C116,tab_Agências[],4,FALSE)</f>
        <v>Quinta dos Flamboyants</v>
      </c>
      <c r="G116" s="8" t="str">
        <f>VLOOKUP($C116,tab_Agências[],5,FALSE)</f>
        <v>19810-005</v>
      </c>
      <c r="H116" s="8" t="str">
        <f>VLOOKUP($C116,tab_Agências[],6,FALSE)</f>
        <v>Assis</v>
      </c>
      <c r="I116" s="8" t="str">
        <f>VLOOKUP($C116,tab_Agências[],7,FALSE)</f>
        <v>Via Chico Mendes, 75 - Quinta dos Flamboyants, Assis, 19810-005</v>
      </c>
      <c r="J116" s="8" t="str">
        <f>VLOOKUP($C116,tab_Agências[],8,FALSE)</f>
        <v>(18) 3324-4177</v>
      </c>
      <c r="K116" s="8" t="str">
        <f>VLOOKUP($C116,tab_Agências[],9,FALSE)</f>
        <v>(18) 3324-4177</v>
      </c>
      <c r="L116" s="8" t="str">
        <f>VLOOKUP($C116,tab_Agências[],10,FALSE)</f>
        <v>assis@cetesbnet.sp.gov.br</v>
      </c>
    </row>
    <row r="117" spans="1:12" x14ac:dyDescent="0.25">
      <c r="A117" s="8">
        <v>3510104</v>
      </c>
      <c r="B117" s="8" t="s">
        <v>1055</v>
      </c>
      <c r="C117" s="9">
        <v>19</v>
      </c>
      <c r="D117" s="10" t="str">
        <f>VLOOKUP($C117,tab_Agências[],2,FALSE)</f>
        <v>Agência Ambiental de Jaboticabal</v>
      </c>
      <c r="E117" s="8" t="str">
        <f>VLOOKUP($C117,tab_Agências[],3,FALSE)</f>
        <v>Avenida Angelo Morello, 60</v>
      </c>
      <c r="F117" s="8" t="str">
        <f>VLOOKUP($C117,tab_Agências[],4,FALSE)</f>
        <v>Jardim Santa Rosa</v>
      </c>
      <c r="G117" s="8" t="str">
        <f>VLOOKUP($C117,tab_Agências[],5,FALSE)</f>
        <v>14875-290</v>
      </c>
      <c r="H117" s="8" t="str">
        <f>VLOOKUP($C117,tab_Agências[],6,FALSE)</f>
        <v>Jaboticabal</v>
      </c>
      <c r="I117" s="8" t="str">
        <f>VLOOKUP($C117,tab_Agências[],7,FALSE)</f>
        <v>Avenida Angelo Morello, 60 - Jardim Santa Rosa, Jaboticabal, 14875-290</v>
      </c>
      <c r="J117" s="8" t="str">
        <f>VLOOKUP($C117,tab_Agências[],8,FALSE)</f>
        <v>(16) 3203-9400</v>
      </c>
      <c r="K117" s="8" t="str">
        <f>VLOOKUP($C117,tab_Agências[],9,FALSE)</f>
        <v>(16) 3203-9400</v>
      </c>
      <c r="L117" s="8" t="str">
        <f>VLOOKUP($C117,tab_Agências[],10,FALSE)</f>
        <v>jaboticabal@cetesbnet.sp.gov.br</v>
      </c>
    </row>
    <row r="118" spans="1:12" x14ac:dyDescent="0.25">
      <c r="A118" s="8">
        <v>3510153</v>
      </c>
      <c r="B118" s="8" t="s">
        <v>1056</v>
      </c>
      <c r="C118" s="9">
        <v>4</v>
      </c>
      <c r="D118" s="10" t="str">
        <f>VLOOKUP($C118,tab_Agências[],2,FALSE)</f>
        <v>Agência Ambiental de Assis</v>
      </c>
      <c r="E118" s="8" t="str">
        <f>VLOOKUP($C118,tab_Agências[],3,FALSE)</f>
        <v>Via Chico Mendes, 75</v>
      </c>
      <c r="F118" s="8" t="str">
        <f>VLOOKUP($C118,tab_Agências[],4,FALSE)</f>
        <v>Quinta dos Flamboyants</v>
      </c>
      <c r="G118" s="8" t="str">
        <f>VLOOKUP($C118,tab_Agências[],5,FALSE)</f>
        <v>19810-005</v>
      </c>
      <c r="H118" s="8" t="str">
        <f>VLOOKUP($C118,tab_Agências[],6,FALSE)</f>
        <v>Assis</v>
      </c>
      <c r="I118" s="8" t="str">
        <f>VLOOKUP($C118,tab_Agências[],7,FALSE)</f>
        <v>Via Chico Mendes, 75 - Quinta dos Flamboyants, Assis, 19810-005</v>
      </c>
      <c r="J118" s="8" t="str">
        <f>VLOOKUP($C118,tab_Agências[],8,FALSE)</f>
        <v>(18) 3324-4177</v>
      </c>
      <c r="K118" s="8" t="str">
        <f>VLOOKUP($C118,tab_Agências[],9,FALSE)</f>
        <v>(18) 3324-4177</v>
      </c>
      <c r="L118" s="8" t="str">
        <f>VLOOKUP($C118,tab_Agências[],10,FALSE)</f>
        <v>assis@cetesbnet.sp.gov.br</v>
      </c>
    </row>
    <row r="119" spans="1:12" x14ac:dyDescent="0.25">
      <c r="A119" s="8">
        <v>3510203</v>
      </c>
      <c r="B119" s="8" t="s">
        <v>1057</v>
      </c>
      <c r="C119" s="9">
        <v>11</v>
      </c>
      <c r="D119" s="10" t="str">
        <f>VLOOKUP($C119,tab_Agências[],2,FALSE)</f>
        <v>Agência Ambiental de Capão Bonito</v>
      </c>
      <c r="E119" s="8" t="str">
        <f>VLOOKUP($C119,tab_Agências[],3,FALSE)</f>
        <v>Rua Denise, 131</v>
      </c>
      <c r="F119" s="8" t="str">
        <f>VLOOKUP($C119,tab_Agências[],4,FALSE)</f>
        <v>Terras de Imbirucu</v>
      </c>
      <c r="G119" s="8" t="str">
        <f>VLOOKUP($C119,tab_Agências[],5,FALSE)</f>
        <v>18304-700</v>
      </c>
      <c r="H119" s="8" t="str">
        <f>VLOOKUP($C119,tab_Agências[],6,FALSE)</f>
        <v>Capão Bonito</v>
      </c>
      <c r="I119" s="8" t="str">
        <f>VLOOKUP($C119,tab_Agências[],7,FALSE)</f>
        <v>Rua Denise, 131 - Terras de Imbirucu, Capão Bonito, 18304-700</v>
      </c>
      <c r="J119" s="8" t="str">
        <f>VLOOKUP($C119,tab_Agências[],8,FALSE)</f>
        <v>(15) 3542-3885</v>
      </c>
      <c r="K119" s="8" t="str">
        <f>VLOOKUP($C119,tab_Agências[],9,FALSE)</f>
        <v>(15) 3542-3885</v>
      </c>
      <c r="L119" s="8" t="str">
        <f>VLOOKUP($C119,tab_Agências[],10,FALSE)</f>
        <v>capaobonito@cetesbnet.sp.gov.br</v>
      </c>
    </row>
    <row r="120" spans="1:12" x14ac:dyDescent="0.25">
      <c r="A120" s="8">
        <v>3510302</v>
      </c>
      <c r="B120" s="8" t="s">
        <v>1058</v>
      </c>
      <c r="C120" s="9">
        <v>39</v>
      </c>
      <c r="D120" s="10" t="str">
        <f>VLOOKUP($C120,tab_Agências[],2,FALSE)</f>
        <v>Agência Ambiental de Sorocaba</v>
      </c>
      <c r="E120" s="8" t="str">
        <f>VLOOKUP($C120,tab_Agências[],3,FALSE)</f>
        <v>Avenida Américo de Carvalho, 820</v>
      </c>
      <c r="F120" s="8" t="str">
        <f>VLOOKUP($C120,tab_Agências[],4,FALSE)</f>
        <v>Jardim Europa</v>
      </c>
      <c r="G120" s="8" t="str">
        <f>VLOOKUP($C120,tab_Agências[],5,FALSE)</f>
        <v>18045-000</v>
      </c>
      <c r="H120" s="8" t="str">
        <f>VLOOKUP($C120,tab_Agências[],6,FALSE)</f>
        <v>Sorocaba</v>
      </c>
      <c r="I120" s="8" t="str">
        <f>VLOOKUP($C120,tab_Agências[],7,FALSE)</f>
        <v>Avenida Américo de Carvalho, 820 - Jardim Europa, Sorocaba, 18045-000</v>
      </c>
      <c r="J120" s="8" t="str">
        <f>VLOOKUP($C120,tab_Agências[],8,FALSE)</f>
        <v>(15) 3222-2065</v>
      </c>
      <c r="K120" s="8" t="str">
        <f>VLOOKUP($C120,tab_Agências[],9,FALSE)</f>
        <v>(15) 3222-2065</v>
      </c>
      <c r="L120" s="8" t="str">
        <f>VLOOKUP($C120,tab_Agências[],10,FALSE)</f>
        <v>sorocaba@cetesbnet.sp.gov.br</v>
      </c>
    </row>
    <row r="121" spans="1:12" x14ac:dyDescent="0.25">
      <c r="A121" s="8">
        <v>3510401</v>
      </c>
      <c r="B121" s="8" t="s">
        <v>1059</v>
      </c>
      <c r="C121" s="9">
        <v>10</v>
      </c>
      <c r="D121" s="10" t="str">
        <f>VLOOKUP($C121,tab_Agências[],2,FALSE)</f>
        <v>Agência Ambiental de Campinas</v>
      </c>
      <c r="E121" s="8" t="str">
        <f>VLOOKUP($C121,tab_Agências[],3,FALSE)</f>
        <v>Rua São Carlos, 277</v>
      </c>
      <c r="F121" s="8" t="str">
        <f>VLOOKUP($C121,tab_Agências[],4,FALSE)</f>
        <v>Vila Industrial</v>
      </c>
      <c r="G121" s="8" t="str">
        <f>VLOOKUP($C121,tab_Agências[],5,FALSE)</f>
        <v>13035-420</v>
      </c>
      <c r="H121" s="8" t="str">
        <f>VLOOKUP($C121,tab_Agências[],6,FALSE)</f>
        <v>Campinas</v>
      </c>
      <c r="I121" s="8" t="str">
        <f>VLOOKUP($C121,tab_Agências[],7,FALSE)</f>
        <v>Rua São Carlos, 277 - Vila Industrial, Campinas, 13035-420</v>
      </c>
      <c r="J121" s="8" t="str">
        <f>VLOOKUP($C121,tab_Agências[],8,FALSE)</f>
        <v>(19) 3772-6600</v>
      </c>
      <c r="K121" s="8" t="str">
        <f>VLOOKUP($C121,tab_Agências[],9,FALSE)</f>
        <v>(19) 3772-6624</v>
      </c>
      <c r="L121" s="8" t="str">
        <f>VLOOKUP($C121,tab_Agências[],10,FALSE)</f>
        <v>campinasI@cetesbnet.sp.gov.br</v>
      </c>
    </row>
    <row r="122" spans="1:12" x14ac:dyDescent="0.25">
      <c r="A122" s="8">
        <v>3510500</v>
      </c>
      <c r="B122" s="8" t="s">
        <v>1060</v>
      </c>
      <c r="C122" s="9">
        <v>38</v>
      </c>
      <c r="D122" s="10" t="str">
        <f>VLOOKUP($C122,tab_Agências[],2,FALSE)</f>
        <v>Agência Ambiental de São Sebastião</v>
      </c>
      <c r="E122" s="8" t="str">
        <f>VLOOKUP($C122,tab_Agências[],3,FALSE)</f>
        <v>Rua Francisco da Cruz Maldonado, 132</v>
      </c>
      <c r="F122" s="8" t="str">
        <f>VLOOKUP($C122,tab_Agências[],4,FALSE)</f>
        <v>Portal da Olaria</v>
      </c>
      <c r="G122" s="8" t="str">
        <f>VLOOKUP($C122,tab_Agências[],5,FALSE)</f>
        <v>11600-000</v>
      </c>
      <c r="H122" s="8" t="str">
        <f>VLOOKUP($C122,tab_Agências[],6,FALSE)</f>
        <v>São Sebastião</v>
      </c>
      <c r="I122" s="8" t="str">
        <f>VLOOKUP($C122,tab_Agências[],7,FALSE)</f>
        <v>Rua Francisco da Cruz Maldonado, 132 - Portal da Olaria, São Sebastião, 11600-000</v>
      </c>
      <c r="J122" s="8" t="str">
        <f>VLOOKUP($C122,tab_Agências[],8,FALSE)</f>
        <v>(12) 3862-2300</v>
      </c>
      <c r="K122" s="8" t="str">
        <f>VLOOKUP($C122,tab_Agências[],9,FALSE)</f>
        <v>(12) 3862-2300</v>
      </c>
      <c r="L122" s="8" t="str">
        <f>VLOOKUP($C122,tab_Agências[],10,FALSE)</f>
        <v>ssebastiao@cetesbnet.sp.gov.br</v>
      </c>
    </row>
    <row r="123" spans="1:12" x14ac:dyDescent="0.25">
      <c r="A123" s="8">
        <v>3510609</v>
      </c>
      <c r="B123" s="8" t="s">
        <v>1061</v>
      </c>
      <c r="C123" s="9">
        <v>26</v>
      </c>
      <c r="D123" s="10" t="str">
        <f>VLOOKUP($C123,tab_Agências[],2,FALSE)</f>
        <v>Agência Ambiental de Osasco</v>
      </c>
      <c r="E123" s="8" t="str">
        <f>VLOOKUP($C123,tab_Agências[],3,FALSE)</f>
        <v>Rua Anete Queiroz Lacerda, 80</v>
      </c>
      <c r="F123" s="8" t="str">
        <f>VLOOKUP($C123,tab_Agências[],4,FALSE)</f>
        <v>Butantã</v>
      </c>
      <c r="G123" s="8" t="str">
        <f>VLOOKUP($C123,tab_Agências[],5,FALSE)</f>
        <v>05591-080</v>
      </c>
      <c r="H123" s="8" t="str">
        <f>VLOOKUP($C123,tab_Agências[],6,FALSE)</f>
        <v>São Paulo</v>
      </c>
      <c r="I123" s="8" t="str">
        <f>VLOOKUP($C123,tab_Agências[],7,FALSE)</f>
        <v>Rua Anete Queiroz Lacerda, 80 - Butantã, São Paulo, 05591-080</v>
      </c>
      <c r="J123" s="8" t="str">
        <f>VLOOKUP($C123,tab_Agências[],8,FALSE)</f>
        <v>(11) 3721-9600</v>
      </c>
      <c r="K123" s="8" t="str">
        <f>VLOOKUP($C123,tab_Agências[],9,FALSE)</f>
        <v>(11) 3721-9600</v>
      </c>
      <c r="L123" s="8" t="str">
        <f>VLOOKUP($C123,tab_Agências[],10,FALSE)</f>
        <v>osasco@cetesbnet.sp.gov.br</v>
      </c>
    </row>
    <row r="124" spans="1:12" x14ac:dyDescent="0.25">
      <c r="A124" s="8">
        <v>3510708</v>
      </c>
      <c r="B124" s="8" t="s">
        <v>1062</v>
      </c>
      <c r="C124" s="9">
        <v>41</v>
      </c>
      <c r="D124" s="10" t="str">
        <f>VLOOKUP($C124,tab_Agências[],2,FALSE)</f>
        <v>Agência Ambiental de Votuporanga</v>
      </c>
      <c r="E124" s="8" t="str">
        <f>VLOOKUP($C124,tab_Agências[],3,FALSE)</f>
        <v>Avenida Deputado Aureo Ferreira, 1724</v>
      </c>
      <c r="F124" s="8" t="str">
        <f>VLOOKUP($C124,tab_Agências[],4,FALSE)</f>
        <v>Vila Paes</v>
      </c>
      <c r="G124" s="8" t="str">
        <f>VLOOKUP($C124,tab_Agências[],5,FALSE)</f>
        <v>15500-112</v>
      </c>
      <c r="H124" s="8" t="str">
        <f>VLOOKUP($C124,tab_Agências[],6,FALSE)</f>
        <v>Votuporanga</v>
      </c>
      <c r="I124" s="8" t="str">
        <f>VLOOKUP($C124,tab_Agências[],7,FALSE)</f>
        <v>Avenida Deputado Aureo Ferreira, 1724 - Vila Paes, Votuporanga, 15500-112</v>
      </c>
      <c r="J124" s="8" t="str">
        <f>VLOOKUP($C124,tab_Agências[],8,FALSE)</f>
        <v>(17) 3421-4004</v>
      </c>
      <c r="K124" s="8" t="str">
        <f>VLOOKUP($C124,tab_Agências[],9,FALSE)</f>
        <v>(17) 3421-4004</v>
      </c>
      <c r="L124" s="8" t="str">
        <f>VLOOKUP($C124,tab_Agências[],10,FALSE)</f>
        <v>votuporanga@cetesbnet.sp.gov.br</v>
      </c>
    </row>
    <row r="125" spans="1:12" x14ac:dyDescent="0.25">
      <c r="A125" s="8">
        <v>3510807</v>
      </c>
      <c r="B125" s="8" t="s">
        <v>1063</v>
      </c>
      <c r="C125" s="9">
        <v>35</v>
      </c>
      <c r="D125" s="10" t="str">
        <f>VLOOKUP($C125,tab_Agências[],2,FALSE)</f>
        <v>Agência Ambiental de São João da Boa Vista</v>
      </c>
      <c r="E125" s="8" t="str">
        <f>VLOOKUP($C125,tab_Agências[],3,FALSE)</f>
        <v>Rua Marechal Deodoro, 345</v>
      </c>
      <c r="F125" s="8" t="str">
        <f>VLOOKUP($C125,tab_Agências[],4,FALSE)</f>
        <v>Centro</v>
      </c>
      <c r="G125" s="8" t="str">
        <f>VLOOKUP($C125,tab_Agências[],5,FALSE)</f>
        <v>13870-223</v>
      </c>
      <c r="H125" s="8" t="str">
        <f>VLOOKUP($C125,tab_Agências[],6,FALSE)</f>
        <v>São João da Boa Vista</v>
      </c>
      <c r="I125" s="8" t="str">
        <f>VLOOKUP($C125,tab_Agências[],7,FALSE)</f>
        <v>Rua Marechal Deodoro, 345 - Centro, São João da Boa Vista, 13870-223</v>
      </c>
      <c r="J125" s="8" t="str">
        <f>VLOOKUP($C125,tab_Agências[],8,FALSE)</f>
        <v>(19) 3633-1510</v>
      </c>
      <c r="K125" s="8" t="str">
        <f>VLOOKUP($C125,tab_Agências[],9,FALSE)</f>
        <v>(19) 3633-1510</v>
      </c>
      <c r="L125" s="8" t="str">
        <f>VLOOKUP($C125,tab_Agências[],10,FALSE)</f>
        <v>sjboavista@cetesbnet.sp.gov.br</v>
      </c>
    </row>
    <row r="126" spans="1:12" x14ac:dyDescent="0.25">
      <c r="A126" s="8">
        <v>3510906</v>
      </c>
      <c r="B126" s="8" t="s">
        <v>1064</v>
      </c>
      <c r="C126" s="9">
        <v>31</v>
      </c>
      <c r="D126" s="10" t="str">
        <f>VLOOKUP($C126,tab_Agências[],2,FALSE)</f>
        <v>Agência Ambiental de Ribeirão Preto</v>
      </c>
      <c r="E126" s="8" t="str">
        <f>VLOOKUP($C126,tab_Agências[],3,FALSE)</f>
        <v>Avenida Presidente Kennedy, 1760</v>
      </c>
      <c r="F126" s="8" t="str">
        <f>VLOOKUP($C126,tab_Agências[],4,FALSE)</f>
        <v>Ribeirânia</v>
      </c>
      <c r="G126" s="8" t="str">
        <f>VLOOKUP($C126,tab_Agências[],5,FALSE)</f>
        <v>14096-350</v>
      </c>
      <c r="H126" s="8" t="str">
        <f>VLOOKUP($C126,tab_Agências[],6,FALSE)</f>
        <v>Ribeirão Preto</v>
      </c>
      <c r="I126" s="8" t="str">
        <f>VLOOKUP($C126,tab_Agências[],7,FALSE)</f>
        <v>Avenida Presidente Kennedy, 1760 - Ribeirânia, Ribeirão Preto, 14096-350</v>
      </c>
      <c r="J126" s="8" t="str">
        <f>VLOOKUP($C126,tab_Agências[],8,FALSE)</f>
        <v>(16) 3617-4700</v>
      </c>
      <c r="K126" s="8" t="str">
        <f>VLOOKUP($C126,tab_Agências[],9,FALSE)</f>
        <v>(16) 3617-4207</v>
      </c>
      <c r="L126" s="8" t="str">
        <f>VLOOKUP($C126,tab_Agências[],10,FALSE)</f>
        <v>ribeirao@cetesbnet.sp.gov.br</v>
      </c>
    </row>
    <row r="127" spans="1:12" x14ac:dyDescent="0.25">
      <c r="A127" s="8">
        <v>3511003</v>
      </c>
      <c r="B127" s="8" t="s">
        <v>1065</v>
      </c>
      <c r="C127" s="9">
        <v>13</v>
      </c>
      <c r="D127" s="10" t="str">
        <f>VLOOKUP($C127,tab_Agências[],2,FALSE)</f>
        <v>Agência Ambiental de Dracena</v>
      </c>
      <c r="E127" s="8" t="str">
        <f>VLOOKUP($C127,tab_Agências[],3,FALSE)</f>
        <v>Rua Tomé de Souza, 438</v>
      </c>
      <c r="F127" s="8" t="str">
        <f>VLOOKUP($C127,tab_Agências[],4,FALSE)</f>
        <v>Centro</v>
      </c>
      <c r="G127" s="8" t="str">
        <f>VLOOKUP($C127,tab_Agências[],5,FALSE)</f>
        <v>17900-000</v>
      </c>
      <c r="H127" s="8" t="str">
        <f>VLOOKUP($C127,tab_Agências[],6,FALSE)</f>
        <v>Dracena</v>
      </c>
      <c r="I127" s="8" t="str">
        <f>VLOOKUP($C127,tab_Agências[],7,FALSE)</f>
        <v>Rua Tomé de Souza, 438 - Centro, Dracena, 17900-000</v>
      </c>
      <c r="J127" s="8" t="str">
        <f>VLOOKUP($C127,tab_Agências[],8,FALSE)</f>
        <v>(18) 3822-3166</v>
      </c>
      <c r="K127" s="8" t="str">
        <f>VLOOKUP($C127,tab_Agências[],9,FALSE)</f>
        <v>(18) 3822-3166</v>
      </c>
      <c r="L127" s="8" t="str">
        <f>VLOOKUP($C127,tab_Agências[],10,FALSE)</f>
        <v>dracena@cetesbnet.sp.gov.br</v>
      </c>
    </row>
    <row r="128" spans="1:12" x14ac:dyDescent="0.25">
      <c r="A128" s="8">
        <v>3511102</v>
      </c>
      <c r="B128" s="8" t="s">
        <v>1066</v>
      </c>
      <c r="C128" s="9">
        <v>36</v>
      </c>
      <c r="D128" s="10" t="str">
        <f>VLOOKUP($C128,tab_Agências[],2,FALSE)</f>
        <v>Agência Ambiental de São José do Rio Preto</v>
      </c>
      <c r="E128" s="8" t="str">
        <f>VLOOKUP($C128,tab_Agências[],3,FALSE)</f>
        <v>Avenida Mário Andreazza,</v>
      </c>
      <c r="F128" s="8" t="str">
        <f>VLOOKUP($C128,tab_Agências[],4,FALSE)</f>
        <v>Jardim São Marcos</v>
      </c>
      <c r="G128" s="8" t="str">
        <f>VLOOKUP($C128,tab_Agências[],5,FALSE)</f>
        <v>15081-490</v>
      </c>
      <c r="H128" s="8" t="str">
        <f>VLOOKUP($C128,tab_Agências[],6,FALSE)</f>
        <v>São José do Rio Preto</v>
      </c>
      <c r="I128" s="8" t="str">
        <f>VLOOKUP($C128,tab_Agências[],7,FALSE)</f>
        <v>Avenida Mário Andreazza, - Jardim São Marcos, São José do Rio Preto, 15081-490</v>
      </c>
      <c r="J128" s="8" t="str">
        <f>VLOOKUP($C128,tab_Agências[],8,FALSE)</f>
        <v>(17) 3218-4300</v>
      </c>
      <c r="K128" s="8" t="str">
        <f>VLOOKUP($C128,tab_Agências[],9,FALSE)</f>
        <v>(17) 3218-4300</v>
      </c>
      <c r="L128" s="8" t="str">
        <f>VLOOKUP($C128,tab_Agências[],10,FALSE)</f>
        <v>riopreto@cetesbnet.sp.gov.br</v>
      </c>
    </row>
    <row r="129" spans="1:12" x14ac:dyDescent="0.25">
      <c r="A129" s="8">
        <v>3511201</v>
      </c>
      <c r="B129" s="8" t="s">
        <v>1067</v>
      </c>
      <c r="C129" s="9">
        <v>36</v>
      </c>
      <c r="D129" s="10" t="str">
        <f>VLOOKUP($C129,tab_Agências[],2,FALSE)</f>
        <v>Agência Ambiental de São José do Rio Preto</v>
      </c>
      <c r="E129" s="8" t="str">
        <f>VLOOKUP($C129,tab_Agências[],3,FALSE)</f>
        <v>Avenida Mário Andreazza,</v>
      </c>
      <c r="F129" s="8" t="str">
        <f>VLOOKUP($C129,tab_Agências[],4,FALSE)</f>
        <v>Jardim São Marcos</v>
      </c>
      <c r="G129" s="8" t="str">
        <f>VLOOKUP($C129,tab_Agências[],5,FALSE)</f>
        <v>15081-490</v>
      </c>
      <c r="H129" s="8" t="str">
        <f>VLOOKUP($C129,tab_Agências[],6,FALSE)</f>
        <v>São José do Rio Preto</v>
      </c>
      <c r="I129" s="8" t="str">
        <f>VLOOKUP($C129,tab_Agências[],7,FALSE)</f>
        <v>Avenida Mário Andreazza, - Jardim São Marcos, São José do Rio Preto, 15081-490</v>
      </c>
      <c r="J129" s="8" t="str">
        <f>VLOOKUP($C129,tab_Agências[],8,FALSE)</f>
        <v>(17) 3218-4300</v>
      </c>
      <c r="K129" s="8" t="str">
        <f>VLOOKUP($C129,tab_Agências[],9,FALSE)</f>
        <v>(17) 3218-4300</v>
      </c>
      <c r="L129" s="8" t="str">
        <f>VLOOKUP($C129,tab_Agências[],10,FALSE)</f>
        <v>riopreto@cetesbnet.sp.gov.br</v>
      </c>
    </row>
    <row r="130" spans="1:12" x14ac:dyDescent="0.25">
      <c r="A130" s="8">
        <v>3511300</v>
      </c>
      <c r="B130" s="8" t="s">
        <v>1068</v>
      </c>
      <c r="C130" s="9">
        <v>36</v>
      </c>
      <c r="D130" s="10" t="str">
        <f>VLOOKUP($C130,tab_Agências[],2,FALSE)</f>
        <v>Agência Ambiental de São José do Rio Preto</v>
      </c>
      <c r="E130" s="8" t="str">
        <f>VLOOKUP($C130,tab_Agências[],3,FALSE)</f>
        <v>Avenida Mário Andreazza,</v>
      </c>
      <c r="F130" s="8" t="str">
        <f>VLOOKUP($C130,tab_Agências[],4,FALSE)</f>
        <v>Jardim São Marcos</v>
      </c>
      <c r="G130" s="8" t="str">
        <f>VLOOKUP($C130,tab_Agências[],5,FALSE)</f>
        <v>15081-490</v>
      </c>
      <c r="H130" s="8" t="str">
        <f>VLOOKUP($C130,tab_Agências[],6,FALSE)</f>
        <v>São José do Rio Preto</v>
      </c>
      <c r="I130" s="8" t="str">
        <f>VLOOKUP($C130,tab_Agências[],7,FALSE)</f>
        <v>Avenida Mário Andreazza, - Jardim São Marcos, São José do Rio Preto, 15081-490</v>
      </c>
      <c r="J130" s="8" t="str">
        <f>VLOOKUP($C130,tab_Agências[],8,FALSE)</f>
        <v>(17) 3218-4300</v>
      </c>
      <c r="K130" s="8" t="str">
        <f>VLOOKUP($C130,tab_Agências[],9,FALSE)</f>
        <v>(17) 3218-4300</v>
      </c>
      <c r="L130" s="8" t="str">
        <f>VLOOKUP($C130,tab_Agências[],10,FALSE)</f>
        <v>riopreto@cetesbnet.sp.gov.br</v>
      </c>
    </row>
    <row r="131" spans="1:12" x14ac:dyDescent="0.25">
      <c r="A131" s="8">
        <v>3511409</v>
      </c>
      <c r="B131" s="8" t="s">
        <v>1069</v>
      </c>
      <c r="C131" s="9">
        <v>6</v>
      </c>
      <c r="D131" s="10" t="str">
        <f>VLOOKUP($C131,tab_Agências[],2,FALSE)</f>
        <v>Agência Ambiental de Avaré</v>
      </c>
      <c r="E131" s="8" t="str">
        <f>VLOOKUP($C131,tab_Agências[],3,FALSE)</f>
        <v>Avenida Governador Mário Covas, 525</v>
      </c>
      <c r="F131" s="8" t="str">
        <f>VLOOKUP($C131,tab_Agências[],4,FALSE)</f>
        <v>Vila Industrial</v>
      </c>
      <c r="G131" s="8" t="str">
        <f>VLOOKUP($C131,tab_Agências[],5,FALSE)</f>
        <v>18705-851</v>
      </c>
      <c r="H131" s="8" t="str">
        <f>VLOOKUP($C131,tab_Agências[],6,FALSE)</f>
        <v>Avaré</v>
      </c>
      <c r="I131" s="8" t="str">
        <f>VLOOKUP($C131,tab_Agências[],7,FALSE)</f>
        <v>Avenida Governador Mário Covas, 525 - Vila Industrial, Avaré, 18705-851</v>
      </c>
      <c r="J131" s="8" t="str">
        <f>VLOOKUP($C131,tab_Agências[],8,FALSE)</f>
        <v>(14) 3732-4900</v>
      </c>
      <c r="K131" s="8" t="str">
        <f>VLOOKUP($C131,tab_Agências[],9,FALSE)</f>
        <v xml:space="preserve"> </v>
      </c>
      <c r="L131" s="8" t="str">
        <f>VLOOKUP($C131,tab_Agências[],10,FALSE)</f>
        <v>avare@cetesbnet.sp.gov.br</v>
      </c>
    </row>
    <row r="132" spans="1:12" x14ac:dyDescent="0.25">
      <c r="A132" s="8">
        <v>3511508</v>
      </c>
      <c r="B132" s="8" t="s">
        <v>1070</v>
      </c>
      <c r="C132" s="9">
        <v>18</v>
      </c>
      <c r="D132" s="10" t="str">
        <f>VLOOKUP($C132,tab_Agências[],2,FALSE)</f>
        <v>Agência Ambiental de Itu</v>
      </c>
      <c r="E132" s="8" t="str">
        <f>VLOOKUP($C132,tab_Agências[],3,FALSE)</f>
        <v>Rua Santa Rita, 1165</v>
      </c>
      <c r="F132" s="8" t="str">
        <f>VLOOKUP($C132,tab_Agências[],4,FALSE)</f>
        <v>Centro</v>
      </c>
      <c r="G132" s="8" t="str">
        <f>VLOOKUP($C132,tab_Agências[],5,FALSE)</f>
        <v>13300-065</v>
      </c>
      <c r="H132" s="8" t="str">
        <f>VLOOKUP($C132,tab_Agências[],6,FALSE)</f>
        <v>Itu</v>
      </c>
      <c r="I132" s="8" t="str">
        <f>VLOOKUP($C132,tab_Agências[],7,FALSE)</f>
        <v>Rua Santa Rita, 1165 - Centro, Itu, 13300-065</v>
      </c>
      <c r="J132" s="8" t="str">
        <f>VLOOKUP($C132,tab_Agências[],8,FALSE)</f>
        <v>(11) 4013-3419</v>
      </c>
      <c r="K132" s="8" t="str">
        <f>VLOOKUP($C132,tab_Agências[],9,FALSE)</f>
        <v>(11) 4013-3419</v>
      </c>
      <c r="L132" s="8" t="str">
        <f>VLOOKUP($C132,tab_Agências[],10,FALSE)</f>
        <v>itu@cetesbnet.sp.gov.br</v>
      </c>
    </row>
    <row r="133" spans="1:12" x14ac:dyDescent="0.25">
      <c r="A133" s="8">
        <v>3511607</v>
      </c>
      <c r="B133" s="8" t="s">
        <v>1071</v>
      </c>
      <c r="C133" s="9">
        <v>9</v>
      </c>
      <c r="D133" s="10" t="str">
        <f>VLOOKUP($C133,tab_Agências[],2,FALSE)</f>
        <v>Agência Ambiental de Botucatu</v>
      </c>
      <c r="E133" s="8" t="str">
        <f>VLOOKUP($C133,tab_Agências[],3,FALSE)</f>
        <v>Rua João Morato da Conceição, 525</v>
      </c>
      <c r="F133" s="8" t="str">
        <f>VLOOKUP($C133,tab_Agências[],4,FALSE)</f>
        <v>Vila Maria</v>
      </c>
      <c r="G133" s="8" t="str">
        <f>VLOOKUP($C133,tab_Agências[],5,FALSE)</f>
        <v>18611-358</v>
      </c>
      <c r="H133" s="8" t="str">
        <f>VLOOKUP($C133,tab_Agências[],6,FALSE)</f>
        <v>Botucatu</v>
      </c>
      <c r="I133" s="8" t="str">
        <f>VLOOKUP($C133,tab_Agências[],7,FALSE)</f>
        <v>Rua João Morato da Conceição, 525 - Vila Maria, Botucatu, 18611-358</v>
      </c>
      <c r="J133" s="8" t="str">
        <f>VLOOKUP($C133,tab_Agências[],8,FALSE)</f>
        <v>(14) 3882-1134</v>
      </c>
      <c r="K133" s="8" t="str">
        <f>VLOOKUP($C133,tab_Agências[],9,FALSE)</f>
        <v>(14) 3882-1134</v>
      </c>
      <c r="L133" s="8" t="str">
        <f>VLOOKUP($C133,tab_Agências[],10,FALSE)</f>
        <v>botucatu@cetesbnet.sp.gov.br</v>
      </c>
    </row>
    <row r="134" spans="1:12" x14ac:dyDescent="0.25">
      <c r="A134" s="8">
        <v>3511706</v>
      </c>
      <c r="B134" s="8" t="s">
        <v>1072</v>
      </c>
      <c r="C134" s="9">
        <v>28</v>
      </c>
      <c r="D134" s="10" t="str">
        <f>VLOOKUP($C134,tab_Agências[],2,FALSE)</f>
        <v>Agência Ambiental de Piracicaba</v>
      </c>
      <c r="E134" s="8" t="str">
        <f>VLOOKUP($C134,tab_Agências[],3,FALSE)</f>
        <v>Rua do Rosário, 566</v>
      </c>
      <c r="F134" s="8" t="str">
        <f>VLOOKUP($C134,tab_Agências[],4,FALSE)</f>
        <v>Centro</v>
      </c>
      <c r="G134" s="8" t="str">
        <f>VLOOKUP($C134,tab_Agências[],5,FALSE)</f>
        <v>13400-183</v>
      </c>
      <c r="H134" s="8" t="str">
        <f>VLOOKUP($C134,tab_Agências[],6,FALSE)</f>
        <v>Piracicaba</v>
      </c>
      <c r="I134" s="8" t="str">
        <f>VLOOKUP($C134,tab_Agências[],7,FALSE)</f>
        <v>Rua do Rosário, 566 - Centro, Piracicaba, 13400-183</v>
      </c>
      <c r="J134" s="8" t="str">
        <f>VLOOKUP($C134,tab_Agências[],8,FALSE)</f>
        <v>(19) 3402-6863</v>
      </c>
      <c r="K134" s="8" t="str">
        <f>VLOOKUP($C134,tab_Agências[],9,FALSE)</f>
        <v>(19) 3402-6863</v>
      </c>
      <c r="L134" s="8" t="str">
        <f>VLOOKUP($C134,tab_Agências[],10,FALSE)</f>
        <v>piracicaba@cetesbnet.sp.gov.br</v>
      </c>
    </row>
    <row r="135" spans="1:12" x14ac:dyDescent="0.25">
      <c r="A135" s="8">
        <v>3557204</v>
      </c>
      <c r="B135" s="8" t="s">
        <v>1073</v>
      </c>
      <c r="C135" s="9">
        <v>4</v>
      </c>
      <c r="D135" s="10" t="str">
        <f>VLOOKUP($C135,tab_Agências[],2,FALSE)</f>
        <v>Agência Ambiental de Assis</v>
      </c>
      <c r="E135" s="8" t="str">
        <f>VLOOKUP($C135,tab_Agências[],3,FALSE)</f>
        <v>Via Chico Mendes, 75</v>
      </c>
      <c r="F135" s="8" t="str">
        <f>VLOOKUP($C135,tab_Agências[],4,FALSE)</f>
        <v>Quinta dos Flamboyants</v>
      </c>
      <c r="G135" s="8" t="str">
        <f>VLOOKUP($C135,tab_Agências[],5,FALSE)</f>
        <v>19810-005</v>
      </c>
      <c r="H135" s="8" t="str">
        <f>VLOOKUP($C135,tab_Agências[],6,FALSE)</f>
        <v>Assis</v>
      </c>
      <c r="I135" s="8" t="str">
        <f>VLOOKUP($C135,tab_Agências[],7,FALSE)</f>
        <v>Via Chico Mendes, 75 - Quinta dos Flamboyants, Assis, 19810-005</v>
      </c>
      <c r="J135" s="8" t="str">
        <f>VLOOKUP($C135,tab_Agências[],8,FALSE)</f>
        <v>(18) 3324-4177</v>
      </c>
      <c r="K135" s="8" t="str">
        <f>VLOOKUP($C135,tab_Agências[],9,FALSE)</f>
        <v>(18) 3324-4177</v>
      </c>
      <c r="L135" s="8" t="str">
        <f>VLOOKUP($C135,tab_Agências[],10,FALSE)</f>
        <v>assis@cetesbnet.sp.gov.br</v>
      </c>
    </row>
    <row r="136" spans="1:12" x14ac:dyDescent="0.25">
      <c r="A136" s="8">
        <v>3511904</v>
      </c>
      <c r="B136" s="8" t="s">
        <v>1074</v>
      </c>
      <c r="C136" s="9">
        <v>2</v>
      </c>
      <c r="D136" s="10" t="str">
        <f>VLOOKUP($C136,tab_Agências[],2,FALSE)</f>
        <v>Agência Ambiental de Araçatuba</v>
      </c>
      <c r="E136" s="8" t="str">
        <f>VLOOKUP($C136,tab_Agências[],3,FALSE)</f>
        <v>Rua Ten. Alcides Teodoro dos Santos, 260</v>
      </c>
      <c r="F136" s="8" t="str">
        <f>VLOOKUP($C136,tab_Agências[],4,FALSE)</f>
        <v>Aviação</v>
      </c>
      <c r="G136" s="8" t="str">
        <f>VLOOKUP($C136,tab_Agências[],5,FALSE)</f>
        <v>16055-557</v>
      </c>
      <c r="H136" s="8" t="str">
        <f>VLOOKUP($C136,tab_Agências[],6,FALSE)</f>
        <v>Araçatuba</v>
      </c>
      <c r="I136" s="8" t="str">
        <f>VLOOKUP($C136,tab_Agências[],7,FALSE)</f>
        <v>Rua Ten. Alcides Teodoro dos Santos, 260 - Aviação, Araçatuba, 16055-557</v>
      </c>
      <c r="J136" s="8" t="str">
        <f>VLOOKUP($C136,tab_Agências[],8,FALSE)</f>
        <v>(18) 3608-8053</v>
      </c>
      <c r="K136" s="8" t="str">
        <f>VLOOKUP($C136,tab_Agências[],9,FALSE)</f>
        <v>(18) 3608-7197</v>
      </c>
      <c r="L136" s="8" t="str">
        <f>VLOOKUP($C136,tab_Agências[],10,FALSE)</f>
        <v>aracatuba@cetesbnet.sp.gov.br</v>
      </c>
    </row>
    <row r="137" spans="1:12" x14ac:dyDescent="0.25">
      <c r="A137" s="8">
        <v>3512001</v>
      </c>
      <c r="B137" s="8" t="s">
        <v>1075</v>
      </c>
      <c r="C137" s="9">
        <v>7</v>
      </c>
      <c r="D137" s="10" t="str">
        <f>VLOOKUP($C137,tab_Agências[],2,FALSE)</f>
        <v>Agência Ambiental de Barretos</v>
      </c>
      <c r="E137" s="8" t="str">
        <f>VLOOKUP($C137,tab_Agências[],3,FALSE)</f>
        <v>Rua Bolívia, 2255</v>
      </c>
      <c r="F137" s="8" t="str">
        <f>VLOOKUP($C137,tab_Agências[],4,FALSE)</f>
        <v>América</v>
      </c>
      <c r="G137" s="8" t="str">
        <f>VLOOKUP($C137,tab_Agências[],5,FALSE)</f>
        <v>14783-197</v>
      </c>
      <c r="H137" s="8" t="str">
        <f>VLOOKUP($C137,tab_Agências[],6,FALSE)</f>
        <v>Barretos</v>
      </c>
      <c r="I137" s="8" t="str">
        <f>VLOOKUP($C137,tab_Agências[],7,FALSE)</f>
        <v>Rua Bolívia, 2255 - América, Barretos, 14783-197</v>
      </c>
      <c r="J137" s="8" t="str">
        <f>VLOOKUP($C137,tab_Agências[],8,FALSE)</f>
        <v>(17) 3322-2655</v>
      </c>
      <c r="K137" s="8" t="str">
        <f>VLOOKUP($C137,tab_Agências[],9,FALSE)</f>
        <v>(17) 3322-2952</v>
      </c>
      <c r="L137" s="8" t="str">
        <f>VLOOKUP($C137,tab_Agências[],10,FALSE)</f>
        <v>barretos@cetesbnet.sp.gov.br</v>
      </c>
    </row>
    <row r="138" spans="1:12" x14ac:dyDescent="0.25">
      <c r="A138" s="8">
        <v>3512100</v>
      </c>
      <c r="B138" s="8" t="s">
        <v>1076</v>
      </c>
      <c r="C138" s="9">
        <v>7</v>
      </c>
      <c r="D138" s="10" t="str">
        <f>VLOOKUP($C138,tab_Agências[],2,FALSE)</f>
        <v>Agência Ambiental de Barretos</v>
      </c>
      <c r="E138" s="8" t="str">
        <f>VLOOKUP($C138,tab_Agências[],3,FALSE)</f>
        <v>Rua Bolívia, 2255</v>
      </c>
      <c r="F138" s="8" t="str">
        <f>VLOOKUP($C138,tab_Agências[],4,FALSE)</f>
        <v>América</v>
      </c>
      <c r="G138" s="8" t="str">
        <f>VLOOKUP($C138,tab_Agências[],5,FALSE)</f>
        <v>14783-197</v>
      </c>
      <c r="H138" s="8" t="str">
        <f>VLOOKUP($C138,tab_Agências[],6,FALSE)</f>
        <v>Barretos</v>
      </c>
      <c r="I138" s="8" t="str">
        <f>VLOOKUP($C138,tab_Agências[],7,FALSE)</f>
        <v>Rua Bolívia, 2255 - América, Barretos, 14783-197</v>
      </c>
      <c r="J138" s="8" t="str">
        <f>VLOOKUP($C138,tab_Agências[],8,FALSE)</f>
        <v>(17) 3322-2655</v>
      </c>
      <c r="K138" s="8" t="str">
        <f>VLOOKUP($C138,tab_Agências[],9,FALSE)</f>
        <v>(17) 3322-2952</v>
      </c>
      <c r="L138" s="8" t="str">
        <f>VLOOKUP($C138,tab_Agências[],10,FALSE)</f>
        <v>barretos@cetesbnet.sp.gov.br</v>
      </c>
    </row>
    <row r="139" spans="1:12" x14ac:dyDescent="0.25">
      <c r="A139" s="8">
        <v>3512209</v>
      </c>
      <c r="B139" s="8" t="s">
        <v>1077</v>
      </c>
      <c r="C139" s="9">
        <v>25</v>
      </c>
      <c r="D139" s="10" t="str">
        <f>VLOOKUP($C139,tab_Agências[],2,FALSE)</f>
        <v>Agência Ambiental de Mogi Guaçu</v>
      </c>
      <c r="E139" s="8" t="str">
        <f>VLOOKUP($C139,tab_Agências[],3,FALSE)</f>
        <v>Rua Hugo Pancieira, 400</v>
      </c>
      <c r="F139" s="8" t="str">
        <f>VLOOKUP($C139,tab_Agências[],4,FALSE)</f>
        <v>Pedregulhal</v>
      </c>
      <c r="G139" s="8" t="str">
        <f>VLOOKUP($C139,tab_Agências[],5,FALSE)</f>
        <v>13845-190</v>
      </c>
      <c r="H139" s="8" t="str">
        <f>VLOOKUP($C139,tab_Agências[],6,FALSE)</f>
        <v>Mogi Guaçu</v>
      </c>
      <c r="I139" s="8" t="str">
        <f>VLOOKUP($C139,tab_Agências[],7,FALSE)</f>
        <v>Rua Hugo Pancieira, 400 - Pedregulhal, Mogi Guaçu, 13845-190</v>
      </c>
      <c r="J139" s="8" t="str">
        <f>VLOOKUP($C139,tab_Agências[],8,FALSE)</f>
        <v>(19) 3818-0396</v>
      </c>
      <c r="K139" s="8" t="str">
        <f>VLOOKUP($C139,tab_Agências[],9,FALSE)</f>
        <v>(19) 3818-0396</v>
      </c>
      <c r="L139" s="8" t="str">
        <f>VLOOKUP($C139,tab_Agências[],10,FALSE)</f>
        <v>mogiguacu@cetesbnet.sp.gov.br</v>
      </c>
    </row>
    <row r="140" spans="1:12" x14ac:dyDescent="0.25">
      <c r="A140" s="8">
        <v>3512308</v>
      </c>
      <c r="B140" s="8" t="s">
        <v>1078</v>
      </c>
      <c r="C140" s="9">
        <v>9</v>
      </c>
      <c r="D140" s="10" t="str">
        <f>VLOOKUP($C140,tab_Agências[],2,FALSE)</f>
        <v>Agência Ambiental de Botucatu</v>
      </c>
      <c r="E140" s="8" t="str">
        <f>VLOOKUP($C140,tab_Agências[],3,FALSE)</f>
        <v>Rua João Morato da Conceição, 525</v>
      </c>
      <c r="F140" s="8" t="str">
        <f>VLOOKUP($C140,tab_Agências[],4,FALSE)</f>
        <v>Vila Maria</v>
      </c>
      <c r="G140" s="8" t="str">
        <f>VLOOKUP($C140,tab_Agências[],5,FALSE)</f>
        <v>18611-358</v>
      </c>
      <c r="H140" s="8" t="str">
        <f>VLOOKUP($C140,tab_Agências[],6,FALSE)</f>
        <v>Botucatu</v>
      </c>
      <c r="I140" s="8" t="str">
        <f>VLOOKUP($C140,tab_Agências[],7,FALSE)</f>
        <v>Rua João Morato da Conceição, 525 - Vila Maria, Botucatu, 18611-358</v>
      </c>
      <c r="J140" s="8" t="str">
        <f>VLOOKUP($C140,tab_Agências[],8,FALSE)</f>
        <v>(14) 3882-1134</v>
      </c>
      <c r="K140" s="8" t="str">
        <f>VLOOKUP($C140,tab_Agências[],9,FALSE)</f>
        <v>(14) 3882-1134</v>
      </c>
      <c r="L140" s="8" t="str">
        <f>VLOOKUP($C140,tab_Agências[],10,FALSE)</f>
        <v>botucatu@cetesbnet.sp.gov.br</v>
      </c>
    </row>
    <row r="141" spans="1:12" x14ac:dyDescent="0.25">
      <c r="A141" s="8">
        <v>3512407</v>
      </c>
      <c r="B141" s="8" t="s">
        <v>1079</v>
      </c>
      <c r="C141" s="9">
        <v>22</v>
      </c>
      <c r="D141" s="10" t="str">
        <f>VLOOKUP($C141,tab_Agências[],2,FALSE)</f>
        <v>Agência Ambiental de Limeira</v>
      </c>
      <c r="E141" s="8" t="str">
        <f>VLOOKUP($C141,tab_Agências[],3,FALSE)</f>
        <v>Avenida Vitório Bortolan, 1450</v>
      </c>
      <c r="F141" s="8" t="str">
        <f>VLOOKUP($C141,tab_Agências[],4,FALSE)</f>
        <v>Parque Abílio Pedro</v>
      </c>
      <c r="G141" s="8" t="str">
        <f>VLOOKUP($C141,tab_Agências[],5,FALSE)</f>
        <v>13483-132</v>
      </c>
      <c r="H141" s="8" t="str">
        <f>VLOOKUP($C141,tab_Agências[],6,FALSE)</f>
        <v>Limeira</v>
      </c>
      <c r="I141" s="8" t="str">
        <f>VLOOKUP($C141,tab_Agências[],7,FALSE)</f>
        <v>Avenida Vitório Bortolan, 1450 - Parque Abílio Pedro, Limeira, 13483-132</v>
      </c>
      <c r="J141" s="8" t="str">
        <f>VLOOKUP($C141,tab_Agências[],8,FALSE)</f>
        <v>(19) 3451-6203</v>
      </c>
      <c r="K141" s="8" t="str">
        <f>VLOOKUP($C141,tab_Agências[],9,FALSE)</f>
        <v>(19) 3451-6203</v>
      </c>
      <c r="L141" s="8" t="str">
        <f>VLOOKUP($C141,tab_Agências[],10,FALSE)</f>
        <v>limeira@cetesbnet.sp.gov.br</v>
      </c>
    </row>
    <row r="142" spans="1:12" x14ac:dyDescent="0.25">
      <c r="A142" s="8">
        <v>3512506</v>
      </c>
      <c r="B142" s="8" t="s">
        <v>1080</v>
      </c>
      <c r="C142" s="9">
        <v>2</v>
      </c>
      <c r="D142" s="10" t="str">
        <f>VLOOKUP($C142,tab_Agências[],2,FALSE)</f>
        <v>Agência Ambiental de Araçatuba</v>
      </c>
      <c r="E142" s="8" t="str">
        <f>VLOOKUP($C142,tab_Agências[],3,FALSE)</f>
        <v>Rua Ten. Alcides Teodoro dos Santos, 260</v>
      </c>
      <c r="F142" s="8" t="str">
        <f>VLOOKUP($C142,tab_Agências[],4,FALSE)</f>
        <v>Aviação</v>
      </c>
      <c r="G142" s="8" t="str">
        <f>VLOOKUP($C142,tab_Agências[],5,FALSE)</f>
        <v>16055-557</v>
      </c>
      <c r="H142" s="8" t="str">
        <f>VLOOKUP($C142,tab_Agências[],6,FALSE)</f>
        <v>Araçatuba</v>
      </c>
      <c r="I142" s="8" t="str">
        <f>VLOOKUP($C142,tab_Agências[],7,FALSE)</f>
        <v>Rua Ten. Alcides Teodoro dos Santos, 260 - Aviação, Araçatuba, 16055-557</v>
      </c>
      <c r="J142" s="8" t="str">
        <f>VLOOKUP($C142,tab_Agências[],8,FALSE)</f>
        <v>(18) 3608-8053</v>
      </c>
      <c r="K142" s="8" t="str">
        <f>VLOOKUP($C142,tab_Agências[],9,FALSE)</f>
        <v>(18) 3608-7197</v>
      </c>
      <c r="L142" s="8" t="str">
        <f>VLOOKUP($C142,tab_Agências[],10,FALSE)</f>
        <v>aracatuba@cetesbnet.sp.gov.br</v>
      </c>
    </row>
    <row r="143" spans="1:12" x14ac:dyDescent="0.25">
      <c r="A143" s="8">
        <v>3512605</v>
      </c>
      <c r="B143" s="8" t="s">
        <v>1081</v>
      </c>
      <c r="C143" s="9">
        <v>6</v>
      </c>
      <c r="D143" s="10" t="str">
        <f>VLOOKUP($C143,tab_Agências[],2,FALSE)</f>
        <v>Agência Ambiental de Avaré</v>
      </c>
      <c r="E143" s="8" t="str">
        <f>VLOOKUP($C143,tab_Agências[],3,FALSE)</f>
        <v>Avenida Governador Mário Covas, 525</v>
      </c>
      <c r="F143" s="8" t="str">
        <f>VLOOKUP($C143,tab_Agências[],4,FALSE)</f>
        <v>Vila Industrial</v>
      </c>
      <c r="G143" s="8" t="str">
        <f>VLOOKUP($C143,tab_Agências[],5,FALSE)</f>
        <v>18705-851</v>
      </c>
      <c r="H143" s="8" t="str">
        <f>VLOOKUP($C143,tab_Agências[],6,FALSE)</f>
        <v>Avaré</v>
      </c>
      <c r="I143" s="8" t="str">
        <f>VLOOKUP($C143,tab_Agências[],7,FALSE)</f>
        <v>Avenida Governador Mário Covas, 525 - Vila Industrial, Avaré, 18705-851</v>
      </c>
      <c r="J143" s="8" t="str">
        <f>VLOOKUP($C143,tab_Agências[],8,FALSE)</f>
        <v>(14) 3732-4900</v>
      </c>
      <c r="K143" s="8" t="str">
        <f>VLOOKUP($C143,tab_Agências[],9,FALSE)</f>
        <v xml:space="preserve"> </v>
      </c>
      <c r="L143" s="8" t="str">
        <f>VLOOKUP($C143,tab_Agências[],10,FALSE)</f>
        <v>avare@cetesbnet.sp.gov.br</v>
      </c>
    </row>
    <row r="144" spans="1:12" x14ac:dyDescent="0.25">
      <c r="A144" s="8">
        <v>3512704</v>
      </c>
      <c r="B144" s="8" t="s">
        <v>1082</v>
      </c>
      <c r="C144" s="9">
        <v>28</v>
      </c>
      <c r="D144" s="10" t="str">
        <f>VLOOKUP($C144,tab_Agências[],2,FALSE)</f>
        <v>Agência Ambiental de Piracicaba</v>
      </c>
      <c r="E144" s="8" t="str">
        <f>VLOOKUP($C144,tab_Agências[],3,FALSE)</f>
        <v>Rua do Rosário, 566</v>
      </c>
      <c r="F144" s="8" t="str">
        <f>VLOOKUP($C144,tab_Agências[],4,FALSE)</f>
        <v>Centro</v>
      </c>
      <c r="G144" s="8" t="str">
        <f>VLOOKUP($C144,tab_Agências[],5,FALSE)</f>
        <v>13400-183</v>
      </c>
      <c r="H144" s="8" t="str">
        <f>VLOOKUP($C144,tab_Agências[],6,FALSE)</f>
        <v>Piracicaba</v>
      </c>
      <c r="I144" s="8" t="str">
        <f>VLOOKUP($C144,tab_Agências[],7,FALSE)</f>
        <v>Rua do Rosário, 566 - Centro, Piracicaba, 13400-183</v>
      </c>
      <c r="J144" s="8" t="str">
        <f>VLOOKUP($C144,tab_Agências[],8,FALSE)</f>
        <v>(19) 3402-6863</v>
      </c>
      <c r="K144" s="8" t="str">
        <f>VLOOKUP($C144,tab_Agências[],9,FALSE)</f>
        <v>(19) 3402-6863</v>
      </c>
      <c r="L144" s="8" t="str">
        <f>VLOOKUP($C144,tab_Agências[],10,FALSE)</f>
        <v>piracicaba@cetesbnet.sp.gov.br</v>
      </c>
    </row>
    <row r="145" spans="1:12" x14ac:dyDescent="0.25">
      <c r="A145" s="8">
        <v>3512803</v>
      </c>
      <c r="B145" s="8" t="s">
        <v>1083</v>
      </c>
      <c r="C145" s="9">
        <v>22</v>
      </c>
      <c r="D145" s="10" t="str">
        <f>VLOOKUP($C145,tab_Agências[],2,FALSE)</f>
        <v>Agência Ambiental de Limeira</v>
      </c>
      <c r="E145" s="8" t="str">
        <f>VLOOKUP($C145,tab_Agências[],3,FALSE)</f>
        <v>Avenida Vitório Bortolan, 1450</v>
      </c>
      <c r="F145" s="8" t="str">
        <f>VLOOKUP($C145,tab_Agências[],4,FALSE)</f>
        <v>Parque Abílio Pedro</v>
      </c>
      <c r="G145" s="8" t="str">
        <f>VLOOKUP($C145,tab_Agências[],5,FALSE)</f>
        <v>13483-132</v>
      </c>
      <c r="H145" s="8" t="str">
        <f>VLOOKUP($C145,tab_Agências[],6,FALSE)</f>
        <v>Limeira</v>
      </c>
      <c r="I145" s="8" t="str">
        <f>VLOOKUP($C145,tab_Agências[],7,FALSE)</f>
        <v>Avenida Vitório Bortolan, 1450 - Parque Abílio Pedro, Limeira, 13483-132</v>
      </c>
      <c r="J145" s="8" t="str">
        <f>VLOOKUP($C145,tab_Agências[],8,FALSE)</f>
        <v>(19) 3451-6203</v>
      </c>
      <c r="K145" s="8" t="str">
        <f>VLOOKUP($C145,tab_Agências[],9,FALSE)</f>
        <v>(19) 3451-6203</v>
      </c>
      <c r="L145" s="8" t="str">
        <f>VLOOKUP($C145,tab_Agências[],10,FALSE)</f>
        <v>limeira@cetesbnet.sp.gov.br</v>
      </c>
    </row>
    <row r="146" spans="1:12" x14ac:dyDescent="0.25">
      <c r="A146" s="8">
        <v>3512902</v>
      </c>
      <c r="B146" s="8" t="s">
        <v>1084</v>
      </c>
      <c r="C146" s="9">
        <v>41</v>
      </c>
      <c r="D146" s="10" t="str">
        <f>VLOOKUP($C146,tab_Agências[],2,FALSE)</f>
        <v>Agência Ambiental de Votuporanga</v>
      </c>
      <c r="E146" s="8" t="str">
        <f>VLOOKUP($C146,tab_Agências[],3,FALSE)</f>
        <v>Avenida Deputado Aureo Ferreira, 1724</v>
      </c>
      <c r="F146" s="8" t="str">
        <f>VLOOKUP($C146,tab_Agências[],4,FALSE)</f>
        <v>Vila Paes</v>
      </c>
      <c r="G146" s="8" t="str">
        <f>VLOOKUP($C146,tab_Agências[],5,FALSE)</f>
        <v>15500-112</v>
      </c>
      <c r="H146" s="8" t="str">
        <f>VLOOKUP($C146,tab_Agências[],6,FALSE)</f>
        <v>Votuporanga</v>
      </c>
      <c r="I146" s="8" t="str">
        <f>VLOOKUP($C146,tab_Agências[],7,FALSE)</f>
        <v>Avenida Deputado Aureo Ferreira, 1724 - Vila Paes, Votuporanga, 15500-112</v>
      </c>
      <c r="J146" s="8" t="str">
        <f>VLOOKUP($C146,tab_Agências[],8,FALSE)</f>
        <v>(17) 3421-4004</v>
      </c>
      <c r="K146" s="8" t="str">
        <f>VLOOKUP($C146,tab_Agências[],9,FALSE)</f>
        <v>(17) 3421-4004</v>
      </c>
      <c r="L146" s="8" t="str">
        <f>VLOOKUP($C146,tab_Agências[],10,FALSE)</f>
        <v>votuporanga@cetesbnet.sp.gov.br</v>
      </c>
    </row>
    <row r="147" spans="1:12" x14ac:dyDescent="0.25">
      <c r="A147" s="8">
        <v>3513009</v>
      </c>
      <c r="B147" s="8" t="s">
        <v>1085</v>
      </c>
      <c r="C147" s="9">
        <v>14</v>
      </c>
      <c r="D147" s="10" t="str">
        <f>VLOOKUP($C147,tab_Agências[],2,FALSE)</f>
        <v>Agência Ambiental de Embu das Artes</v>
      </c>
      <c r="E147" s="8" t="str">
        <f>VLOOKUP($C147,tab_Agências[],3,FALSE)</f>
        <v>Rua João Paulo I, 495</v>
      </c>
      <c r="F147" s="8" t="str">
        <f>VLOOKUP($C147,tab_Agências[],4,FALSE)</f>
        <v>Jardim São Luiz</v>
      </c>
      <c r="G147" s="8" t="str">
        <f>VLOOKUP($C147,tab_Agências[],5,FALSE)</f>
        <v>06816-550</v>
      </c>
      <c r="H147" s="8" t="str">
        <f>VLOOKUP($C147,tab_Agências[],6,FALSE)</f>
        <v>Embu das Artes</v>
      </c>
      <c r="I147" s="8" t="str">
        <f>VLOOKUP($C147,tab_Agências[],7,FALSE)</f>
        <v>Rua João Paulo I, 495 - Jardim São Luiz, Embu das Artes, 06816-550</v>
      </c>
      <c r="J147" s="8" t="str">
        <f>VLOOKUP($C147,tab_Agências[],8,FALSE)</f>
        <v>(11) 4704-8835</v>
      </c>
      <c r="K147" s="8" t="str">
        <f>VLOOKUP($C147,tab_Agências[],9,FALSE)</f>
        <v>(11) 4704-8835</v>
      </c>
      <c r="L147" s="8" t="str">
        <f>VLOOKUP($C147,tab_Agências[],10,FALSE)</f>
        <v>embu@cetesbnet.sp.gov.br</v>
      </c>
    </row>
    <row r="148" spans="1:12" x14ac:dyDescent="0.25">
      <c r="A148" s="8">
        <v>3513108</v>
      </c>
      <c r="B148" s="8" t="s">
        <v>1086</v>
      </c>
      <c r="C148" s="9">
        <v>31</v>
      </c>
      <c r="D148" s="10" t="str">
        <f>VLOOKUP($C148,tab_Agências[],2,FALSE)</f>
        <v>Agência Ambiental de Ribeirão Preto</v>
      </c>
      <c r="E148" s="8" t="str">
        <f>VLOOKUP($C148,tab_Agências[],3,FALSE)</f>
        <v>Avenida Presidente Kennedy, 1760</v>
      </c>
      <c r="F148" s="8" t="str">
        <f>VLOOKUP($C148,tab_Agências[],4,FALSE)</f>
        <v>Ribeirânia</v>
      </c>
      <c r="G148" s="8" t="str">
        <f>VLOOKUP($C148,tab_Agências[],5,FALSE)</f>
        <v>14096-350</v>
      </c>
      <c r="H148" s="8" t="str">
        <f>VLOOKUP($C148,tab_Agências[],6,FALSE)</f>
        <v>Ribeirão Preto</v>
      </c>
      <c r="I148" s="8" t="str">
        <f>VLOOKUP($C148,tab_Agências[],7,FALSE)</f>
        <v>Avenida Presidente Kennedy, 1760 - Ribeirânia, Ribeirão Preto, 14096-350</v>
      </c>
      <c r="J148" s="8" t="str">
        <f>VLOOKUP($C148,tab_Agências[],8,FALSE)</f>
        <v>(16) 3617-4700</v>
      </c>
      <c r="K148" s="8" t="str">
        <f>VLOOKUP($C148,tab_Agências[],9,FALSE)</f>
        <v>(16) 3617-4207</v>
      </c>
      <c r="L148" s="8" t="str">
        <f>VLOOKUP($C148,tab_Agências[],10,FALSE)</f>
        <v>ribeirao@cetesbnet.sp.gov.br</v>
      </c>
    </row>
    <row r="149" spans="1:12" x14ac:dyDescent="0.25">
      <c r="A149" s="8">
        <v>3513207</v>
      </c>
      <c r="B149" s="8" t="s">
        <v>1087</v>
      </c>
      <c r="C149" s="9">
        <v>15</v>
      </c>
      <c r="D149" s="10" t="str">
        <f>VLOOKUP($C149,tab_Agências[],2,FALSE)</f>
        <v>Agência Ambiental de Franca</v>
      </c>
      <c r="E149" s="8" t="str">
        <f>VLOOKUP($C149,tab_Agências[],3,FALSE)</f>
        <v>Avenida Dr. Flávio Rocha, 4551</v>
      </c>
      <c r="F149" s="8" t="str">
        <f>VLOOKUP($C149,tab_Agências[],4,FALSE)</f>
        <v>Parque dos Pinhais</v>
      </c>
      <c r="G149" s="8" t="str">
        <f>VLOOKUP($C149,tab_Agências[],5,FALSE)</f>
        <v>14405-600</v>
      </c>
      <c r="H149" s="8" t="str">
        <f>VLOOKUP($C149,tab_Agências[],6,FALSE)</f>
        <v>Franca</v>
      </c>
      <c r="I149" s="8" t="str">
        <f>VLOOKUP($C149,tab_Agências[],7,FALSE)</f>
        <v>Avenida Dr. Flávio Rocha, 4551 - Parque dos Pinhais, Franca, 14405-600</v>
      </c>
      <c r="J149" s="8" t="str">
        <f>VLOOKUP($C149,tab_Agências[],8,FALSE)</f>
        <v>(16) 3724-5922</v>
      </c>
      <c r="K149" s="8" t="str">
        <f>VLOOKUP($C149,tab_Agências[],9,FALSE)</f>
        <v>(16) 3724-5922</v>
      </c>
      <c r="L149" s="8" t="str">
        <f>VLOOKUP($C149,tab_Agências[],10,FALSE)</f>
        <v>franca@cetesbnet.sp.gov.br</v>
      </c>
    </row>
    <row r="150" spans="1:12" x14ac:dyDescent="0.25">
      <c r="A150" s="8">
        <v>3513306</v>
      </c>
      <c r="B150" s="8" t="s">
        <v>1088</v>
      </c>
      <c r="C150" s="9">
        <v>4</v>
      </c>
      <c r="D150" s="10" t="str">
        <f>VLOOKUP($C150,tab_Agências[],2,FALSE)</f>
        <v>Agência Ambiental de Assis</v>
      </c>
      <c r="E150" s="8" t="str">
        <f>VLOOKUP($C150,tab_Agências[],3,FALSE)</f>
        <v>Via Chico Mendes, 75</v>
      </c>
      <c r="F150" s="8" t="str">
        <f>VLOOKUP($C150,tab_Agências[],4,FALSE)</f>
        <v>Quinta dos Flamboyants</v>
      </c>
      <c r="G150" s="8" t="str">
        <f>VLOOKUP($C150,tab_Agências[],5,FALSE)</f>
        <v>19810-005</v>
      </c>
      <c r="H150" s="8" t="str">
        <f>VLOOKUP($C150,tab_Agências[],6,FALSE)</f>
        <v>Assis</v>
      </c>
      <c r="I150" s="8" t="str">
        <f>VLOOKUP($C150,tab_Agências[],7,FALSE)</f>
        <v>Via Chico Mendes, 75 - Quinta dos Flamboyants, Assis, 19810-005</v>
      </c>
      <c r="J150" s="8" t="str">
        <f>VLOOKUP($C150,tab_Agências[],8,FALSE)</f>
        <v>(18) 3324-4177</v>
      </c>
      <c r="K150" s="8" t="str">
        <f>VLOOKUP($C150,tab_Agências[],9,FALSE)</f>
        <v>(18) 3324-4177</v>
      </c>
      <c r="L150" s="8" t="str">
        <f>VLOOKUP($C150,tab_Agências[],10,FALSE)</f>
        <v>assis@cetesbnet.sp.gov.br</v>
      </c>
    </row>
    <row r="151" spans="1:12" x14ac:dyDescent="0.25">
      <c r="A151" s="8">
        <v>3513405</v>
      </c>
      <c r="B151" s="8" t="s">
        <v>1089</v>
      </c>
      <c r="C151" s="9">
        <v>40</v>
      </c>
      <c r="D151" s="10" t="str">
        <f>VLOOKUP($C151,tab_Agências[],2,FALSE)</f>
        <v>Agência Ambiental de Taubaté</v>
      </c>
      <c r="E151" s="8" t="str">
        <f>VLOOKUP($C151,tab_Agências[],3,FALSE)</f>
        <v>Avenida Itambé, 38</v>
      </c>
      <c r="F151" s="8" t="str">
        <f>VLOOKUP($C151,tab_Agências[],4,FALSE)</f>
        <v>Sta. Luzia</v>
      </c>
      <c r="G151" s="8" t="str">
        <f>VLOOKUP($C151,tab_Agências[],5,FALSE)</f>
        <v>12091-200</v>
      </c>
      <c r="H151" s="8" t="str">
        <f>VLOOKUP($C151,tab_Agências[],6,FALSE)</f>
        <v>Taubaté</v>
      </c>
      <c r="I151" s="8" t="str">
        <f>VLOOKUP($C151,tab_Agências[],7,FALSE)</f>
        <v>Avenida Itambé, 38 - Sta. Luzia, Taubaté, 12091-200</v>
      </c>
      <c r="J151" s="8" t="str">
        <f>VLOOKUP($C151,tab_Agências[],8,FALSE)</f>
        <v>(12) 3634-8222</v>
      </c>
      <c r="K151" s="8" t="str">
        <f>VLOOKUP($C151,tab_Agências[],9,FALSE)</f>
        <v>(12) 3634-8234</v>
      </c>
      <c r="L151" s="8" t="str">
        <f>VLOOKUP($C151,tab_Agências[],10,FALSE)</f>
        <v>taubate@cetesbnet.sp.gov.br</v>
      </c>
    </row>
    <row r="152" spans="1:12" x14ac:dyDescent="0.25">
      <c r="A152" s="8">
        <v>3513504</v>
      </c>
      <c r="B152" s="8" t="s">
        <v>1090</v>
      </c>
      <c r="C152" s="9">
        <v>12</v>
      </c>
      <c r="D152" s="10" t="str">
        <f>VLOOKUP($C152,tab_Agências[],2,FALSE)</f>
        <v>Agência Ambiental de Cubatão</v>
      </c>
      <c r="E152" s="8" t="str">
        <f>VLOOKUP($C152,tab_Agências[],3,FALSE)</f>
        <v>Rua Salgado Filho, 353</v>
      </c>
      <c r="F152" s="8" t="str">
        <f>VLOOKUP($C152,tab_Agências[],4,FALSE)</f>
        <v>Jardim Costa e Silva</v>
      </c>
      <c r="G152" s="8" t="str">
        <f>VLOOKUP($C152,tab_Agências[],5,FALSE)</f>
        <v>11500-270</v>
      </c>
      <c r="H152" s="8" t="str">
        <f>VLOOKUP($C152,tab_Agências[],6,FALSE)</f>
        <v>Cubatão</v>
      </c>
      <c r="I152" s="8" t="str">
        <f>VLOOKUP($C152,tab_Agências[],7,FALSE)</f>
        <v>Rua Salgado Filho, 353 - Jardim Costa e Silva, Cubatão, 11500-270</v>
      </c>
      <c r="J152" s="8" t="str">
        <f>VLOOKUP($C152,tab_Agências[],8,FALSE)</f>
        <v>(13) 3361-6663</v>
      </c>
      <c r="K152" s="8" t="str">
        <f>VLOOKUP($C152,tab_Agências[],9,FALSE)</f>
        <v>(13) 3361-6743</v>
      </c>
      <c r="L152" s="8" t="str">
        <f>VLOOKUP($C152,tab_Agências[],10,FALSE)</f>
        <v>cubatao@cetesbnet.sp.gov.br</v>
      </c>
    </row>
    <row r="153" spans="1:12" x14ac:dyDescent="0.25">
      <c r="A153" s="8">
        <v>3513603</v>
      </c>
      <c r="B153" s="8" t="s">
        <v>1091</v>
      </c>
      <c r="C153" s="9">
        <v>40</v>
      </c>
      <c r="D153" s="10" t="str">
        <f>VLOOKUP($C153,tab_Agências[],2,FALSE)</f>
        <v>Agência Ambiental de Taubaté</v>
      </c>
      <c r="E153" s="8" t="str">
        <f>VLOOKUP($C153,tab_Agências[],3,FALSE)</f>
        <v>Avenida Itambé, 38</v>
      </c>
      <c r="F153" s="8" t="str">
        <f>VLOOKUP($C153,tab_Agências[],4,FALSE)</f>
        <v>Sta. Luzia</v>
      </c>
      <c r="G153" s="8" t="str">
        <f>VLOOKUP($C153,tab_Agências[],5,FALSE)</f>
        <v>12091-200</v>
      </c>
      <c r="H153" s="8" t="str">
        <f>VLOOKUP($C153,tab_Agências[],6,FALSE)</f>
        <v>Taubaté</v>
      </c>
      <c r="I153" s="8" t="str">
        <f>VLOOKUP($C153,tab_Agências[],7,FALSE)</f>
        <v>Avenida Itambé, 38 - Sta. Luzia, Taubaté, 12091-200</v>
      </c>
      <c r="J153" s="8" t="str">
        <f>VLOOKUP($C153,tab_Agências[],8,FALSE)</f>
        <v>(12) 3634-8222</v>
      </c>
      <c r="K153" s="8" t="str">
        <f>VLOOKUP($C153,tab_Agências[],9,FALSE)</f>
        <v>(12) 3634-8234</v>
      </c>
      <c r="L153" s="8" t="str">
        <f>VLOOKUP($C153,tab_Agências[],10,FALSE)</f>
        <v>taubate@cetesbnet.sp.gov.br</v>
      </c>
    </row>
    <row r="154" spans="1:12" x14ac:dyDescent="0.25">
      <c r="A154" s="8">
        <v>3513702</v>
      </c>
      <c r="B154" s="8" t="s">
        <v>1092</v>
      </c>
      <c r="C154" s="9">
        <v>34</v>
      </c>
      <c r="D154" s="10" t="str">
        <f>VLOOKUP($C154,tab_Agências[],2,FALSE)</f>
        <v>Agência Ambiental de São Carlos</v>
      </c>
      <c r="E154" s="8" t="str">
        <f>VLOOKUP($C154,tab_Agências[],3,FALSE)</f>
        <v>Avenida das Azaléias, 700</v>
      </c>
      <c r="F154" s="8" t="str">
        <f>VLOOKUP($C154,tab_Agências[],4,FALSE)</f>
        <v>Cidade Jardim</v>
      </c>
      <c r="G154" s="8" t="str">
        <f>VLOOKUP($C154,tab_Agências[],5,FALSE)</f>
        <v>13566-500</v>
      </c>
      <c r="H154" s="8" t="str">
        <f>VLOOKUP($C154,tab_Agências[],6,FALSE)</f>
        <v>São Carlos</v>
      </c>
      <c r="I154" s="8" t="str">
        <f>VLOOKUP($C154,tab_Agências[],7,FALSE)</f>
        <v>Avenida das Azaléias, 700 - Cidade Jardim, São Carlos, 13566-500</v>
      </c>
      <c r="J154" s="8" t="str">
        <f>VLOOKUP($C154,tab_Agências[],8,FALSE)</f>
        <v>(16) 3361-2004</v>
      </c>
      <c r="K154" s="8" t="str">
        <f>VLOOKUP($C154,tab_Agências[],9,FALSE)</f>
        <v>(16) 3361-2004</v>
      </c>
      <c r="L154" s="8" t="str">
        <f>VLOOKUP($C154,tab_Agências[],10,FALSE)</f>
        <v>saocarlos@cetesbnet.sp.gov.br</v>
      </c>
    </row>
    <row r="155" spans="1:12" x14ac:dyDescent="0.25">
      <c r="A155" s="8">
        <v>3513801</v>
      </c>
      <c r="B155" s="8" t="s">
        <v>1093</v>
      </c>
      <c r="C155" s="9">
        <v>43</v>
      </c>
      <c r="D155" s="10" t="str">
        <f>VLOOKUP($C155,tab_Agências[],2,FALSE)</f>
        <v>Agência Ambiental do ABC II</v>
      </c>
      <c r="E155" s="8" t="str">
        <f>VLOOKUP($C155,tab_Agências[],3,FALSE)</f>
        <v>Rua dos Vianas, 625</v>
      </c>
      <c r="F155" s="8" t="str">
        <f>VLOOKUP($C155,tab_Agências[],4,FALSE)</f>
        <v>Baeta Neves</v>
      </c>
      <c r="G155" s="8" t="str">
        <f>VLOOKUP($C155,tab_Agências[],5,FALSE)</f>
        <v>09760-040</v>
      </c>
      <c r="H155" s="8" t="str">
        <f>VLOOKUP($C155,tab_Agências[],6,FALSE)</f>
        <v>São Bernardo do Campo</v>
      </c>
      <c r="I155" s="8" t="str">
        <f>VLOOKUP($C155,tab_Agências[],7,FALSE)</f>
        <v>Rua dos Vianas, 625 - Baeta Neves, São Bernardo do Campo, 09760-040</v>
      </c>
      <c r="J155" s="8" t="str">
        <f>VLOOKUP($C155,tab_Agências[],8,FALSE)</f>
        <v>(11) 4123-4555</v>
      </c>
      <c r="K155" s="8" t="str">
        <f>VLOOKUP($C155,tab_Agências[],9,FALSE)</f>
        <v>(11) 4123-4555</v>
      </c>
      <c r="L155" s="8" t="str">
        <f>VLOOKUP($C155,tab_Agências[],10,FALSE)</f>
        <v>abc2@cetesbnet.sp.gov.br</v>
      </c>
    </row>
    <row r="156" spans="1:12" x14ac:dyDescent="0.25">
      <c r="A156" s="8">
        <v>3513850</v>
      </c>
      <c r="B156" s="8" t="s">
        <v>1094</v>
      </c>
      <c r="C156" s="9">
        <v>20</v>
      </c>
      <c r="D156" s="10" t="str">
        <f>VLOOKUP($C156,tab_Agências[],2,FALSE)</f>
        <v>Agência Ambiental de Jales</v>
      </c>
      <c r="E156" s="8" t="str">
        <f>VLOOKUP($C156,tab_Agências[],3,FALSE)</f>
        <v>Rua Nova Iorque, 1016</v>
      </c>
      <c r="F156" s="8" t="str">
        <f>VLOOKUP($C156,tab_Agências[],4,FALSE)</f>
        <v>Jardim Monte Rrey</v>
      </c>
      <c r="G156" s="8" t="str">
        <f>VLOOKUP($C156,tab_Agências[],5,FALSE)</f>
        <v>15703-326</v>
      </c>
      <c r="H156" s="8" t="str">
        <f>VLOOKUP($C156,tab_Agências[],6,FALSE)</f>
        <v>Jales</v>
      </c>
      <c r="I156" s="8" t="str">
        <f>VLOOKUP($C156,tab_Agências[],7,FALSE)</f>
        <v>Rua Nova Iorque, 1016 - Jardim Monte Rrey, Jales, 15703-326</v>
      </c>
      <c r="J156" s="8" t="str">
        <f>VLOOKUP($C156,tab_Agências[],8,FALSE)</f>
        <v>(17) 3621-1042</v>
      </c>
      <c r="K156" s="8" t="str">
        <f>VLOOKUP($C156,tab_Agências[],9,FALSE)</f>
        <v>(17) 3621-1042</v>
      </c>
      <c r="L156" s="8" t="str">
        <f>VLOOKUP($C156,tab_Agências[],10,FALSE)</f>
        <v>jales@cetesbnet.sp.gov.br</v>
      </c>
    </row>
    <row r="157" spans="1:12" x14ac:dyDescent="0.25">
      <c r="A157" s="8">
        <v>3513900</v>
      </c>
      <c r="B157" s="8" t="s">
        <v>1095</v>
      </c>
      <c r="C157" s="9">
        <v>35</v>
      </c>
      <c r="D157" s="10" t="str">
        <f>VLOOKUP($C157,tab_Agências[],2,FALSE)</f>
        <v>Agência Ambiental de São João da Boa Vista</v>
      </c>
      <c r="E157" s="8" t="str">
        <f>VLOOKUP($C157,tab_Agências[],3,FALSE)</f>
        <v>Rua Marechal Deodoro, 345</v>
      </c>
      <c r="F157" s="8" t="str">
        <f>VLOOKUP($C157,tab_Agências[],4,FALSE)</f>
        <v>Centro</v>
      </c>
      <c r="G157" s="8" t="str">
        <f>VLOOKUP($C157,tab_Agências[],5,FALSE)</f>
        <v>13870-223</v>
      </c>
      <c r="H157" s="8" t="str">
        <f>VLOOKUP($C157,tab_Agências[],6,FALSE)</f>
        <v>São João da Boa Vista</v>
      </c>
      <c r="I157" s="8" t="str">
        <f>VLOOKUP($C157,tab_Agências[],7,FALSE)</f>
        <v>Rua Marechal Deodoro, 345 - Centro, São João da Boa Vista, 13870-223</v>
      </c>
      <c r="J157" s="8" t="str">
        <f>VLOOKUP($C157,tab_Agências[],8,FALSE)</f>
        <v>(19) 3633-1510</v>
      </c>
      <c r="K157" s="8" t="str">
        <f>VLOOKUP($C157,tab_Agências[],9,FALSE)</f>
        <v>(19) 3633-1510</v>
      </c>
      <c r="L157" s="8" t="str">
        <f>VLOOKUP($C157,tab_Agências[],10,FALSE)</f>
        <v>sjboavista@cetesbnet.sp.gov.br</v>
      </c>
    </row>
    <row r="158" spans="1:12" x14ac:dyDescent="0.25">
      <c r="A158" s="8">
        <v>3514007</v>
      </c>
      <c r="B158" s="8" t="s">
        <v>1096</v>
      </c>
      <c r="C158" s="9">
        <v>3</v>
      </c>
      <c r="D158" s="10" t="str">
        <f>VLOOKUP($C158,tab_Agências[],2,FALSE)</f>
        <v>Agência Ambiental de Araraquara</v>
      </c>
      <c r="E158" s="8" t="str">
        <f>VLOOKUP($C158,tab_Agências[],3,FALSE)</f>
        <v>Avenida Castro Alves, 1271</v>
      </c>
      <c r="F158" s="8" t="str">
        <f>VLOOKUP($C158,tab_Agências[],4,FALSE)</f>
        <v>Carmo</v>
      </c>
      <c r="G158" s="8" t="str">
        <f>VLOOKUP($C158,tab_Agências[],5,FALSE)</f>
        <v>14800-140</v>
      </c>
      <c r="H158" s="8" t="str">
        <f>VLOOKUP($C158,tab_Agências[],6,FALSE)</f>
        <v>Araraquara</v>
      </c>
      <c r="I158" s="8" t="str">
        <f>VLOOKUP($C158,tab_Agências[],7,FALSE)</f>
        <v>Avenida Castro Alves, 1271 - Carmo, Araraquara, 14800-140</v>
      </c>
      <c r="J158" s="8" t="str">
        <f>VLOOKUP($C158,tab_Agências[],8,FALSE)</f>
        <v>(16) 3332-2211</v>
      </c>
      <c r="K158" s="8" t="str">
        <f>VLOOKUP($C158,tab_Agências[],9,FALSE)</f>
        <v>(16) 3332-2211</v>
      </c>
      <c r="L158" s="8" t="str">
        <f>VLOOKUP($C158,tab_Agências[],10,FALSE)</f>
        <v>araraquara@cetesbnet.sp.gov.br</v>
      </c>
    </row>
    <row r="159" spans="1:12" x14ac:dyDescent="0.25">
      <c r="A159" s="8">
        <v>3514106</v>
      </c>
      <c r="B159" s="8" t="s">
        <v>1097</v>
      </c>
      <c r="C159" s="9">
        <v>8</v>
      </c>
      <c r="D159" s="10" t="str">
        <f>VLOOKUP($C159,tab_Agências[],2,FALSE)</f>
        <v>Agência Ambiental de Bauru</v>
      </c>
      <c r="E159" s="8" t="str">
        <f>VLOOKUP($C159,tab_Agências[],3,FALSE)</f>
        <v>Avenida Rodrigues Alves, 138</v>
      </c>
      <c r="F159" s="8" t="str">
        <f>VLOOKUP($C159,tab_Agências[],4,FALSE)</f>
        <v>Vila Coralina</v>
      </c>
      <c r="G159" s="8" t="str">
        <f>VLOOKUP($C159,tab_Agências[],5,FALSE)</f>
        <v>17030-000</v>
      </c>
      <c r="H159" s="8" t="str">
        <f>VLOOKUP($C159,tab_Agências[],6,FALSE)</f>
        <v>Bauru</v>
      </c>
      <c r="I159" s="8" t="str">
        <f>VLOOKUP($C159,tab_Agências[],7,FALSE)</f>
        <v>Avenida Rodrigues Alves, 138 - Vila Coralina, Bauru, 17030-000</v>
      </c>
      <c r="J159" s="8" t="str">
        <f>VLOOKUP($C159,tab_Agências[],8,FALSE)</f>
        <v>(14) 3203-2058</v>
      </c>
      <c r="K159" s="8" t="str">
        <f>VLOOKUP($C159,tab_Agências[],9,FALSE)</f>
        <v>(14) 3203-2344</v>
      </c>
      <c r="L159" s="8" t="str">
        <f>VLOOKUP($C159,tab_Agências[],10,FALSE)</f>
        <v>bauru@cetesbnet.sp.gov.br</v>
      </c>
    </row>
    <row r="160" spans="1:12" x14ac:dyDescent="0.25">
      <c r="A160" s="8">
        <v>3514205</v>
      </c>
      <c r="B160" s="8" t="s">
        <v>1098</v>
      </c>
      <c r="C160" s="9">
        <v>20</v>
      </c>
      <c r="D160" s="10" t="str">
        <f>VLOOKUP($C160,tab_Agências[],2,FALSE)</f>
        <v>Agência Ambiental de Jales</v>
      </c>
      <c r="E160" s="8" t="str">
        <f>VLOOKUP($C160,tab_Agências[],3,FALSE)</f>
        <v>Rua Nova Iorque, 1016</v>
      </c>
      <c r="F160" s="8" t="str">
        <f>VLOOKUP($C160,tab_Agências[],4,FALSE)</f>
        <v>Jardim Monte Rrey</v>
      </c>
      <c r="G160" s="8" t="str">
        <f>VLOOKUP($C160,tab_Agências[],5,FALSE)</f>
        <v>15703-326</v>
      </c>
      <c r="H160" s="8" t="str">
        <f>VLOOKUP($C160,tab_Agências[],6,FALSE)</f>
        <v>Jales</v>
      </c>
      <c r="I160" s="8" t="str">
        <f>VLOOKUP($C160,tab_Agências[],7,FALSE)</f>
        <v>Rua Nova Iorque, 1016 - Jardim Monte Rrey, Jales, 15703-326</v>
      </c>
      <c r="J160" s="8" t="str">
        <f>VLOOKUP($C160,tab_Agências[],8,FALSE)</f>
        <v>(17) 3621-1042</v>
      </c>
      <c r="K160" s="8" t="str">
        <f>VLOOKUP($C160,tab_Agências[],9,FALSE)</f>
        <v>(17) 3621-1042</v>
      </c>
      <c r="L160" s="8" t="str">
        <f>VLOOKUP($C160,tab_Agências[],10,FALSE)</f>
        <v>jales@cetesbnet.sp.gov.br</v>
      </c>
    </row>
    <row r="161" spans="1:12" x14ac:dyDescent="0.25">
      <c r="A161" s="8">
        <v>3514304</v>
      </c>
      <c r="B161" s="8" t="s">
        <v>1099</v>
      </c>
      <c r="C161" s="9">
        <v>34</v>
      </c>
      <c r="D161" s="10" t="str">
        <f>VLOOKUP($C161,tab_Agências[],2,FALSE)</f>
        <v>Agência Ambiental de São Carlos</v>
      </c>
      <c r="E161" s="8" t="str">
        <f>VLOOKUP($C161,tab_Agências[],3,FALSE)</f>
        <v>Avenida das Azaléias, 700</v>
      </c>
      <c r="F161" s="8" t="str">
        <f>VLOOKUP($C161,tab_Agências[],4,FALSE)</f>
        <v>Cidade Jardim</v>
      </c>
      <c r="G161" s="8" t="str">
        <f>VLOOKUP($C161,tab_Agências[],5,FALSE)</f>
        <v>13566-500</v>
      </c>
      <c r="H161" s="8" t="str">
        <f>VLOOKUP($C161,tab_Agências[],6,FALSE)</f>
        <v>São Carlos</v>
      </c>
      <c r="I161" s="8" t="str">
        <f>VLOOKUP($C161,tab_Agências[],7,FALSE)</f>
        <v>Avenida das Azaléias, 700 - Cidade Jardim, São Carlos, 13566-500</v>
      </c>
      <c r="J161" s="8" t="str">
        <f>VLOOKUP($C161,tab_Agências[],8,FALSE)</f>
        <v>(16) 3361-2004</v>
      </c>
      <c r="K161" s="8" t="str">
        <f>VLOOKUP($C161,tab_Agências[],9,FALSE)</f>
        <v>(16) 3361-2004</v>
      </c>
      <c r="L161" s="8" t="str">
        <f>VLOOKUP($C161,tab_Agências[],10,FALSE)</f>
        <v>saocarlos@cetesbnet.sp.gov.br</v>
      </c>
    </row>
    <row r="162" spans="1:12" x14ac:dyDescent="0.25">
      <c r="A162" s="8">
        <v>3514403</v>
      </c>
      <c r="B162" s="8" t="s">
        <v>1100</v>
      </c>
      <c r="C162" s="9">
        <v>13</v>
      </c>
      <c r="D162" s="10" t="str">
        <f>VLOOKUP($C162,tab_Agências[],2,FALSE)</f>
        <v>Agência Ambiental de Dracena</v>
      </c>
      <c r="E162" s="8" t="str">
        <f>VLOOKUP($C162,tab_Agências[],3,FALSE)</f>
        <v>Rua Tomé de Souza, 438</v>
      </c>
      <c r="F162" s="8" t="str">
        <f>VLOOKUP($C162,tab_Agências[],4,FALSE)</f>
        <v>Centro</v>
      </c>
      <c r="G162" s="8" t="str">
        <f>VLOOKUP($C162,tab_Agências[],5,FALSE)</f>
        <v>17900-000</v>
      </c>
      <c r="H162" s="8" t="str">
        <f>VLOOKUP($C162,tab_Agências[],6,FALSE)</f>
        <v>Dracena</v>
      </c>
      <c r="I162" s="8" t="str">
        <f>VLOOKUP($C162,tab_Agências[],7,FALSE)</f>
        <v>Rua Tomé de Souza, 438 - Centro, Dracena, 17900-000</v>
      </c>
      <c r="J162" s="8" t="str">
        <f>VLOOKUP($C162,tab_Agências[],8,FALSE)</f>
        <v>(18) 3822-3166</v>
      </c>
      <c r="K162" s="8" t="str">
        <f>VLOOKUP($C162,tab_Agências[],9,FALSE)</f>
        <v>(18) 3822-3166</v>
      </c>
      <c r="L162" s="8" t="str">
        <f>VLOOKUP($C162,tab_Agências[],10,FALSE)</f>
        <v>dracena@cetesbnet.sp.gov.br</v>
      </c>
    </row>
    <row r="163" spans="1:12" x14ac:dyDescent="0.25">
      <c r="A163" s="8">
        <v>3514502</v>
      </c>
      <c r="B163" s="8" t="s">
        <v>1101</v>
      </c>
      <c r="C163" s="9">
        <v>8</v>
      </c>
      <c r="D163" s="10" t="str">
        <f>VLOOKUP($C163,tab_Agências[],2,FALSE)</f>
        <v>Agência Ambiental de Bauru</v>
      </c>
      <c r="E163" s="8" t="str">
        <f>VLOOKUP($C163,tab_Agências[],3,FALSE)</f>
        <v>Avenida Rodrigues Alves, 138</v>
      </c>
      <c r="F163" s="8" t="str">
        <f>VLOOKUP($C163,tab_Agências[],4,FALSE)</f>
        <v>Vila Coralina</v>
      </c>
      <c r="G163" s="8" t="str">
        <f>VLOOKUP($C163,tab_Agências[],5,FALSE)</f>
        <v>17030-000</v>
      </c>
      <c r="H163" s="8" t="str">
        <f>VLOOKUP($C163,tab_Agências[],6,FALSE)</f>
        <v>Bauru</v>
      </c>
      <c r="I163" s="8" t="str">
        <f>VLOOKUP($C163,tab_Agências[],7,FALSE)</f>
        <v>Avenida Rodrigues Alves, 138 - Vila Coralina, Bauru, 17030-000</v>
      </c>
      <c r="J163" s="8" t="str">
        <f>VLOOKUP($C163,tab_Agências[],8,FALSE)</f>
        <v>(14) 3203-2058</v>
      </c>
      <c r="K163" s="8" t="str">
        <f>VLOOKUP($C163,tab_Agências[],9,FALSE)</f>
        <v>(14) 3203-2344</v>
      </c>
      <c r="L163" s="8" t="str">
        <f>VLOOKUP($C163,tab_Agências[],10,FALSE)</f>
        <v>bauru@cetesbnet.sp.gov.br</v>
      </c>
    </row>
    <row r="164" spans="1:12" x14ac:dyDescent="0.25">
      <c r="A164" s="8">
        <v>3514601</v>
      </c>
      <c r="B164" s="8" t="s">
        <v>1102</v>
      </c>
      <c r="C164" s="9">
        <v>19</v>
      </c>
      <c r="D164" s="10" t="str">
        <f>VLOOKUP($C164,tab_Agências[],2,FALSE)</f>
        <v>Agência Ambiental de Jaboticabal</v>
      </c>
      <c r="E164" s="8" t="str">
        <f>VLOOKUP($C164,tab_Agências[],3,FALSE)</f>
        <v>Avenida Angelo Morello, 60</v>
      </c>
      <c r="F164" s="8" t="str">
        <f>VLOOKUP($C164,tab_Agências[],4,FALSE)</f>
        <v>Jardim Santa Rosa</v>
      </c>
      <c r="G164" s="8" t="str">
        <f>VLOOKUP($C164,tab_Agências[],5,FALSE)</f>
        <v>14875-290</v>
      </c>
      <c r="H164" s="8" t="str">
        <f>VLOOKUP($C164,tab_Agências[],6,FALSE)</f>
        <v>Jaboticabal</v>
      </c>
      <c r="I164" s="8" t="str">
        <f>VLOOKUP($C164,tab_Agências[],7,FALSE)</f>
        <v>Avenida Angelo Morello, 60 - Jardim Santa Rosa, Jaboticabal, 14875-290</v>
      </c>
      <c r="J164" s="8" t="str">
        <f>VLOOKUP($C164,tab_Agências[],8,FALSE)</f>
        <v>(16) 3203-9400</v>
      </c>
      <c r="K164" s="8" t="str">
        <f>VLOOKUP($C164,tab_Agências[],9,FALSE)</f>
        <v>(16) 3203-9400</v>
      </c>
      <c r="L164" s="8" t="str">
        <f>VLOOKUP($C164,tab_Agências[],10,FALSE)</f>
        <v>jaboticabal@cetesbnet.sp.gov.br</v>
      </c>
    </row>
    <row r="165" spans="1:12" x14ac:dyDescent="0.25">
      <c r="A165" s="8">
        <v>3514700</v>
      </c>
      <c r="B165" s="8" t="s">
        <v>1103</v>
      </c>
      <c r="C165" s="9">
        <v>4</v>
      </c>
      <c r="D165" s="10" t="str">
        <f>VLOOKUP($C165,tab_Agências[],2,FALSE)</f>
        <v>Agência Ambiental de Assis</v>
      </c>
      <c r="E165" s="8" t="str">
        <f>VLOOKUP($C165,tab_Agências[],3,FALSE)</f>
        <v>Via Chico Mendes, 75</v>
      </c>
      <c r="F165" s="8" t="str">
        <f>VLOOKUP($C165,tab_Agências[],4,FALSE)</f>
        <v>Quinta dos Flamboyants</v>
      </c>
      <c r="G165" s="8" t="str">
        <f>VLOOKUP($C165,tab_Agências[],5,FALSE)</f>
        <v>19810-005</v>
      </c>
      <c r="H165" s="8" t="str">
        <f>VLOOKUP($C165,tab_Agências[],6,FALSE)</f>
        <v>Assis</v>
      </c>
      <c r="I165" s="8" t="str">
        <f>VLOOKUP($C165,tab_Agências[],7,FALSE)</f>
        <v>Via Chico Mendes, 75 - Quinta dos Flamboyants, Assis, 19810-005</v>
      </c>
      <c r="J165" s="8" t="str">
        <f>VLOOKUP($C165,tab_Agências[],8,FALSE)</f>
        <v>(18) 3324-4177</v>
      </c>
      <c r="K165" s="8" t="str">
        <f>VLOOKUP($C165,tab_Agências[],9,FALSE)</f>
        <v>(18) 3324-4177</v>
      </c>
      <c r="L165" s="8" t="str">
        <f>VLOOKUP($C165,tab_Agências[],10,FALSE)</f>
        <v>assis@cetesbnet.sp.gov.br</v>
      </c>
    </row>
    <row r="166" spans="1:12" x14ac:dyDescent="0.25">
      <c r="A166" s="8">
        <v>3514809</v>
      </c>
      <c r="B166" s="8" t="s">
        <v>1104</v>
      </c>
      <c r="C166" s="9">
        <v>30</v>
      </c>
      <c r="D166" s="10" t="str">
        <f>VLOOKUP($C166,tab_Agências[],2,FALSE)</f>
        <v>Agência Ambiental de Registro</v>
      </c>
      <c r="E166" s="8" t="str">
        <f>VLOOKUP($C166,tab_Agências[],3,FALSE)</f>
        <v>Rua São Bento, 249</v>
      </c>
      <c r="F166" s="8" t="str">
        <f>VLOOKUP($C166,tab_Agências[],4,FALSE)</f>
        <v>Jardim São Nicolau</v>
      </c>
      <c r="G166" s="8" t="str">
        <f>VLOOKUP($C166,tab_Agências[],5,FALSE)</f>
        <v>11900-000</v>
      </c>
      <c r="H166" s="8" t="str">
        <f>VLOOKUP($C166,tab_Agências[],6,FALSE)</f>
        <v>Registro</v>
      </c>
      <c r="I166" s="8" t="str">
        <f>VLOOKUP($C166,tab_Agências[],7,FALSE)</f>
        <v>Rua São Bento, 249 - Jardim São Nicolau, Registro, 11900-000</v>
      </c>
      <c r="J166" s="8" t="str">
        <f>VLOOKUP($C166,tab_Agências[],8,FALSE)</f>
        <v>(13) 3822-3855</v>
      </c>
      <c r="K166" s="8" t="str">
        <f>VLOOKUP($C166,tab_Agências[],9,FALSE)</f>
        <v>(13) 3822-4437</v>
      </c>
      <c r="L166" s="8" t="str">
        <f>VLOOKUP($C166,tab_Agências[],10,FALSE)</f>
        <v>registro@cetesbnet.sp.gov.br</v>
      </c>
    </row>
    <row r="167" spans="1:12" x14ac:dyDescent="0.25">
      <c r="A167" s="8">
        <v>3514908</v>
      </c>
      <c r="B167" s="8" t="s">
        <v>1105</v>
      </c>
      <c r="C167" s="9">
        <v>10</v>
      </c>
      <c r="D167" s="10" t="str">
        <f>VLOOKUP($C167,tab_Agências[],2,FALSE)</f>
        <v>Agência Ambiental de Campinas</v>
      </c>
      <c r="E167" s="8" t="str">
        <f>VLOOKUP($C167,tab_Agências[],3,FALSE)</f>
        <v>Rua São Carlos, 277</v>
      </c>
      <c r="F167" s="8" t="str">
        <f>VLOOKUP($C167,tab_Agências[],4,FALSE)</f>
        <v>Vila Industrial</v>
      </c>
      <c r="G167" s="8" t="str">
        <f>VLOOKUP($C167,tab_Agências[],5,FALSE)</f>
        <v>13035-420</v>
      </c>
      <c r="H167" s="8" t="str">
        <f>VLOOKUP($C167,tab_Agências[],6,FALSE)</f>
        <v>Campinas</v>
      </c>
      <c r="I167" s="8" t="str">
        <f>VLOOKUP($C167,tab_Agências[],7,FALSE)</f>
        <v>Rua São Carlos, 277 - Vila Industrial, Campinas, 13035-420</v>
      </c>
      <c r="J167" s="8" t="str">
        <f>VLOOKUP($C167,tab_Agências[],8,FALSE)</f>
        <v>(19) 3772-6600</v>
      </c>
      <c r="K167" s="8" t="str">
        <f>VLOOKUP($C167,tab_Agências[],9,FALSE)</f>
        <v>(19) 3772-6624</v>
      </c>
      <c r="L167" s="8" t="str">
        <f>VLOOKUP($C167,tab_Agências[],10,FALSE)</f>
        <v>campinasI@cetesbnet.sp.gov.br</v>
      </c>
    </row>
    <row r="168" spans="1:12" x14ac:dyDescent="0.25">
      <c r="A168" s="8">
        <v>3514924</v>
      </c>
      <c r="B168" s="8" t="s">
        <v>1106</v>
      </c>
      <c r="C168" s="9">
        <v>36</v>
      </c>
      <c r="D168" s="10" t="str">
        <f>VLOOKUP($C168,tab_Agências[],2,FALSE)</f>
        <v>Agência Ambiental de São José do Rio Preto</v>
      </c>
      <c r="E168" s="8" t="str">
        <f>VLOOKUP($C168,tab_Agências[],3,FALSE)</f>
        <v>Avenida Mário Andreazza,</v>
      </c>
      <c r="F168" s="8" t="str">
        <f>VLOOKUP($C168,tab_Agências[],4,FALSE)</f>
        <v>Jardim São Marcos</v>
      </c>
      <c r="G168" s="8" t="str">
        <f>VLOOKUP($C168,tab_Agências[],5,FALSE)</f>
        <v>15081-490</v>
      </c>
      <c r="H168" s="8" t="str">
        <f>VLOOKUP($C168,tab_Agências[],6,FALSE)</f>
        <v>São José do Rio Preto</v>
      </c>
      <c r="I168" s="8" t="str">
        <f>VLOOKUP($C168,tab_Agências[],7,FALSE)</f>
        <v>Avenida Mário Andreazza, - Jardim São Marcos, São José do Rio Preto, 15081-490</v>
      </c>
      <c r="J168" s="8" t="str">
        <f>VLOOKUP($C168,tab_Agências[],8,FALSE)</f>
        <v>(17) 3218-4300</v>
      </c>
      <c r="K168" s="8" t="str">
        <f>VLOOKUP($C168,tab_Agências[],9,FALSE)</f>
        <v>(17) 3218-4300</v>
      </c>
      <c r="L168" s="8" t="str">
        <f>VLOOKUP($C168,tab_Agências[],10,FALSE)</f>
        <v>riopreto@cetesbnet.sp.gov.br</v>
      </c>
    </row>
    <row r="169" spans="1:12" x14ac:dyDescent="0.25">
      <c r="A169" s="8">
        <v>3514957</v>
      </c>
      <c r="B169" s="8" t="s">
        <v>1107</v>
      </c>
      <c r="C169" s="9">
        <v>7</v>
      </c>
      <c r="D169" s="10" t="str">
        <f>VLOOKUP($C169,tab_Agências[],2,FALSE)</f>
        <v>Agência Ambiental de Barretos</v>
      </c>
      <c r="E169" s="8" t="str">
        <f>VLOOKUP($C169,tab_Agências[],3,FALSE)</f>
        <v>Rua Bolívia, 2255</v>
      </c>
      <c r="F169" s="8" t="str">
        <f>VLOOKUP($C169,tab_Agências[],4,FALSE)</f>
        <v>América</v>
      </c>
      <c r="G169" s="8" t="str">
        <f>VLOOKUP($C169,tab_Agências[],5,FALSE)</f>
        <v>14783-197</v>
      </c>
      <c r="H169" s="8" t="str">
        <f>VLOOKUP($C169,tab_Agências[],6,FALSE)</f>
        <v>Barretos</v>
      </c>
      <c r="I169" s="8" t="str">
        <f>VLOOKUP($C169,tab_Agências[],7,FALSE)</f>
        <v>Rua Bolívia, 2255 - América, Barretos, 14783-197</v>
      </c>
      <c r="J169" s="8" t="str">
        <f>VLOOKUP($C169,tab_Agências[],8,FALSE)</f>
        <v>(17) 3322-2655</v>
      </c>
      <c r="K169" s="8" t="str">
        <f>VLOOKUP($C169,tab_Agências[],9,FALSE)</f>
        <v>(17) 3322-2952</v>
      </c>
      <c r="L169" s="8" t="str">
        <f>VLOOKUP($C169,tab_Agências[],10,FALSE)</f>
        <v>barretos@cetesbnet.sp.gov.br</v>
      </c>
    </row>
    <row r="170" spans="1:12" x14ac:dyDescent="0.25">
      <c r="A170" s="8">
        <v>3515004</v>
      </c>
      <c r="B170" s="8" t="s">
        <v>1108</v>
      </c>
      <c r="C170" s="9">
        <v>14</v>
      </c>
      <c r="D170" s="10" t="str">
        <f>VLOOKUP($C170,tab_Agências[],2,FALSE)</f>
        <v>Agência Ambiental de Embu das Artes</v>
      </c>
      <c r="E170" s="8" t="str">
        <f>VLOOKUP($C170,tab_Agências[],3,FALSE)</f>
        <v>Rua João Paulo I, 495</v>
      </c>
      <c r="F170" s="8" t="str">
        <f>VLOOKUP($C170,tab_Agências[],4,FALSE)</f>
        <v>Jardim São Luiz</v>
      </c>
      <c r="G170" s="8" t="str">
        <f>VLOOKUP($C170,tab_Agências[],5,FALSE)</f>
        <v>06816-550</v>
      </c>
      <c r="H170" s="8" t="str">
        <f>VLOOKUP($C170,tab_Agências[],6,FALSE)</f>
        <v>Embu das Artes</v>
      </c>
      <c r="I170" s="8" t="str">
        <f>VLOOKUP($C170,tab_Agências[],7,FALSE)</f>
        <v>Rua João Paulo I, 495 - Jardim São Luiz, Embu das Artes, 06816-550</v>
      </c>
      <c r="J170" s="8" t="str">
        <f>VLOOKUP($C170,tab_Agências[],8,FALSE)</f>
        <v>(11) 4704-8835</v>
      </c>
      <c r="K170" s="8" t="str">
        <f>VLOOKUP($C170,tab_Agências[],9,FALSE)</f>
        <v>(11) 4704-8835</v>
      </c>
      <c r="L170" s="8" t="str">
        <f>VLOOKUP($C170,tab_Agências[],10,FALSE)</f>
        <v>embu@cetesbnet.sp.gov.br</v>
      </c>
    </row>
    <row r="171" spans="1:12" x14ac:dyDescent="0.25">
      <c r="A171" s="8">
        <v>3515103</v>
      </c>
      <c r="B171" s="8" t="s">
        <v>1109</v>
      </c>
      <c r="C171" s="9">
        <v>14</v>
      </c>
      <c r="D171" s="10" t="str">
        <f>VLOOKUP($C171,tab_Agências[],2,FALSE)</f>
        <v>Agência Ambiental de Embu das Artes</v>
      </c>
      <c r="E171" s="8" t="str">
        <f>VLOOKUP($C171,tab_Agências[],3,FALSE)</f>
        <v>Rua João Paulo I, 495</v>
      </c>
      <c r="F171" s="8" t="str">
        <f>VLOOKUP($C171,tab_Agências[],4,FALSE)</f>
        <v>Jardim São Luiz</v>
      </c>
      <c r="G171" s="8" t="str">
        <f>VLOOKUP($C171,tab_Agências[],5,FALSE)</f>
        <v>06816-550</v>
      </c>
      <c r="H171" s="8" t="str">
        <f>VLOOKUP($C171,tab_Agências[],6,FALSE)</f>
        <v>Embu das Artes</v>
      </c>
      <c r="I171" s="8" t="str">
        <f>VLOOKUP($C171,tab_Agências[],7,FALSE)</f>
        <v>Rua João Paulo I, 495 - Jardim São Luiz, Embu das Artes, 06816-550</v>
      </c>
      <c r="J171" s="8" t="str">
        <f>VLOOKUP($C171,tab_Agências[],8,FALSE)</f>
        <v>(11) 4704-8835</v>
      </c>
      <c r="K171" s="8" t="str">
        <f>VLOOKUP($C171,tab_Agências[],9,FALSE)</f>
        <v>(11) 4704-8835</v>
      </c>
      <c r="L171" s="8" t="str">
        <f>VLOOKUP($C171,tab_Agências[],10,FALSE)</f>
        <v>embu@cetesbnet.sp.gov.br</v>
      </c>
    </row>
    <row r="172" spans="1:12" x14ac:dyDescent="0.25">
      <c r="A172" s="8">
        <v>3515129</v>
      </c>
      <c r="B172" s="8" t="s">
        <v>1110</v>
      </c>
      <c r="C172" s="9">
        <v>29</v>
      </c>
      <c r="D172" s="10" t="str">
        <f>VLOOKUP($C172,tab_Agências[],2,FALSE)</f>
        <v>Agência Ambiental de Presidente Prudente</v>
      </c>
      <c r="E172" s="8" t="str">
        <f>VLOOKUP($C172,tab_Agências[],3,FALSE)</f>
        <v>Rua João Gonçalves Foz, 1738</v>
      </c>
      <c r="F172" s="8" t="str">
        <f>VLOOKUP($C172,tab_Agências[],4,FALSE)</f>
        <v>Jardim das Rosas</v>
      </c>
      <c r="G172" s="8" t="str">
        <f>VLOOKUP($C172,tab_Agências[],5,FALSE)</f>
        <v>19060-050</v>
      </c>
      <c r="H172" s="8" t="str">
        <f>VLOOKUP($C172,tab_Agências[],6,FALSE)</f>
        <v>Presidente Prudente</v>
      </c>
      <c r="I172" s="8" t="str">
        <f>VLOOKUP($C172,tab_Agências[],7,FALSE)</f>
        <v>Rua João Gonçalves Foz, 1738 - Jardim das Rosas, Presidente Prudente, 19060-050</v>
      </c>
      <c r="J172" s="8" t="str">
        <f>VLOOKUP($C172,tab_Agências[],8,FALSE)</f>
        <v>(18) 3223-5001</v>
      </c>
      <c r="K172" s="8" t="str">
        <f>VLOOKUP($C172,tab_Agências[],9,FALSE)</f>
        <v xml:space="preserve"> </v>
      </c>
      <c r="L172" s="8" t="str">
        <f>VLOOKUP($C172,tab_Agências[],10,FALSE)</f>
        <v>prudente@cetesbnet.sp.gov.br</v>
      </c>
    </row>
    <row r="173" spans="1:12" x14ac:dyDescent="0.25">
      <c r="A173" s="8">
        <v>3515152</v>
      </c>
      <c r="B173" s="8" t="s">
        <v>1111</v>
      </c>
      <c r="C173" s="9">
        <v>25</v>
      </c>
      <c r="D173" s="10" t="str">
        <f>VLOOKUP($C173,tab_Agências[],2,FALSE)</f>
        <v>Agência Ambiental de Mogi Guaçu</v>
      </c>
      <c r="E173" s="8" t="str">
        <f>VLOOKUP($C173,tab_Agências[],3,FALSE)</f>
        <v>Rua Hugo Pancieira, 400</v>
      </c>
      <c r="F173" s="8" t="str">
        <f>VLOOKUP($C173,tab_Agências[],4,FALSE)</f>
        <v>Pedregulhal</v>
      </c>
      <c r="G173" s="8" t="str">
        <f>VLOOKUP($C173,tab_Agências[],5,FALSE)</f>
        <v>13845-190</v>
      </c>
      <c r="H173" s="8" t="str">
        <f>VLOOKUP($C173,tab_Agências[],6,FALSE)</f>
        <v>Mogi Guaçu</v>
      </c>
      <c r="I173" s="8" t="str">
        <f>VLOOKUP($C173,tab_Agências[],7,FALSE)</f>
        <v>Rua Hugo Pancieira, 400 - Pedregulhal, Mogi Guaçu, 13845-190</v>
      </c>
      <c r="J173" s="8" t="str">
        <f>VLOOKUP($C173,tab_Agências[],8,FALSE)</f>
        <v>(19) 3818-0396</v>
      </c>
      <c r="K173" s="8" t="str">
        <f>VLOOKUP($C173,tab_Agências[],9,FALSE)</f>
        <v>(19) 3818-0396</v>
      </c>
      <c r="L173" s="8" t="str">
        <f>VLOOKUP($C173,tab_Agências[],10,FALSE)</f>
        <v>mogiguacu@cetesbnet.sp.gov.br</v>
      </c>
    </row>
    <row r="174" spans="1:12" x14ac:dyDescent="0.25">
      <c r="A174" s="8">
        <v>3515186</v>
      </c>
      <c r="B174" s="8" t="s">
        <v>1112</v>
      </c>
      <c r="C174" s="9">
        <v>35</v>
      </c>
      <c r="D174" s="10" t="str">
        <f>VLOOKUP($C174,tab_Agências[],2,FALSE)</f>
        <v>Agência Ambiental de São João da Boa Vista</v>
      </c>
      <c r="E174" s="8" t="str">
        <f>VLOOKUP($C174,tab_Agências[],3,FALSE)</f>
        <v>Rua Marechal Deodoro, 345</v>
      </c>
      <c r="F174" s="8" t="str">
        <f>VLOOKUP($C174,tab_Agências[],4,FALSE)</f>
        <v>Centro</v>
      </c>
      <c r="G174" s="8" t="str">
        <f>VLOOKUP($C174,tab_Agências[],5,FALSE)</f>
        <v>13870-223</v>
      </c>
      <c r="H174" s="8" t="str">
        <f>VLOOKUP($C174,tab_Agências[],6,FALSE)</f>
        <v>São João da Boa Vista</v>
      </c>
      <c r="I174" s="8" t="str">
        <f>VLOOKUP($C174,tab_Agências[],7,FALSE)</f>
        <v>Rua Marechal Deodoro, 345 - Centro, São João da Boa Vista, 13870-223</v>
      </c>
      <c r="J174" s="8" t="str">
        <f>VLOOKUP($C174,tab_Agências[],8,FALSE)</f>
        <v>(19) 3633-1510</v>
      </c>
      <c r="K174" s="8" t="str">
        <f>VLOOKUP($C174,tab_Agências[],9,FALSE)</f>
        <v>(19) 3633-1510</v>
      </c>
      <c r="L174" s="8" t="str">
        <f>VLOOKUP($C174,tab_Agências[],10,FALSE)</f>
        <v>sjboavista@cetesbnet.sp.gov.br</v>
      </c>
    </row>
    <row r="175" spans="1:12" x14ac:dyDescent="0.25">
      <c r="A175" s="8">
        <v>3515194</v>
      </c>
      <c r="B175" s="8" t="s">
        <v>1113</v>
      </c>
      <c r="C175" s="9">
        <v>4</v>
      </c>
      <c r="D175" s="10" t="str">
        <f>VLOOKUP($C175,tab_Agências[],2,FALSE)</f>
        <v>Agência Ambiental de Assis</v>
      </c>
      <c r="E175" s="8" t="str">
        <f>VLOOKUP($C175,tab_Agências[],3,FALSE)</f>
        <v>Via Chico Mendes, 75</v>
      </c>
      <c r="F175" s="8" t="str">
        <f>VLOOKUP($C175,tab_Agências[],4,FALSE)</f>
        <v>Quinta dos Flamboyants</v>
      </c>
      <c r="G175" s="8" t="str">
        <f>VLOOKUP($C175,tab_Agências[],5,FALSE)</f>
        <v>19810-005</v>
      </c>
      <c r="H175" s="8" t="str">
        <f>VLOOKUP($C175,tab_Agências[],6,FALSE)</f>
        <v>Assis</v>
      </c>
      <c r="I175" s="8" t="str">
        <f>VLOOKUP($C175,tab_Agências[],7,FALSE)</f>
        <v>Via Chico Mendes, 75 - Quinta dos Flamboyants, Assis, 19810-005</v>
      </c>
      <c r="J175" s="8" t="str">
        <f>VLOOKUP($C175,tab_Agências[],8,FALSE)</f>
        <v>(18) 3324-4177</v>
      </c>
      <c r="K175" s="8" t="str">
        <f>VLOOKUP($C175,tab_Agências[],9,FALSE)</f>
        <v>(18) 3324-4177</v>
      </c>
      <c r="L175" s="8" t="str">
        <f>VLOOKUP($C175,tab_Agências[],10,FALSE)</f>
        <v>assis@cetesbnet.sp.gov.br</v>
      </c>
    </row>
    <row r="176" spans="1:12" x14ac:dyDescent="0.25">
      <c r="A176" s="8">
        <v>3557303</v>
      </c>
      <c r="B176" s="8" t="s">
        <v>1114</v>
      </c>
      <c r="C176" s="9">
        <v>25</v>
      </c>
      <c r="D176" s="10" t="str">
        <f>VLOOKUP($C176,tab_Agências[],2,FALSE)</f>
        <v>Agência Ambiental de Mogi Guaçu</v>
      </c>
      <c r="E176" s="8" t="str">
        <f>VLOOKUP($C176,tab_Agências[],3,FALSE)</f>
        <v>Rua Hugo Pancieira, 400</v>
      </c>
      <c r="F176" s="8" t="str">
        <f>VLOOKUP($C176,tab_Agências[],4,FALSE)</f>
        <v>Pedregulhal</v>
      </c>
      <c r="G176" s="8" t="str">
        <f>VLOOKUP($C176,tab_Agências[],5,FALSE)</f>
        <v>13845-190</v>
      </c>
      <c r="H176" s="8" t="str">
        <f>VLOOKUP($C176,tab_Agências[],6,FALSE)</f>
        <v>Mogi Guaçu</v>
      </c>
      <c r="I176" s="8" t="str">
        <f>VLOOKUP($C176,tab_Agências[],7,FALSE)</f>
        <v>Rua Hugo Pancieira, 400 - Pedregulhal, Mogi Guaçu, 13845-190</v>
      </c>
      <c r="J176" s="8" t="str">
        <f>VLOOKUP($C176,tab_Agências[],8,FALSE)</f>
        <v>(19) 3818-0396</v>
      </c>
      <c r="K176" s="8" t="str">
        <f>VLOOKUP($C176,tab_Agências[],9,FALSE)</f>
        <v>(19) 3818-0396</v>
      </c>
      <c r="L176" s="8" t="str">
        <f>VLOOKUP($C176,tab_Agências[],10,FALSE)</f>
        <v>mogiguacu@cetesbnet.sp.gov.br</v>
      </c>
    </row>
    <row r="177" spans="1:12" x14ac:dyDescent="0.25">
      <c r="A177" s="8">
        <v>3515301</v>
      </c>
      <c r="B177" s="8" t="s">
        <v>1115</v>
      </c>
      <c r="C177" s="9">
        <v>29</v>
      </c>
      <c r="D177" s="10" t="str">
        <f>VLOOKUP($C177,tab_Agências[],2,FALSE)</f>
        <v>Agência Ambiental de Presidente Prudente</v>
      </c>
      <c r="E177" s="8" t="str">
        <f>VLOOKUP($C177,tab_Agências[],3,FALSE)</f>
        <v>Rua João Gonçalves Foz, 1738</v>
      </c>
      <c r="F177" s="8" t="str">
        <f>VLOOKUP($C177,tab_Agências[],4,FALSE)</f>
        <v>Jardim das Rosas</v>
      </c>
      <c r="G177" s="8" t="str">
        <f>VLOOKUP($C177,tab_Agências[],5,FALSE)</f>
        <v>19060-050</v>
      </c>
      <c r="H177" s="8" t="str">
        <f>VLOOKUP($C177,tab_Agências[],6,FALSE)</f>
        <v>Presidente Prudente</v>
      </c>
      <c r="I177" s="8" t="str">
        <f>VLOOKUP($C177,tab_Agências[],7,FALSE)</f>
        <v>Rua João Gonçalves Foz, 1738 - Jardim das Rosas, Presidente Prudente, 19060-050</v>
      </c>
      <c r="J177" s="8" t="str">
        <f>VLOOKUP($C177,tab_Agências[],8,FALSE)</f>
        <v>(18) 3223-5001</v>
      </c>
      <c r="K177" s="8" t="str">
        <f>VLOOKUP($C177,tab_Agências[],9,FALSE)</f>
        <v xml:space="preserve"> </v>
      </c>
      <c r="L177" s="8" t="str">
        <f>VLOOKUP($C177,tab_Agências[],10,FALSE)</f>
        <v>prudente@cetesbnet.sp.gov.br</v>
      </c>
    </row>
    <row r="178" spans="1:12" x14ac:dyDescent="0.25">
      <c r="A178" s="8">
        <v>3515202</v>
      </c>
      <c r="B178" s="8" t="s">
        <v>1116</v>
      </c>
      <c r="C178" s="9">
        <v>20</v>
      </c>
      <c r="D178" s="10" t="str">
        <f>VLOOKUP($C178,tab_Agências[],2,FALSE)</f>
        <v>Agência Ambiental de Jales</v>
      </c>
      <c r="E178" s="8" t="str">
        <f>VLOOKUP($C178,tab_Agências[],3,FALSE)</f>
        <v>Rua Nova Iorque, 1016</v>
      </c>
      <c r="F178" s="8" t="str">
        <f>VLOOKUP($C178,tab_Agências[],4,FALSE)</f>
        <v>Jardim Monte Rrey</v>
      </c>
      <c r="G178" s="8" t="str">
        <f>VLOOKUP($C178,tab_Agências[],5,FALSE)</f>
        <v>15703-326</v>
      </c>
      <c r="H178" s="8" t="str">
        <f>VLOOKUP($C178,tab_Agências[],6,FALSE)</f>
        <v>Jales</v>
      </c>
      <c r="I178" s="8" t="str">
        <f>VLOOKUP($C178,tab_Agências[],7,FALSE)</f>
        <v>Rua Nova Iorque, 1016 - Jardim Monte Rrey, Jales, 15703-326</v>
      </c>
      <c r="J178" s="8" t="str">
        <f>VLOOKUP($C178,tab_Agências[],8,FALSE)</f>
        <v>(17) 3621-1042</v>
      </c>
      <c r="K178" s="8" t="str">
        <f>VLOOKUP($C178,tab_Agências[],9,FALSE)</f>
        <v>(17) 3621-1042</v>
      </c>
      <c r="L178" s="8" t="str">
        <f>VLOOKUP($C178,tab_Agências[],10,FALSE)</f>
        <v>jales@cetesbnet.sp.gov.br</v>
      </c>
    </row>
    <row r="179" spans="1:12" x14ac:dyDescent="0.25">
      <c r="A179" s="8">
        <v>3515350</v>
      </c>
      <c r="B179" s="8" t="s">
        <v>1117</v>
      </c>
      <c r="C179" s="9">
        <v>29</v>
      </c>
      <c r="D179" s="10" t="str">
        <f>VLOOKUP($C179,tab_Agências[],2,FALSE)</f>
        <v>Agência Ambiental de Presidente Prudente</v>
      </c>
      <c r="E179" s="8" t="str">
        <f>VLOOKUP($C179,tab_Agências[],3,FALSE)</f>
        <v>Rua João Gonçalves Foz, 1738</v>
      </c>
      <c r="F179" s="8" t="str">
        <f>VLOOKUP($C179,tab_Agências[],4,FALSE)</f>
        <v>Jardim das Rosas</v>
      </c>
      <c r="G179" s="8" t="str">
        <f>VLOOKUP($C179,tab_Agências[],5,FALSE)</f>
        <v>19060-050</v>
      </c>
      <c r="H179" s="8" t="str">
        <f>VLOOKUP($C179,tab_Agências[],6,FALSE)</f>
        <v>Presidente Prudente</v>
      </c>
      <c r="I179" s="8" t="str">
        <f>VLOOKUP($C179,tab_Agências[],7,FALSE)</f>
        <v>Rua João Gonçalves Foz, 1738 - Jardim das Rosas, Presidente Prudente, 19060-050</v>
      </c>
      <c r="J179" s="8" t="str">
        <f>VLOOKUP($C179,tab_Agências[],8,FALSE)</f>
        <v>(18) 3223-5001</v>
      </c>
      <c r="K179" s="8" t="str">
        <f>VLOOKUP($C179,tab_Agências[],9,FALSE)</f>
        <v xml:space="preserve"> </v>
      </c>
      <c r="L179" s="8" t="str">
        <f>VLOOKUP($C179,tab_Agências[],10,FALSE)</f>
        <v>prudente@cetesbnet.sp.gov.br</v>
      </c>
    </row>
    <row r="180" spans="1:12" x14ac:dyDescent="0.25">
      <c r="A180" s="8">
        <v>3515400</v>
      </c>
      <c r="B180" s="8" t="s">
        <v>1118</v>
      </c>
      <c r="C180" s="9">
        <v>6</v>
      </c>
      <c r="D180" s="10" t="str">
        <f>VLOOKUP($C180,tab_Agências[],2,FALSE)</f>
        <v>Agência Ambiental de Avaré</v>
      </c>
      <c r="E180" s="8" t="str">
        <f>VLOOKUP($C180,tab_Agências[],3,FALSE)</f>
        <v>Avenida Governador Mário Covas, 525</v>
      </c>
      <c r="F180" s="8" t="str">
        <f>VLOOKUP($C180,tab_Agências[],4,FALSE)</f>
        <v>Vila Industrial</v>
      </c>
      <c r="G180" s="8" t="str">
        <f>VLOOKUP($C180,tab_Agências[],5,FALSE)</f>
        <v>18705-851</v>
      </c>
      <c r="H180" s="8" t="str">
        <f>VLOOKUP($C180,tab_Agências[],6,FALSE)</f>
        <v>Avaré</v>
      </c>
      <c r="I180" s="8" t="str">
        <f>VLOOKUP($C180,tab_Agências[],7,FALSE)</f>
        <v>Avenida Governador Mário Covas, 525 - Vila Industrial, Avaré, 18705-851</v>
      </c>
      <c r="J180" s="8" t="str">
        <f>VLOOKUP($C180,tab_Agências[],8,FALSE)</f>
        <v>(14) 3732-4900</v>
      </c>
      <c r="K180" s="8" t="str">
        <f>VLOOKUP($C180,tab_Agências[],9,FALSE)</f>
        <v xml:space="preserve"> </v>
      </c>
      <c r="L180" s="8" t="str">
        <f>VLOOKUP($C180,tab_Agências[],10,FALSE)</f>
        <v>avare@cetesbnet.sp.gov.br</v>
      </c>
    </row>
    <row r="181" spans="1:12" x14ac:dyDescent="0.25">
      <c r="A181" s="8">
        <v>3515608</v>
      </c>
      <c r="B181" s="8" t="s">
        <v>1119</v>
      </c>
      <c r="C181" s="9">
        <v>19</v>
      </c>
      <c r="D181" s="10" t="str">
        <f>VLOOKUP($C181,tab_Agências[],2,FALSE)</f>
        <v>Agência Ambiental de Jaboticabal</v>
      </c>
      <c r="E181" s="8" t="str">
        <f>VLOOKUP($C181,tab_Agências[],3,FALSE)</f>
        <v>Avenida Angelo Morello, 60</v>
      </c>
      <c r="F181" s="8" t="str">
        <f>VLOOKUP($C181,tab_Agências[],4,FALSE)</f>
        <v>Jardim Santa Rosa</v>
      </c>
      <c r="G181" s="8" t="str">
        <f>VLOOKUP($C181,tab_Agências[],5,FALSE)</f>
        <v>14875-290</v>
      </c>
      <c r="H181" s="8" t="str">
        <f>VLOOKUP($C181,tab_Agências[],6,FALSE)</f>
        <v>Jaboticabal</v>
      </c>
      <c r="I181" s="8" t="str">
        <f>VLOOKUP($C181,tab_Agências[],7,FALSE)</f>
        <v>Avenida Angelo Morello, 60 - Jardim Santa Rosa, Jaboticabal, 14875-290</v>
      </c>
      <c r="J181" s="8" t="str">
        <f>VLOOKUP($C181,tab_Agências[],8,FALSE)</f>
        <v>(16) 3203-9400</v>
      </c>
      <c r="K181" s="8" t="str">
        <f>VLOOKUP($C181,tab_Agências[],9,FALSE)</f>
        <v>(16) 3203-9400</v>
      </c>
      <c r="L181" s="8" t="str">
        <f>VLOOKUP($C181,tab_Agências[],10,FALSE)</f>
        <v>jaboticabal@cetesbnet.sp.gov.br</v>
      </c>
    </row>
    <row r="182" spans="1:12" x14ac:dyDescent="0.25">
      <c r="A182" s="8">
        <v>3515509</v>
      </c>
      <c r="B182" s="8" t="s">
        <v>1120</v>
      </c>
      <c r="C182" s="9">
        <v>20</v>
      </c>
      <c r="D182" s="10" t="str">
        <f>VLOOKUP($C182,tab_Agências[],2,FALSE)</f>
        <v>Agência Ambiental de Jales</v>
      </c>
      <c r="E182" s="8" t="str">
        <f>VLOOKUP($C182,tab_Agências[],3,FALSE)</f>
        <v>Rua Nova Iorque, 1016</v>
      </c>
      <c r="F182" s="8" t="str">
        <f>VLOOKUP($C182,tab_Agências[],4,FALSE)</f>
        <v>Jardim Monte Rrey</v>
      </c>
      <c r="G182" s="8" t="str">
        <f>VLOOKUP($C182,tab_Agências[],5,FALSE)</f>
        <v>15703-326</v>
      </c>
      <c r="H182" s="8" t="str">
        <f>VLOOKUP($C182,tab_Agências[],6,FALSE)</f>
        <v>Jales</v>
      </c>
      <c r="I182" s="8" t="str">
        <f>VLOOKUP($C182,tab_Agências[],7,FALSE)</f>
        <v>Rua Nova Iorque, 1016 - Jardim Monte Rrey, Jales, 15703-326</v>
      </c>
      <c r="J182" s="8" t="str">
        <f>VLOOKUP($C182,tab_Agências[],8,FALSE)</f>
        <v>(17) 3621-1042</v>
      </c>
      <c r="K182" s="8" t="str">
        <f>VLOOKUP($C182,tab_Agências[],9,FALSE)</f>
        <v>(17) 3621-1042</v>
      </c>
      <c r="L182" s="8" t="str">
        <f>VLOOKUP($C182,tab_Agências[],10,FALSE)</f>
        <v>jales@cetesbnet.sp.gov.br</v>
      </c>
    </row>
    <row r="183" spans="1:12" x14ac:dyDescent="0.25">
      <c r="A183" s="8">
        <v>3515657</v>
      </c>
      <c r="B183" s="8" t="s">
        <v>1121</v>
      </c>
      <c r="C183" s="9">
        <v>23</v>
      </c>
      <c r="D183" s="10" t="str">
        <f>VLOOKUP($C183,tab_Agências[],2,FALSE)</f>
        <v>Agência Ambiental de Marília</v>
      </c>
      <c r="E183" s="8" t="str">
        <f>VLOOKUP($C183,tab_Agências[],3,FALSE)</f>
        <v>Rua Santa Helena, 436</v>
      </c>
      <c r="F183" s="8" t="str">
        <f>VLOOKUP($C183,tab_Agências[],4,FALSE)</f>
        <v>Jardim Alvorada</v>
      </c>
      <c r="G183" s="8" t="str">
        <f>VLOOKUP($C183,tab_Agências[],5,FALSE)</f>
        <v>17513-322</v>
      </c>
      <c r="H183" s="8" t="str">
        <f>VLOOKUP($C183,tab_Agências[],6,FALSE)</f>
        <v>Marília</v>
      </c>
      <c r="I183" s="8" t="str">
        <f>VLOOKUP($C183,tab_Agências[],7,FALSE)</f>
        <v>Rua Santa Helena, 436 - Jardim Alvorada, Marília, 17513-322</v>
      </c>
      <c r="J183" s="8" t="str">
        <f>VLOOKUP($C183,tab_Agências[],8,FALSE)</f>
        <v>(14) 3422-4666</v>
      </c>
      <c r="K183" s="8" t="str">
        <f>VLOOKUP($C183,tab_Agências[],9,FALSE)</f>
        <v>(14) 3422-4666</v>
      </c>
      <c r="L183" s="8" t="str">
        <f>VLOOKUP($C183,tab_Agências[],10,FALSE)</f>
        <v>marilia@cetesbnet.sp.gov.br</v>
      </c>
    </row>
    <row r="184" spans="1:12" x14ac:dyDescent="0.25">
      <c r="A184" s="8">
        <v>3515707</v>
      </c>
      <c r="B184" s="8" t="s">
        <v>1122</v>
      </c>
      <c r="C184" s="9">
        <v>24</v>
      </c>
      <c r="D184" s="10" t="str">
        <f>VLOOKUP($C184,tab_Agências[],2,FALSE)</f>
        <v>Agência Ambiental de Mogi das Cruzes</v>
      </c>
      <c r="E184" s="8" t="str">
        <f>VLOOKUP($C184,tab_Agências[],3,FALSE)</f>
        <v>Avenida João XXIII, 165</v>
      </c>
      <c r="F184" s="8" t="str">
        <f>VLOOKUP($C184,tab_Agências[],4,FALSE)</f>
        <v>Socorro</v>
      </c>
      <c r="G184" s="8" t="str">
        <f>VLOOKUP($C184,tab_Agências[],5,FALSE)</f>
        <v>08830-000</v>
      </c>
      <c r="H184" s="8" t="str">
        <f>VLOOKUP($C184,tab_Agências[],6,FALSE)</f>
        <v>Mogi das Cruzes</v>
      </c>
      <c r="I184" s="8" t="str">
        <f>VLOOKUP($C184,tab_Agências[],7,FALSE)</f>
        <v>Avenida João XXIII, 165 - Socorro, Mogi das Cruzes, 08830-000</v>
      </c>
      <c r="J184" s="8" t="str">
        <f>VLOOKUP($C184,tab_Agências[],8,FALSE)</f>
        <v>(11) 4725-7490</v>
      </c>
      <c r="K184" s="8" t="str">
        <f>VLOOKUP($C184,tab_Agências[],9,FALSE)</f>
        <v xml:space="preserve"> </v>
      </c>
      <c r="L184" s="8" t="str">
        <f>VLOOKUP($C184,tab_Agências[],10,FALSE)</f>
        <v>mogi@cetesbnet.sp.gov.br</v>
      </c>
    </row>
    <row r="185" spans="1:12" x14ac:dyDescent="0.25">
      <c r="A185" s="8">
        <v>3515806</v>
      </c>
      <c r="B185" s="8" t="s">
        <v>1123</v>
      </c>
      <c r="C185" s="9">
        <v>13</v>
      </c>
      <c r="D185" s="10" t="str">
        <f>VLOOKUP($C185,tab_Agências[],2,FALSE)</f>
        <v>Agência Ambiental de Dracena</v>
      </c>
      <c r="E185" s="8" t="str">
        <f>VLOOKUP($C185,tab_Agências[],3,FALSE)</f>
        <v>Rua Tomé de Souza, 438</v>
      </c>
      <c r="F185" s="8" t="str">
        <f>VLOOKUP($C185,tab_Agências[],4,FALSE)</f>
        <v>Centro</v>
      </c>
      <c r="G185" s="8" t="str">
        <f>VLOOKUP($C185,tab_Agências[],5,FALSE)</f>
        <v>17900-000</v>
      </c>
      <c r="H185" s="8" t="str">
        <f>VLOOKUP($C185,tab_Agências[],6,FALSE)</f>
        <v>Dracena</v>
      </c>
      <c r="I185" s="8" t="str">
        <f>VLOOKUP($C185,tab_Agências[],7,FALSE)</f>
        <v>Rua Tomé de Souza, 438 - Centro, Dracena, 17900-000</v>
      </c>
      <c r="J185" s="8" t="str">
        <f>VLOOKUP($C185,tab_Agências[],8,FALSE)</f>
        <v>(18) 3822-3166</v>
      </c>
      <c r="K185" s="8" t="str">
        <f>VLOOKUP($C185,tab_Agências[],9,FALSE)</f>
        <v>(18) 3822-3166</v>
      </c>
      <c r="L185" s="8" t="str">
        <f>VLOOKUP($C185,tab_Agências[],10,FALSE)</f>
        <v>dracena@cetesbnet.sp.gov.br</v>
      </c>
    </row>
    <row r="186" spans="1:12" x14ac:dyDescent="0.25">
      <c r="A186" s="8">
        <v>3515905</v>
      </c>
      <c r="B186" s="8" t="s">
        <v>1124</v>
      </c>
      <c r="C186" s="9">
        <v>41</v>
      </c>
      <c r="D186" s="10" t="str">
        <f>VLOOKUP($C186,tab_Agências[],2,FALSE)</f>
        <v>Agência Ambiental de Votuporanga</v>
      </c>
      <c r="E186" s="8" t="str">
        <f>VLOOKUP($C186,tab_Agências[],3,FALSE)</f>
        <v>Avenida Deputado Aureo Ferreira, 1724</v>
      </c>
      <c r="F186" s="8" t="str">
        <f>VLOOKUP($C186,tab_Agências[],4,FALSE)</f>
        <v>Vila Paes</v>
      </c>
      <c r="G186" s="8" t="str">
        <f>VLOOKUP($C186,tab_Agências[],5,FALSE)</f>
        <v>15500-112</v>
      </c>
      <c r="H186" s="8" t="str">
        <f>VLOOKUP($C186,tab_Agências[],6,FALSE)</f>
        <v>Votuporanga</v>
      </c>
      <c r="I186" s="8" t="str">
        <f>VLOOKUP($C186,tab_Agências[],7,FALSE)</f>
        <v>Avenida Deputado Aureo Ferreira, 1724 - Vila Paes, Votuporanga, 15500-112</v>
      </c>
      <c r="J186" s="8" t="str">
        <f>VLOOKUP($C186,tab_Agências[],8,FALSE)</f>
        <v>(17) 3421-4004</v>
      </c>
      <c r="K186" s="8" t="str">
        <f>VLOOKUP($C186,tab_Agências[],9,FALSE)</f>
        <v>(17) 3421-4004</v>
      </c>
      <c r="L186" s="8" t="str">
        <f>VLOOKUP($C186,tab_Agências[],10,FALSE)</f>
        <v>votuporanga@cetesbnet.sp.gov.br</v>
      </c>
    </row>
    <row r="187" spans="1:12" x14ac:dyDescent="0.25">
      <c r="A187" s="8">
        <v>3516002</v>
      </c>
      <c r="B187" s="8" t="s">
        <v>1125</v>
      </c>
      <c r="C187" s="9">
        <v>13</v>
      </c>
      <c r="D187" s="10" t="str">
        <f>VLOOKUP($C187,tab_Agências[],2,FALSE)</f>
        <v>Agência Ambiental de Dracena</v>
      </c>
      <c r="E187" s="8" t="str">
        <f>VLOOKUP($C187,tab_Agências[],3,FALSE)</f>
        <v>Rua Tomé de Souza, 438</v>
      </c>
      <c r="F187" s="8" t="str">
        <f>VLOOKUP($C187,tab_Agências[],4,FALSE)</f>
        <v>Centro</v>
      </c>
      <c r="G187" s="8" t="str">
        <f>VLOOKUP($C187,tab_Agências[],5,FALSE)</f>
        <v>17900-000</v>
      </c>
      <c r="H187" s="8" t="str">
        <f>VLOOKUP($C187,tab_Agências[],6,FALSE)</f>
        <v>Dracena</v>
      </c>
      <c r="I187" s="8" t="str">
        <f>VLOOKUP($C187,tab_Agências[],7,FALSE)</f>
        <v>Rua Tomé de Souza, 438 - Centro, Dracena, 17900-000</v>
      </c>
      <c r="J187" s="8" t="str">
        <f>VLOOKUP($C187,tab_Agências[],8,FALSE)</f>
        <v>(18) 3822-3166</v>
      </c>
      <c r="K187" s="8" t="str">
        <f>VLOOKUP($C187,tab_Agências[],9,FALSE)</f>
        <v>(18) 3822-3166</v>
      </c>
      <c r="L187" s="8" t="str">
        <f>VLOOKUP($C187,tab_Agências[],10,FALSE)</f>
        <v>dracena@cetesbnet.sp.gov.br</v>
      </c>
    </row>
    <row r="188" spans="1:12" x14ac:dyDescent="0.25">
      <c r="A188" s="8">
        <v>3516101</v>
      </c>
      <c r="B188" s="8" t="s">
        <v>1126</v>
      </c>
      <c r="C188" s="9">
        <v>4</v>
      </c>
      <c r="D188" s="10" t="str">
        <f>VLOOKUP($C188,tab_Agências[],2,FALSE)</f>
        <v>Agência Ambiental de Assis</v>
      </c>
      <c r="E188" s="8" t="str">
        <f>VLOOKUP($C188,tab_Agências[],3,FALSE)</f>
        <v>Via Chico Mendes, 75</v>
      </c>
      <c r="F188" s="8" t="str">
        <f>VLOOKUP($C188,tab_Agências[],4,FALSE)</f>
        <v>Quinta dos Flamboyants</v>
      </c>
      <c r="G188" s="8" t="str">
        <f>VLOOKUP($C188,tab_Agências[],5,FALSE)</f>
        <v>19810-005</v>
      </c>
      <c r="H188" s="8" t="str">
        <f>VLOOKUP($C188,tab_Agências[],6,FALSE)</f>
        <v>Assis</v>
      </c>
      <c r="I188" s="8" t="str">
        <f>VLOOKUP($C188,tab_Agências[],7,FALSE)</f>
        <v>Via Chico Mendes, 75 - Quinta dos Flamboyants, Assis, 19810-005</v>
      </c>
      <c r="J188" s="8" t="str">
        <f>VLOOKUP($C188,tab_Agências[],8,FALSE)</f>
        <v>(18) 3324-4177</v>
      </c>
      <c r="K188" s="8" t="str">
        <f>VLOOKUP($C188,tab_Agências[],9,FALSE)</f>
        <v>(18) 3324-4177</v>
      </c>
      <c r="L188" s="8" t="str">
        <f>VLOOKUP($C188,tab_Agências[],10,FALSE)</f>
        <v>assis@cetesbnet.sp.gov.br</v>
      </c>
    </row>
    <row r="189" spans="1:12" x14ac:dyDescent="0.25">
      <c r="A189" s="8">
        <v>3516200</v>
      </c>
      <c r="B189" s="8" t="s">
        <v>1127</v>
      </c>
      <c r="C189" s="9">
        <v>15</v>
      </c>
      <c r="D189" s="10" t="str">
        <f>VLOOKUP($C189,tab_Agências[],2,FALSE)</f>
        <v>Agência Ambiental de Franca</v>
      </c>
      <c r="E189" s="8" t="str">
        <f>VLOOKUP($C189,tab_Agências[],3,FALSE)</f>
        <v>Avenida Dr. Flávio Rocha, 4551</v>
      </c>
      <c r="F189" s="8" t="str">
        <f>VLOOKUP($C189,tab_Agências[],4,FALSE)</f>
        <v>Parque dos Pinhais</v>
      </c>
      <c r="G189" s="8" t="str">
        <f>VLOOKUP($C189,tab_Agências[],5,FALSE)</f>
        <v>14405-600</v>
      </c>
      <c r="H189" s="8" t="str">
        <f>VLOOKUP($C189,tab_Agências[],6,FALSE)</f>
        <v>Franca</v>
      </c>
      <c r="I189" s="8" t="str">
        <f>VLOOKUP($C189,tab_Agências[],7,FALSE)</f>
        <v>Avenida Dr. Flávio Rocha, 4551 - Parque dos Pinhais, Franca, 14405-600</v>
      </c>
      <c r="J189" s="8" t="str">
        <f>VLOOKUP($C189,tab_Agências[],8,FALSE)</f>
        <v>(16) 3724-5922</v>
      </c>
      <c r="K189" s="8" t="str">
        <f>VLOOKUP($C189,tab_Agências[],9,FALSE)</f>
        <v>(16) 3724-5922</v>
      </c>
      <c r="L189" s="8" t="str">
        <f>VLOOKUP($C189,tab_Agências[],10,FALSE)</f>
        <v>franca@cetesbnet.sp.gov.br</v>
      </c>
    </row>
    <row r="190" spans="1:12" x14ac:dyDescent="0.25">
      <c r="A190" s="8">
        <v>3516309</v>
      </c>
      <c r="B190" s="8" t="s">
        <v>1128</v>
      </c>
      <c r="C190" s="9">
        <v>32</v>
      </c>
      <c r="D190" s="10" t="str">
        <f>VLOOKUP($C190,tab_Agências[],2,FALSE)</f>
        <v>Agência Ambiental de Santana</v>
      </c>
      <c r="E190" s="8" t="str">
        <f>VLOOKUP($C190,tab_Agências[],3,FALSE)</f>
        <v>Avenida Santa Inês, 1796</v>
      </c>
      <c r="F190" s="8" t="str">
        <f>VLOOKUP($C190,tab_Agências[],4,FALSE)</f>
        <v>Horto Florestal</v>
      </c>
      <c r="G190" s="8" t="str">
        <f>VLOOKUP($C190,tab_Agências[],5,FALSE)</f>
        <v>02415-002</v>
      </c>
      <c r="H190" s="8" t="str">
        <f>VLOOKUP($C190,tab_Agências[],6,FALSE)</f>
        <v>São Paulo</v>
      </c>
      <c r="I190" s="8" t="str">
        <f>VLOOKUP($C190,tab_Agências[],7,FALSE)</f>
        <v>Avenida Santa Inês, 1796 - Horto Florestal, São Paulo, 02415-002</v>
      </c>
      <c r="J190" s="8" t="str">
        <f>VLOOKUP($C190,tab_Agências[],8,FALSE)</f>
        <v>(11) 2261-3291</v>
      </c>
      <c r="K190" s="8" t="str">
        <f>VLOOKUP($C190,tab_Agências[],9,FALSE)</f>
        <v xml:space="preserve"> </v>
      </c>
      <c r="L190" s="8" t="str">
        <f>VLOOKUP($C190,tab_Agências[],10,FALSE)</f>
        <v>santana@cetesbnet.sp.gov.br</v>
      </c>
    </row>
    <row r="191" spans="1:12" x14ac:dyDescent="0.25">
      <c r="A191" s="8">
        <v>3516408</v>
      </c>
      <c r="B191" s="8" t="s">
        <v>1129</v>
      </c>
      <c r="C191" s="9">
        <v>32</v>
      </c>
      <c r="D191" s="10" t="str">
        <f>VLOOKUP($C191,tab_Agências[],2,FALSE)</f>
        <v>Agência Ambiental de Santana</v>
      </c>
      <c r="E191" s="8" t="str">
        <f>VLOOKUP($C191,tab_Agências[],3,FALSE)</f>
        <v>Avenida Santa Inês, 1796</v>
      </c>
      <c r="F191" s="8" t="str">
        <f>VLOOKUP($C191,tab_Agências[],4,FALSE)</f>
        <v>Horto Florestal</v>
      </c>
      <c r="G191" s="8" t="str">
        <f>VLOOKUP($C191,tab_Agências[],5,FALSE)</f>
        <v>02415-002</v>
      </c>
      <c r="H191" s="8" t="str">
        <f>VLOOKUP($C191,tab_Agências[],6,FALSE)</f>
        <v>São Paulo</v>
      </c>
      <c r="I191" s="8" t="str">
        <f>VLOOKUP($C191,tab_Agências[],7,FALSE)</f>
        <v>Avenida Santa Inês, 1796 - Horto Florestal, São Paulo, 02415-002</v>
      </c>
      <c r="J191" s="8" t="str">
        <f>VLOOKUP($C191,tab_Agências[],8,FALSE)</f>
        <v>(11) 2261-3291</v>
      </c>
      <c r="K191" s="8" t="str">
        <f>VLOOKUP($C191,tab_Agências[],9,FALSE)</f>
        <v xml:space="preserve"> </v>
      </c>
      <c r="L191" s="8" t="str">
        <f>VLOOKUP($C191,tab_Agências[],10,FALSE)</f>
        <v>santana@cetesbnet.sp.gov.br</v>
      </c>
    </row>
    <row r="192" spans="1:12" x14ac:dyDescent="0.25">
      <c r="A192" s="8">
        <v>3516507</v>
      </c>
      <c r="B192" s="8" t="s">
        <v>1130</v>
      </c>
      <c r="C192" s="9">
        <v>2</v>
      </c>
      <c r="D192" s="10" t="str">
        <f>VLOOKUP($C192,tab_Agências[],2,FALSE)</f>
        <v>Agência Ambiental de Araçatuba</v>
      </c>
      <c r="E192" s="8" t="str">
        <f>VLOOKUP($C192,tab_Agências[],3,FALSE)</f>
        <v>Rua Ten. Alcides Teodoro dos Santos, 260</v>
      </c>
      <c r="F192" s="8" t="str">
        <f>VLOOKUP($C192,tab_Agências[],4,FALSE)</f>
        <v>Aviação</v>
      </c>
      <c r="G192" s="8" t="str">
        <f>VLOOKUP($C192,tab_Agências[],5,FALSE)</f>
        <v>16055-557</v>
      </c>
      <c r="H192" s="8" t="str">
        <f>VLOOKUP($C192,tab_Agências[],6,FALSE)</f>
        <v>Araçatuba</v>
      </c>
      <c r="I192" s="8" t="str">
        <f>VLOOKUP($C192,tab_Agências[],7,FALSE)</f>
        <v>Rua Ten. Alcides Teodoro dos Santos, 260 - Aviação, Araçatuba, 16055-557</v>
      </c>
      <c r="J192" s="8" t="str">
        <f>VLOOKUP($C192,tab_Agências[],8,FALSE)</f>
        <v>(18) 3608-8053</v>
      </c>
      <c r="K192" s="8" t="str">
        <f>VLOOKUP($C192,tab_Agências[],9,FALSE)</f>
        <v>(18) 3608-7197</v>
      </c>
      <c r="L192" s="8" t="str">
        <f>VLOOKUP($C192,tab_Agências[],10,FALSE)</f>
        <v>aracatuba@cetesbnet.sp.gov.br</v>
      </c>
    </row>
    <row r="193" spans="1:12" x14ac:dyDescent="0.25">
      <c r="A193" s="8">
        <v>3516606</v>
      </c>
      <c r="B193" s="8" t="s">
        <v>1131</v>
      </c>
      <c r="C193" s="9">
        <v>23</v>
      </c>
      <c r="D193" s="10" t="str">
        <f>VLOOKUP($C193,tab_Agências[],2,FALSE)</f>
        <v>Agência Ambiental de Marília</v>
      </c>
      <c r="E193" s="8" t="str">
        <f>VLOOKUP($C193,tab_Agências[],3,FALSE)</f>
        <v>Rua Santa Helena, 436</v>
      </c>
      <c r="F193" s="8" t="str">
        <f>VLOOKUP($C193,tab_Agências[],4,FALSE)</f>
        <v>Jardim Alvorada</v>
      </c>
      <c r="G193" s="8" t="str">
        <f>VLOOKUP($C193,tab_Agências[],5,FALSE)</f>
        <v>17513-322</v>
      </c>
      <c r="H193" s="8" t="str">
        <f>VLOOKUP($C193,tab_Agências[],6,FALSE)</f>
        <v>Marília</v>
      </c>
      <c r="I193" s="8" t="str">
        <f>VLOOKUP($C193,tab_Agências[],7,FALSE)</f>
        <v>Rua Santa Helena, 436 - Jardim Alvorada, Marília, 17513-322</v>
      </c>
      <c r="J193" s="8" t="str">
        <f>VLOOKUP($C193,tab_Agências[],8,FALSE)</f>
        <v>(14) 3422-4666</v>
      </c>
      <c r="K193" s="8" t="str">
        <f>VLOOKUP($C193,tab_Agências[],9,FALSE)</f>
        <v>(14) 3422-4666</v>
      </c>
      <c r="L193" s="8" t="str">
        <f>VLOOKUP($C193,tab_Agências[],10,FALSE)</f>
        <v>marilia@cetesbnet.sp.gov.br</v>
      </c>
    </row>
    <row r="194" spans="1:12" x14ac:dyDescent="0.25">
      <c r="A194" s="8">
        <v>3516705</v>
      </c>
      <c r="B194" s="8" t="s">
        <v>1132</v>
      </c>
      <c r="C194" s="9">
        <v>23</v>
      </c>
      <c r="D194" s="10" t="str">
        <f>VLOOKUP($C194,tab_Agências[],2,FALSE)</f>
        <v>Agência Ambiental de Marília</v>
      </c>
      <c r="E194" s="8" t="str">
        <f>VLOOKUP($C194,tab_Agências[],3,FALSE)</f>
        <v>Rua Santa Helena, 436</v>
      </c>
      <c r="F194" s="8" t="str">
        <f>VLOOKUP($C194,tab_Agências[],4,FALSE)</f>
        <v>Jardim Alvorada</v>
      </c>
      <c r="G194" s="8" t="str">
        <f>VLOOKUP($C194,tab_Agências[],5,FALSE)</f>
        <v>17513-322</v>
      </c>
      <c r="H194" s="8" t="str">
        <f>VLOOKUP($C194,tab_Agências[],6,FALSE)</f>
        <v>Marília</v>
      </c>
      <c r="I194" s="8" t="str">
        <f>VLOOKUP($C194,tab_Agências[],7,FALSE)</f>
        <v>Rua Santa Helena, 436 - Jardim Alvorada, Marília, 17513-322</v>
      </c>
      <c r="J194" s="8" t="str">
        <f>VLOOKUP($C194,tab_Agências[],8,FALSE)</f>
        <v>(14) 3422-4666</v>
      </c>
      <c r="K194" s="8" t="str">
        <f>VLOOKUP($C194,tab_Agências[],9,FALSE)</f>
        <v>(14) 3422-4666</v>
      </c>
      <c r="L194" s="8" t="str">
        <f>VLOOKUP($C194,tab_Agências[],10,FALSE)</f>
        <v>marilia@cetesbnet.sp.gov.br</v>
      </c>
    </row>
    <row r="195" spans="1:12" x14ac:dyDescent="0.25">
      <c r="A195" s="8">
        <v>3516804</v>
      </c>
      <c r="B195" s="8" t="s">
        <v>1133</v>
      </c>
      <c r="C195" s="9">
        <v>41</v>
      </c>
      <c r="D195" s="10" t="str">
        <f>VLOOKUP($C195,tab_Agências[],2,FALSE)</f>
        <v>Agência Ambiental de Votuporanga</v>
      </c>
      <c r="E195" s="8" t="str">
        <f>VLOOKUP($C195,tab_Agências[],3,FALSE)</f>
        <v>Avenida Deputado Aureo Ferreira, 1724</v>
      </c>
      <c r="F195" s="8" t="str">
        <f>VLOOKUP($C195,tab_Agências[],4,FALSE)</f>
        <v>Vila Paes</v>
      </c>
      <c r="G195" s="8" t="str">
        <f>VLOOKUP($C195,tab_Agências[],5,FALSE)</f>
        <v>15500-112</v>
      </c>
      <c r="H195" s="8" t="str">
        <f>VLOOKUP($C195,tab_Agências[],6,FALSE)</f>
        <v>Votuporanga</v>
      </c>
      <c r="I195" s="8" t="str">
        <f>VLOOKUP($C195,tab_Agências[],7,FALSE)</f>
        <v>Avenida Deputado Aureo Ferreira, 1724 - Vila Paes, Votuporanga, 15500-112</v>
      </c>
      <c r="J195" s="8" t="str">
        <f>VLOOKUP($C195,tab_Agências[],8,FALSE)</f>
        <v>(17) 3421-4004</v>
      </c>
      <c r="K195" s="8" t="str">
        <f>VLOOKUP($C195,tab_Agências[],9,FALSE)</f>
        <v>(17) 3421-4004</v>
      </c>
      <c r="L195" s="8" t="str">
        <f>VLOOKUP($C195,tab_Agências[],10,FALSE)</f>
        <v>votuporanga@cetesbnet.sp.gov.br</v>
      </c>
    </row>
    <row r="196" spans="1:12" x14ac:dyDescent="0.25">
      <c r="A196" s="8">
        <v>3516853</v>
      </c>
      <c r="B196" s="8" t="s">
        <v>1134</v>
      </c>
      <c r="C196" s="9">
        <v>3</v>
      </c>
      <c r="D196" s="10" t="str">
        <f>VLOOKUP($C196,tab_Agências[],2,FALSE)</f>
        <v>Agência Ambiental de Araraquara</v>
      </c>
      <c r="E196" s="8" t="str">
        <f>VLOOKUP($C196,tab_Agências[],3,FALSE)</f>
        <v>Avenida Castro Alves, 1271</v>
      </c>
      <c r="F196" s="8" t="str">
        <f>VLOOKUP($C196,tab_Agências[],4,FALSE)</f>
        <v>Carmo</v>
      </c>
      <c r="G196" s="8" t="str">
        <f>VLOOKUP($C196,tab_Agências[],5,FALSE)</f>
        <v>14800-140</v>
      </c>
      <c r="H196" s="8" t="str">
        <f>VLOOKUP($C196,tab_Agências[],6,FALSE)</f>
        <v>Araraquara</v>
      </c>
      <c r="I196" s="8" t="str">
        <f>VLOOKUP($C196,tab_Agências[],7,FALSE)</f>
        <v>Avenida Castro Alves, 1271 - Carmo, Araraquara, 14800-140</v>
      </c>
      <c r="J196" s="8" t="str">
        <f>VLOOKUP($C196,tab_Agências[],8,FALSE)</f>
        <v>(16) 3332-2211</v>
      </c>
      <c r="K196" s="8" t="str">
        <f>VLOOKUP($C196,tab_Agências[],9,FALSE)</f>
        <v>(16) 3332-2211</v>
      </c>
      <c r="L196" s="8" t="str">
        <f>VLOOKUP($C196,tab_Agências[],10,FALSE)</f>
        <v>araraquara@cetesbnet.sp.gov.br</v>
      </c>
    </row>
    <row r="197" spans="1:12" x14ac:dyDescent="0.25">
      <c r="A197" s="8">
        <v>3516903</v>
      </c>
      <c r="B197" s="8" t="s">
        <v>1135</v>
      </c>
      <c r="C197" s="9">
        <v>41</v>
      </c>
      <c r="D197" s="10" t="str">
        <f>VLOOKUP($C197,tab_Agências[],2,FALSE)</f>
        <v>Agência Ambiental de Votuporanga</v>
      </c>
      <c r="E197" s="8" t="str">
        <f>VLOOKUP($C197,tab_Agências[],3,FALSE)</f>
        <v>Avenida Deputado Aureo Ferreira, 1724</v>
      </c>
      <c r="F197" s="8" t="str">
        <f>VLOOKUP($C197,tab_Agências[],4,FALSE)</f>
        <v>Vila Paes</v>
      </c>
      <c r="G197" s="8" t="str">
        <f>VLOOKUP($C197,tab_Agências[],5,FALSE)</f>
        <v>15500-112</v>
      </c>
      <c r="H197" s="8" t="str">
        <f>VLOOKUP($C197,tab_Agências[],6,FALSE)</f>
        <v>Votuporanga</v>
      </c>
      <c r="I197" s="8" t="str">
        <f>VLOOKUP($C197,tab_Agências[],7,FALSE)</f>
        <v>Avenida Deputado Aureo Ferreira, 1724 - Vila Paes, Votuporanga, 15500-112</v>
      </c>
      <c r="J197" s="8" t="str">
        <f>VLOOKUP($C197,tab_Agências[],8,FALSE)</f>
        <v>(17) 3421-4004</v>
      </c>
      <c r="K197" s="8" t="str">
        <f>VLOOKUP($C197,tab_Agências[],9,FALSE)</f>
        <v>(17) 3421-4004</v>
      </c>
      <c r="L197" s="8" t="str">
        <f>VLOOKUP($C197,tab_Agências[],10,FALSE)</f>
        <v>votuporanga@cetesbnet.sp.gov.br</v>
      </c>
    </row>
    <row r="198" spans="1:12" x14ac:dyDescent="0.25">
      <c r="A198" s="8">
        <v>3517000</v>
      </c>
      <c r="B198" s="8" t="s">
        <v>1136</v>
      </c>
      <c r="C198" s="9">
        <v>23</v>
      </c>
      <c r="D198" s="10" t="str">
        <f>VLOOKUP($C198,tab_Agências[],2,FALSE)</f>
        <v>Agência Ambiental de Marília</v>
      </c>
      <c r="E198" s="8" t="str">
        <f>VLOOKUP($C198,tab_Agências[],3,FALSE)</f>
        <v>Rua Santa Helena, 436</v>
      </c>
      <c r="F198" s="8" t="str">
        <f>VLOOKUP($C198,tab_Agências[],4,FALSE)</f>
        <v>Jardim Alvorada</v>
      </c>
      <c r="G198" s="8" t="str">
        <f>VLOOKUP($C198,tab_Agências[],5,FALSE)</f>
        <v>17513-322</v>
      </c>
      <c r="H198" s="8" t="str">
        <f>VLOOKUP($C198,tab_Agências[],6,FALSE)</f>
        <v>Marília</v>
      </c>
      <c r="I198" s="8" t="str">
        <f>VLOOKUP($C198,tab_Agências[],7,FALSE)</f>
        <v>Rua Santa Helena, 436 - Jardim Alvorada, Marília, 17513-322</v>
      </c>
      <c r="J198" s="8" t="str">
        <f>VLOOKUP($C198,tab_Agências[],8,FALSE)</f>
        <v>(14) 3422-4666</v>
      </c>
      <c r="K198" s="8" t="str">
        <f>VLOOKUP($C198,tab_Agências[],9,FALSE)</f>
        <v>(14) 3422-4666</v>
      </c>
      <c r="L198" s="8" t="str">
        <f>VLOOKUP($C198,tab_Agências[],10,FALSE)</f>
        <v>marilia@cetesbnet.sp.gov.br</v>
      </c>
    </row>
    <row r="199" spans="1:12" x14ac:dyDescent="0.25">
      <c r="A199" s="8">
        <v>3517109</v>
      </c>
      <c r="B199" s="8" t="s">
        <v>1137</v>
      </c>
      <c r="C199" s="9">
        <v>2</v>
      </c>
      <c r="D199" s="10" t="str">
        <f>VLOOKUP($C199,tab_Agências[],2,FALSE)</f>
        <v>Agência Ambiental de Araçatuba</v>
      </c>
      <c r="E199" s="8" t="str">
        <f>VLOOKUP($C199,tab_Agências[],3,FALSE)</f>
        <v>Rua Ten. Alcides Teodoro dos Santos, 260</v>
      </c>
      <c r="F199" s="8" t="str">
        <f>VLOOKUP($C199,tab_Agências[],4,FALSE)</f>
        <v>Aviação</v>
      </c>
      <c r="G199" s="8" t="str">
        <f>VLOOKUP($C199,tab_Agências[],5,FALSE)</f>
        <v>16055-557</v>
      </c>
      <c r="H199" s="8" t="str">
        <f>VLOOKUP($C199,tab_Agências[],6,FALSE)</f>
        <v>Araçatuba</v>
      </c>
      <c r="I199" s="8" t="str">
        <f>VLOOKUP($C199,tab_Agências[],7,FALSE)</f>
        <v>Rua Ten. Alcides Teodoro dos Santos, 260 - Aviação, Araçatuba, 16055-557</v>
      </c>
      <c r="J199" s="8" t="str">
        <f>VLOOKUP($C199,tab_Agências[],8,FALSE)</f>
        <v>(18) 3608-8053</v>
      </c>
      <c r="K199" s="8" t="str">
        <f>VLOOKUP($C199,tab_Agências[],9,FALSE)</f>
        <v>(18) 3608-7197</v>
      </c>
      <c r="L199" s="8" t="str">
        <f>VLOOKUP($C199,tab_Agências[],10,FALSE)</f>
        <v>aracatuba@cetesbnet.sp.gov.br</v>
      </c>
    </row>
    <row r="200" spans="1:12" x14ac:dyDescent="0.25">
      <c r="A200" s="8">
        <v>3517208</v>
      </c>
      <c r="B200" s="8" t="s">
        <v>1138</v>
      </c>
      <c r="C200" s="9">
        <v>23</v>
      </c>
      <c r="D200" s="10" t="str">
        <f>VLOOKUP($C200,tab_Agências[],2,FALSE)</f>
        <v>Agência Ambiental de Marília</v>
      </c>
      <c r="E200" s="8" t="str">
        <f>VLOOKUP($C200,tab_Agências[],3,FALSE)</f>
        <v>Rua Santa Helena, 436</v>
      </c>
      <c r="F200" s="8" t="str">
        <f>VLOOKUP($C200,tab_Agências[],4,FALSE)</f>
        <v>Jardim Alvorada</v>
      </c>
      <c r="G200" s="8" t="str">
        <f>VLOOKUP($C200,tab_Agências[],5,FALSE)</f>
        <v>17513-322</v>
      </c>
      <c r="H200" s="8" t="str">
        <f>VLOOKUP($C200,tab_Agências[],6,FALSE)</f>
        <v>Marília</v>
      </c>
      <c r="I200" s="8" t="str">
        <f>VLOOKUP($C200,tab_Agências[],7,FALSE)</f>
        <v>Rua Santa Helena, 436 - Jardim Alvorada, Marília, 17513-322</v>
      </c>
      <c r="J200" s="8" t="str">
        <f>VLOOKUP($C200,tab_Agências[],8,FALSE)</f>
        <v>(14) 3422-4666</v>
      </c>
      <c r="K200" s="8" t="str">
        <f>VLOOKUP($C200,tab_Agências[],9,FALSE)</f>
        <v>(14) 3422-4666</v>
      </c>
      <c r="L200" s="8" t="str">
        <f>VLOOKUP($C200,tab_Agências[],10,FALSE)</f>
        <v>marilia@cetesbnet.sp.gov.br</v>
      </c>
    </row>
    <row r="201" spans="1:12" x14ac:dyDescent="0.25">
      <c r="A201" s="8">
        <v>3517307</v>
      </c>
      <c r="B201" s="8" t="s">
        <v>1139</v>
      </c>
      <c r="C201" s="9">
        <v>23</v>
      </c>
      <c r="D201" s="10" t="str">
        <f>VLOOKUP($C201,tab_Agências[],2,FALSE)</f>
        <v>Agência Ambiental de Marília</v>
      </c>
      <c r="E201" s="8" t="str">
        <f>VLOOKUP($C201,tab_Agências[],3,FALSE)</f>
        <v>Rua Santa Helena, 436</v>
      </c>
      <c r="F201" s="8" t="str">
        <f>VLOOKUP($C201,tab_Agências[],4,FALSE)</f>
        <v>Jardim Alvorada</v>
      </c>
      <c r="G201" s="8" t="str">
        <f>VLOOKUP($C201,tab_Agências[],5,FALSE)</f>
        <v>17513-322</v>
      </c>
      <c r="H201" s="8" t="str">
        <f>VLOOKUP($C201,tab_Agências[],6,FALSE)</f>
        <v>Marília</v>
      </c>
      <c r="I201" s="8" t="str">
        <f>VLOOKUP($C201,tab_Agências[],7,FALSE)</f>
        <v>Rua Santa Helena, 436 - Jardim Alvorada, Marília, 17513-322</v>
      </c>
      <c r="J201" s="8" t="str">
        <f>VLOOKUP($C201,tab_Agências[],8,FALSE)</f>
        <v>(14) 3422-4666</v>
      </c>
      <c r="K201" s="8" t="str">
        <f>VLOOKUP($C201,tab_Agências[],9,FALSE)</f>
        <v>(14) 3422-4666</v>
      </c>
      <c r="L201" s="8" t="str">
        <f>VLOOKUP($C201,tab_Agências[],10,FALSE)</f>
        <v>marilia@cetesbnet.sp.gov.br</v>
      </c>
    </row>
    <row r="202" spans="1:12" x14ac:dyDescent="0.25">
      <c r="A202" s="8">
        <v>3517406</v>
      </c>
      <c r="B202" s="8" t="s">
        <v>1140</v>
      </c>
      <c r="C202" s="9">
        <v>7</v>
      </c>
      <c r="D202" s="10" t="str">
        <f>VLOOKUP($C202,tab_Agências[],2,FALSE)</f>
        <v>Agência Ambiental de Barretos</v>
      </c>
      <c r="E202" s="8" t="str">
        <f>VLOOKUP($C202,tab_Agências[],3,FALSE)</f>
        <v>Rua Bolívia, 2255</v>
      </c>
      <c r="F202" s="8" t="str">
        <f>VLOOKUP($C202,tab_Agências[],4,FALSE)</f>
        <v>América</v>
      </c>
      <c r="G202" s="8" t="str">
        <f>VLOOKUP($C202,tab_Agências[],5,FALSE)</f>
        <v>14783-197</v>
      </c>
      <c r="H202" s="8" t="str">
        <f>VLOOKUP($C202,tab_Agências[],6,FALSE)</f>
        <v>Barretos</v>
      </c>
      <c r="I202" s="8" t="str">
        <f>VLOOKUP($C202,tab_Agências[],7,FALSE)</f>
        <v>Rua Bolívia, 2255 - América, Barretos, 14783-197</v>
      </c>
      <c r="J202" s="8" t="str">
        <f>VLOOKUP($C202,tab_Agências[],8,FALSE)</f>
        <v>(17) 3322-2655</v>
      </c>
      <c r="K202" s="8" t="str">
        <f>VLOOKUP($C202,tab_Agências[],9,FALSE)</f>
        <v>(17) 3322-2952</v>
      </c>
      <c r="L202" s="8" t="str">
        <f>VLOOKUP($C202,tab_Agências[],10,FALSE)</f>
        <v>barretos@cetesbnet.sp.gov.br</v>
      </c>
    </row>
    <row r="203" spans="1:12" x14ac:dyDescent="0.25">
      <c r="A203" s="8">
        <v>3517505</v>
      </c>
      <c r="B203" s="8" t="s">
        <v>1141</v>
      </c>
      <c r="C203" s="9">
        <v>36</v>
      </c>
      <c r="D203" s="10" t="str">
        <f>VLOOKUP($C203,tab_Agências[],2,FALSE)</f>
        <v>Agência Ambiental de São José do Rio Preto</v>
      </c>
      <c r="E203" s="8" t="str">
        <f>VLOOKUP($C203,tab_Agências[],3,FALSE)</f>
        <v>Avenida Mário Andreazza,</v>
      </c>
      <c r="F203" s="8" t="str">
        <f>VLOOKUP($C203,tab_Agências[],4,FALSE)</f>
        <v>Jardim São Marcos</v>
      </c>
      <c r="G203" s="8" t="str">
        <f>VLOOKUP($C203,tab_Agências[],5,FALSE)</f>
        <v>15081-490</v>
      </c>
      <c r="H203" s="8" t="str">
        <f>VLOOKUP($C203,tab_Agências[],6,FALSE)</f>
        <v>São José do Rio Preto</v>
      </c>
      <c r="I203" s="8" t="str">
        <f>VLOOKUP($C203,tab_Agências[],7,FALSE)</f>
        <v>Avenida Mário Andreazza, - Jardim São Marcos, São José do Rio Preto, 15081-490</v>
      </c>
      <c r="J203" s="8" t="str">
        <f>VLOOKUP($C203,tab_Agências[],8,FALSE)</f>
        <v>(17) 3218-4300</v>
      </c>
      <c r="K203" s="8" t="str">
        <f>VLOOKUP($C203,tab_Agências[],9,FALSE)</f>
        <v>(17) 3218-4300</v>
      </c>
      <c r="L203" s="8" t="str">
        <f>VLOOKUP($C203,tab_Agências[],10,FALSE)</f>
        <v>riopreto@cetesbnet.sp.gov.br</v>
      </c>
    </row>
    <row r="204" spans="1:12" x14ac:dyDescent="0.25">
      <c r="A204" s="8">
        <v>3517604</v>
      </c>
      <c r="B204" s="8" t="s">
        <v>1142</v>
      </c>
      <c r="C204" s="9">
        <v>11</v>
      </c>
      <c r="D204" s="10" t="str">
        <f>VLOOKUP($C204,tab_Agências[],2,FALSE)</f>
        <v>Agência Ambiental de Capão Bonito</v>
      </c>
      <c r="E204" s="8" t="str">
        <f>VLOOKUP($C204,tab_Agências[],3,FALSE)</f>
        <v>Rua Denise, 131</v>
      </c>
      <c r="F204" s="8" t="str">
        <f>VLOOKUP($C204,tab_Agências[],4,FALSE)</f>
        <v>Terras de Imbirucu</v>
      </c>
      <c r="G204" s="8" t="str">
        <f>VLOOKUP($C204,tab_Agências[],5,FALSE)</f>
        <v>18304-700</v>
      </c>
      <c r="H204" s="8" t="str">
        <f>VLOOKUP($C204,tab_Agências[],6,FALSE)</f>
        <v>Capão Bonito</v>
      </c>
      <c r="I204" s="8" t="str">
        <f>VLOOKUP($C204,tab_Agências[],7,FALSE)</f>
        <v>Rua Denise, 131 - Terras de Imbirucu, Capão Bonito, 18304-700</v>
      </c>
      <c r="J204" s="8" t="str">
        <f>VLOOKUP($C204,tab_Agências[],8,FALSE)</f>
        <v>(15) 3542-3885</v>
      </c>
      <c r="K204" s="8" t="str">
        <f>VLOOKUP($C204,tab_Agências[],9,FALSE)</f>
        <v>(15) 3542-3885</v>
      </c>
      <c r="L204" s="8" t="str">
        <f>VLOOKUP($C204,tab_Agências[],10,FALSE)</f>
        <v>capaobonito@cetesbnet.sp.gov.br</v>
      </c>
    </row>
    <row r="205" spans="1:12" x14ac:dyDescent="0.25">
      <c r="A205" s="8">
        <v>3517703</v>
      </c>
      <c r="B205" s="8" t="s">
        <v>1143</v>
      </c>
      <c r="C205" s="9">
        <v>15</v>
      </c>
      <c r="D205" s="10" t="str">
        <f>VLOOKUP($C205,tab_Agências[],2,FALSE)</f>
        <v>Agência Ambiental de Franca</v>
      </c>
      <c r="E205" s="8" t="str">
        <f>VLOOKUP($C205,tab_Agências[],3,FALSE)</f>
        <v>Avenida Dr. Flávio Rocha, 4551</v>
      </c>
      <c r="F205" s="8" t="str">
        <f>VLOOKUP($C205,tab_Agências[],4,FALSE)</f>
        <v>Parque dos Pinhais</v>
      </c>
      <c r="G205" s="8" t="str">
        <f>VLOOKUP($C205,tab_Agências[],5,FALSE)</f>
        <v>14405-600</v>
      </c>
      <c r="H205" s="8" t="str">
        <f>VLOOKUP($C205,tab_Agências[],6,FALSE)</f>
        <v>Franca</v>
      </c>
      <c r="I205" s="8" t="str">
        <f>VLOOKUP($C205,tab_Agências[],7,FALSE)</f>
        <v>Avenida Dr. Flávio Rocha, 4551 - Parque dos Pinhais, Franca, 14405-600</v>
      </c>
      <c r="J205" s="8" t="str">
        <f>VLOOKUP($C205,tab_Agências[],8,FALSE)</f>
        <v>(16) 3724-5922</v>
      </c>
      <c r="K205" s="8" t="str">
        <f>VLOOKUP($C205,tab_Agências[],9,FALSE)</f>
        <v>(16) 3724-5922</v>
      </c>
      <c r="L205" s="8" t="str">
        <f>VLOOKUP($C205,tab_Agências[],10,FALSE)</f>
        <v>franca@cetesbnet.sp.gov.br</v>
      </c>
    </row>
    <row r="206" spans="1:12" x14ac:dyDescent="0.25">
      <c r="A206" s="8">
        <v>3517802</v>
      </c>
      <c r="B206" s="8" t="s">
        <v>1144</v>
      </c>
      <c r="C206" s="9">
        <v>13</v>
      </c>
      <c r="D206" s="10" t="str">
        <f>VLOOKUP($C206,tab_Agências[],2,FALSE)</f>
        <v>Agência Ambiental de Dracena</v>
      </c>
      <c r="E206" s="8" t="str">
        <f>VLOOKUP($C206,tab_Agências[],3,FALSE)</f>
        <v>Rua Tomé de Souza, 438</v>
      </c>
      <c r="F206" s="8" t="str">
        <f>VLOOKUP($C206,tab_Agências[],4,FALSE)</f>
        <v>Centro</v>
      </c>
      <c r="G206" s="8" t="str">
        <f>VLOOKUP($C206,tab_Agências[],5,FALSE)</f>
        <v>17900-000</v>
      </c>
      <c r="H206" s="8" t="str">
        <f>VLOOKUP($C206,tab_Agências[],6,FALSE)</f>
        <v>Dracena</v>
      </c>
      <c r="I206" s="8" t="str">
        <f>VLOOKUP($C206,tab_Agências[],7,FALSE)</f>
        <v>Rua Tomé de Souza, 438 - Centro, Dracena, 17900-000</v>
      </c>
      <c r="J206" s="8" t="str">
        <f>VLOOKUP($C206,tab_Agências[],8,FALSE)</f>
        <v>(18) 3822-3166</v>
      </c>
      <c r="K206" s="8" t="str">
        <f>VLOOKUP($C206,tab_Agências[],9,FALSE)</f>
        <v>(18) 3822-3166</v>
      </c>
      <c r="L206" s="8" t="str">
        <f>VLOOKUP($C206,tab_Agências[],10,FALSE)</f>
        <v>dracena@cetesbnet.sp.gov.br</v>
      </c>
    </row>
    <row r="207" spans="1:12" x14ac:dyDescent="0.25">
      <c r="A207" s="8">
        <v>3517901</v>
      </c>
      <c r="B207" s="8" t="s">
        <v>1145</v>
      </c>
      <c r="C207" s="9">
        <v>7</v>
      </c>
      <c r="D207" s="10" t="str">
        <f>VLOOKUP($C207,tab_Agências[],2,FALSE)</f>
        <v>Agência Ambiental de Barretos</v>
      </c>
      <c r="E207" s="8" t="str">
        <f>VLOOKUP($C207,tab_Agências[],3,FALSE)</f>
        <v>Rua Bolívia, 2255</v>
      </c>
      <c r="F207" s="8" t="str">
        <f>VLOOKUP($C207,tab_Agências[],4,FALSE)</f>
        <v>América</v>
      </c>
      <c r="G207" s="8" t="str">
        <f>VLOOKUP($C207,tab_Agências[],5,FALSE)</f>
        <v>14783-197</v>
      </c>
      <c r="H207" s="8" t="str">
        <f>VLOOKUP($C207,tab_Agências[],6,FALSE)</f>
        <v>Barretos</v>
      </c>
      <c r="I207" s="8" t="str">
        <f>VLOOKUP($C207,tab_Agências[],7,FALSE)</f>
        <v>Rua Bolívia, 2255 - América, Barretos, 14783-197</v>
      </c>
      <c r="J207" s="8" t="str">
        <f>VLOOKUP($C207,tab_Agências[],8,FALSE)</f>
        <v>(17) 3322-2655</v>
      </c>
      <c r="K207" s="8" t="str">
        <f>VLOOKUP($C207,tab_Agências[],9,FALSE)</f>
        <v>(17) 3322-2952</v>
      </c>
      <c r="L207" s="8" t="str">
        <f>VLOOKUP($C207,tab_Agências[],10,FALSE)</f>
        <v>barretos@cetesbnet.sp.gov.br</v>
      </c>
    </row>
    <row r="208" spans="1:12" x14ac:dyDescent="0.25">
      <c r="A208" s="8">
        <v>3518008</v>
      </c>
      <c r="B208" s="8" t="s">
        <v>1146</v>
      </c>
      <c r="C208" s="9">
        <v>20</v>
      </c>
      <c r="D208" s="10" t="str">
        <f>VLOOKUP($C208,tab_Agências[],2,FALSE)</f>
        <v>Agência Ambiental de Jales</v>
      </c>
      <c r="E208" s="8" t="str">
        <f>VLOOKUP($C208,tab_Agências[],3,FALSE)</f>
        <v>Rua Nova Iorque, 1016</v>
      </c>
      <c r="F208" s="8" t="str">
        <f>VLOOKUP($C208,tab_Agências[],4,FALSE)</f>
        <v>Jardim Monte Rrey</v>
      </c>
      <c r="G208" s="8" t="str">
        <f>VLOOKUP($C208,tab_Agências[],5,FALSE)</f>
        <v>15703-326</v>
      </c>
      <c r="H208" s="8" t="str">
        <f>VLOOKUP($C208,tab_Agências[],6,FALSE)</f>
        <v>Jales</v>
      </c>
      <c r="I208" s="8" t="str">
        <f>VLOOKUP($C208,tab_Agências[],7,FALSE)</f>
        <v>Rua Nova Iorque, 1016 - Jardim Monte Rrey, Jales, 15703-326</v>
      </c>
      <c r="J208" s="8" t="str">
        <f>VLOOKUP($C208,tab_Agências[],8,FALSE)</f>
        <v>(17) 3621-1042</v>
      </c>
      <c r="K208" s="8" t="str">
        <f>VLOOKUP($C208,tab_Agências[],9,FALSE)</f>
        <v>(17) 3621-1042</v>
      </c>
      <c r="L208" s="8" t="str">
        <f>VLOOKUP($C208,tab_Agências[],10,FALSE)</f>
        <v>jales@cetesbnet.sp.gov.br</v>
      </c>
    </row>
    <row r="209" spans="1:12" x14ac:dyDescent="0.25">
      <c r="A209" s="8">
        <v>3518107</v>
      </c>
      <c r="B209" s="8" t="s">
        <v>1147</v>
      </c>
      <c r="C209" s="9">
        <v>23</v>
      </c>
      <c r="D209" s="10" t="str">
        <f>VLOOKUP($C209,tab_Agências[],2,FALSE)</f>
        <v>Agência Ambiental de Marília</v>
      </c>
      <c r="E209" s="8" t="str">
        <f>VLOOKUP($C209,tab_Agências[],3,FALSE)</f>
        <v>Rua Santa Helena, 436</v>
      </c>
      <c r="F209" s="8" t="str">
        <f>VLOOKUP($C209,tab_Agências[],4,FALSE)</f>
        <v>Jardim Alvorada</v>
      </c>
      <c r="G209" s="8" t="str">
        <f>VLOOKUP($C209,tab_Agências[],5,FALSE)</f>
        <v>17513-322</v>
      </c>
      <c r="H209" s="8" t="str">
        <f>VLOOKUP($C209,tab_Agências[],6,FALSE)</f>
        <v>Marília</v>
      </c>
      <c r="I209" s="8" t="str">
        <f>VLOOKUP($C209,tab_Agências[],7,FALSE)</f>
        <v>Rua Santa Helena, 436 - Jardim Alvorada, Marília, 17513-322</v>
      </c>
      <c r="J209" s="8" t="str">
        <f>VLOOKUP($C209,tab_Agências[],8,FALSE)</f>
        <v>(14) 3422-4666</v>
      </c>
      <c r="K209" s="8" t="str">
        <f>VLOOKUP($C209,tab_Agências[],9,FALSE)</f>
        <v>(14) 3422-4666</v>
      </c>
      <c r="L209" s="8" t="str">
        <f>VLOOKUP($C209,tab_Agências[],10,FALSE)</f>
        <v>marilia@cetesbnet.sp.gov.br</v>
      </c>
    </row>
    <row r="210" spans="1:12" x14ac:dyDescent="0.25">
      <c r="A210" s="8">
        <v>3518206</v>
      </c>
      <c r="B210" s="8" t="s">
        <v>1148</v>
      </c>
      <c r="C210" s="9">
        <v>2</v>
      </c>
      <c r="D210" s="10" t="str">
        <f>VLOOKUP($C210,tab_Agências[],2,FALSE)</f>
        <v>Agência Ambiental de Araçatuba</v>
      </c>
      <c r="E210" s="8" t="str">
        <f>VLOOKUP($C210,tab_Agências[],3,FALSE)</f>
        <v>Rua Ten. Alcides Teodoro dos Santos, 260</v>
      </c>
      <c r="F210" s="8" t="str">
        <f>VLOOKUP($C210,tab_Agências[],4,FALSE)</f>
        <v>Aviação</v>
      </c>
      <c r="G210" s="8" t="str">
        <f>VLOOKUP($C210,tab_Agências[],5,FALSE)</f>
        <v>16055-557</v>
      </c>
      <c r="H210" s="8" t="str">
        <f>VLOOKUP($C210,tab_Agências[],6,FALSE)</f>
        <v>Araçatuba</v>
      </c>
      <c r="I210" s="8" t="str">
        <f>VLOOKUP($C210,tab_Agências[],7,FALSE)</f>
        <v>Rua Ten. Alcides Teodoro dos Santos, 260 - Aviação, Araçatuba, 16055-557</v>
      </c>
      <c r="J210" s="8" t="str">
        <f>VLOOKUP($C210,tab_Agências[],8,FALSE)</f>
        <v>(18) 3608-8053</v>
      </c>
      <c r="K210" s="8" t="str">
        <f>VLOOKUP($C210,tab_Agências[],9,FALSE)</f>
        <v>(18) 3608-7197</v>
      </c>
      <c r="L210" s="8" t="str">
        <f>VLOOKUP($C210,tab_Agências[],10,FALSE)</f>
        <v>aracatuba@cetesbnet.sp.gov.br</v>
      </c>
    </row>
    <row r="211" spans="1:12" x14ac:dyDescent="0.25">
      <c r="A211" s="8">
        <v>3518305</v>
      </c>
      <c r="B211" s="8" t="s">
        <v>1149</v>
      </c>
      <c r="C211" s="9">
        <v>24</v>
      </c>
      <c r="D211" s="10" t="str">
        <f>VLOOKUP($C211,tab_Agências[],2,FALSE)</f>
        <v>Agência Ambiental de Mogi das Cruzes</v>
      </c>
      <c r="E211" s="8" t="str">
        <f>VLOOKUP($C211,tab_Agências[],3,FALSE)</f>
        <v>Avenida João XXIII, 165</v>
      </c>
      <c r="F211" s="8" t="str">
        <f>VLOOKUP($C211,tab_Agências[],4,FALSE)</f>
        <v>Socorro</v>
      </c>
      <c r="G211" s="8" t="str">
        <f>VLOOKUP($C211,tab_Agências[],5,FALSE)</f>
        <v>08830-000</v>
      </c>
      <c r="H211" s="8" t="str">
        <f>VLOOKUP($C211,tab_Agências[],6,FALSE)</f>
        <v>Mogi das Cruzes</v>
      </c>
      <c r="I211" s="8" t="str">
        <f>VLOOKUP($C211,tab_Agências[],7,FALSE)</f>
        <v>Avenida João XXIII, 165 - Socorro, Mogi das Cruzes, 08830-000</v>
      </c>
      <c r="J211" s="8" t="str">
        <f>VLOOKUP($C211,tab_Agências[],8,FALSE)</f>
        <v>(11) 4725-7490</v>
      </c>
      <c r="K211" s="8" t="str">
        <f>VLOOKUP($C211,tab_Agências[],9,FALSE)</f>
        <v xml:space="preserve"> </v>
      </c>
      <c r="L211" s="8" t="str">
        <f>VLOOKUP($C211,tab_Agências[],10,FALSE)</f>
        <v>mogi@cetesbnet.sp.gov.br</v>
      </c>
    </row>
    <row r="212" spans="1:12" x14ac:dyDescent="0.25">
      <c r="A212" s="8">
        <v>3518404</v>
      </c>
      <c r="B212" s="8" t="s">
        <v>1150</v>
      </c>
      <c r="C212" s="9">
        <v>40</v>
      </c>
      <c r="D212" s="10" t="str">
        <f>VLOOKUP($C212,tab_Agências[],2,FALSE)</f>
        <v>Agência Ambiental de Taubaté</v>
      </c>
      <c r="E212" s="8" t="str">
        <f>VLOOKUP($C212,tab_Agências[],3,FALSE)</f>
        <v>Avenida Itambé, 38</v>
      </c>
      <c r="F212" s="8" t="str">
        <f>VLOOKUP($C212,tab_Agências[],4,FALSE)</f>
        <v>Sta. Luzia</v>
      </c>
      <c r="G212" s="8" t="str">
        <f>VLOOKUP($C212,tab_Agências[],5,FALSE)</f>
        <v>12091-200</v>
      </c>
      <c r="H212" s="8" t="str">
        <f>VLOOKUP($C212,tab_Agências[],6,FALSE)</f>
        <v>Taubaté</v>
      </c>
      <c r="I212" s="8" t="str">
        <f>VLOOKUP($C212,tab_Agências[],7,FALSE)</f>
        <v>Avenida Itambé, 38 - Sta. Luzia, Taubaté, 12091-200</v>
      </c>
      <c r="J212" s="8" t="str">
        <f>VLOOKUP($C212,tab_Agências[],8,FALSE)</f>
        <v>(12) 3634-8222</v>
      </c>
      <c r="K212" s="8" t="str">
        <f>VLOOKUP($C212,tab_Agências[],9,FALSE)</f>
        <v>(12) 3634-8234</v>
      </c>
      <c r="L212" s="8" t="str">
        <f>VLOOKUP($C212,tab_Agências[],10,FALSE)</f>
        <v>taubate@cetesbnet.sp.gov.br</v>
      </c>
    </row>
    <row r="213" spans="1:12" x14ac:dyDescent="0.25">
      <c r="A213" s="8">
        <v>3518503</v>
      </c>
      <c r="B213" s="8" t="s">
        <v>1151</v>
      </c>
      <c r="C213" s="9">
        <v>17</v>
      </c>
      <c r="D213" s="10" t="str">
        <f>VLOOKUP($C213,tab_Agências[],2,FALSE)</f>
        <v>Agência Ambiental de Itapetininga</v>
      </c>
      <c r="E213" s="8" t="str">
        <f>VLOOKUP($C213,tab_Agências[],3,FALSE)</f>
        <v>Rua General Carneiro, 196</v>
      </c>
      <c r="F213" s="8" t="str">
        <f>VLOOKUP($C213,tab_Agências[],4,FALSE)</f>
        <v>Centro</v>
      </c>
      <c r="G213" s="8" t="str">
        <f>VLOOKUP($C213,tab_Agências[],5,FALSE)</f>
        <v>18200-024</v>
      </c>
      <c r="H213" s="8" t="str">
        <f>VLOOKUP($C213,tab_Agências[],6,FALSE)</f>
        <v>Itapetininga</v>
      </c>
      <c r="I213" s="8" t="str">
        <f>VLOOKUP($C213,tab_Agências[],7,FALSE)</f>
        <v>Rua General Carneiro, 196 - Centro, Itapetininga, 18200-024</v>
      </c>
      <c r="J213" s="8" t="str">
        <f>VLOOKUP($C213,tab_Agências[],8,FALSE)</f>
        <v>(15) 3272-2888</v>
      </c>
      <c r="K213" s="8" t="str">
        <f>VLOOKUP($C213,tab_Agências[],9,FALSE)</f>
        <v>(15) 3272-2891</v>
      </c>
      <c r="L213" s="8" t="str">
        <f>VLOOKUP($C213,tab_Agências[],10,FALSE)</f>
        <v>itapetininga@cetesbnet.sp.gov.br</v>
      </c>
    </row>
    <row r="214" spans="1:12" x14ac:dyDescent="0.25">
      <c r="A214" s="8">
        <v>3518602</v>
      </c>
      <c r="B214" s="8" t="s">
        <v>1152</v>
      </c>
      <c r="C214" s="9">
        <v>19</v>
      </c>
      <c r="D214" s="10" t="str">
        <f>VLOOKUP($C214,tab_Agências[],2,FALSE)</f>
        <v>Agência Ambiental de Jaboticabal</v>
      </c>
      <c r="E214" s="8" t="str">
        <f>VLOOKUP($C214,tab_Agências[],3,FALSE)</f>
        <v>Avenida Angelo Morello, 60</v>
      </c>
      <c r="F214" s="8" t="str">
        <f>VLOOKUP($C214,tab_Agências[],4,FALSE)</f>
        <v>Jardim Santa Rosa</v>
      </c>
      <c r="G214" s="8" t="str">
        <f>VLOOKUP($C214,tab_Agências[],5,FALSE)</f>
        <v>14875-290</v>
      </c>
      <c r="H214" s="8" t="str">
        <f>VLOOKUP($C214,tab_Agências[],6,FALSE)</f>
        <v>Jaboticabal</v>
      </c>
      <c r="I214" s="8" t="str">
        <f>VLOOKUP($C214,tab_Agências[],7,FALSE)</f>
        <v>Avenida Angelo Morello, 60 - Jardim Santa Rosa, Jaboticabal, 14875-290</v>
      </c>
      <c r="J214" s="8" t="str">
        <f>VLOOKUP($C214,tab_Agências[],8,FALSE)</f>
        <v>(16) 3203-9400</v>
      </c>
      <c r="K214" s="8" t="str">
        <f>VLOOKUP($C214,tab_Agências[],9,FALSE)</f>
        <v>(16) 3203-9400</v>
      </c>
      <c r="L214" s="8" t="str">
        <f>VLOOKUP($C214,tab_Agências[],10,FALSE)</f>
        <v>jaboticabal@cetesbnet.sp.gov.br</v>
      </c>
    </row>
    <row r="215" spans="1:12" x14ac:dyDescent="0.25">
      <c r="A215" s="8">
        <v>3518701</v>
      </c>
      <c r="B215" s="8" t="s">
        <v>1153</v>
      </c>
      <c r="C215" s="9">
        <v>33</v>
      </c>
      <c r="D215" s="10" t="str">
        <f>VLOOKUP($C215,tab_Agências[],2,FALSE)</f>
        <v>Agência Ambiental de Santos</v>
      </c>
      <c r="E215" s="8" t="str">
        <f>VLOOKUP($C215,tab_Agências[],3,FALSE)</f>
        <v>Rua Delfim Moreira, 56</v>
      </c>
      <c r="F215" s="8" t="str">
        <f>VLOOKUP($C215,tab_Agências[],4,FALSE)</f>
        <v>Embaré</v>
      </c>
      <c r="G215" s="8" t="str">
        <f>VLOOKUP($C215,tab_Agências[],5,FALSE)</f>
        <v>11040-100</v>
      </c>
      <c r="H215" s="8" t="str">
        <f>VLOOKUP($C215,tab_Agências[],6,FALSE)</f>
        <v>Santos</v>
      </c>
      <c r="I215" s="8" t="str">
        <f>VLOOKUP($C215,tab_Agências[],7,FALSE)</f>
        <v>Rua Delfim Moreira, 56 - Embaré, Santos, 11040-100</v>
      </c>
      <c r="J215" s="8" t="str">
        <f>VLOOKUP($C215,tab_Agências[],8,FALSE)</f>
        <v>(13) 3227-7767</v>
      </c>
      <c r="K215" s="8" t="str">
        <f>VLOOKUP($C215,tab_Agências[],9,FALSE)</f>
        <v>(13) 3227-7767</v>
      </c>
      <c r="L215" s="8" t="str">
        <f>VLOOKUP($C215,tab_Agências[],10,FALSE)</f>
        <v>santos@cetesbnet.sp.gov.br</v>
      </c>
    </row>
    <row r="216" spans="1:12" x14ac:dyDescent="0.25">
      <c r="A216" s="8">
        <v>3518800</v>
      </c>
      <c r="B216" s="8" t="s">
        <v>1154</v>
      </c>
      <c r="C216" s="9">
        <v>16</v>
      </c>
      <c r="D216" s="10" t="str">
        <f>VLOOKUP($C216,tab_Agências[],2,FALSE)</f>
        <v>Agência Ambiental de Guarulhos</v>
      </c>
      <c r="E216" s="8" t="str">
        <f>VLOOKUP($C216,tab_Agências[],3,FALSE)</f>
        <v>Avenida Emílio Ribas , 1120</v>
      </c>
      <c r="F216" s="8" t="str">
        <f>VLOOKUP($C216,tab_Agências[],4,FALSE)</f>
        <v>Gopouva</v>
      </c>
      <c r="G216" s="8" t="str">
        <f>VLOOKUP($C216,tab_Agências[],5,FALSE)</f>
        <v>07020-010</v>
      </c>
      <c r="H216" s="8" t="str">
        <f>VLOOKUP($C216,tab_Agências[],6,FALSE)</f>
        <v>Guarulhos</v>
      </c>
      <c r="I216" s="8" t="str">
        <f>VLOOKUP($C216,tab_Agências[],7,FALSE)</f>
        <v>Avenida Emílio Ribas , 1120 - Gopouva, Guarulhos, 07020-010</v>
      </c>
      <c r="J216" s="8" t="str">
        <f>VLOOKUP($C216,tab_Agências[],8,FALSE)</f>
        <v>(11) 2229-0031</v>
      </c>
      <c r="K216" s="8" t="str">
        <f>VLOOKUP($C216,tab_Agências[],9,FALSE)</f>
        <v>(11) 2229-0031</v>
      </c>
      <c r="L216" s="8" t="str">
        <f>VLOOKUP($C216,tab_Agências[],10,FALSE)</f>
        <v>guarulhos@cetesbnet.sp.gov.br</v>
      </c>
    </row>
    <row r="217" spans="1:12" x14ac:dyDescent="0.25">
      <c r="A217" s="8">
        <v>3518859</v>
      </c>
      <c r="B217" s="8" t="s">
        <v>1155</v>
      </c>
      <c r="C217" s="9">
        <v>19</v>
      </c>
      <c r="D217" s="10" t="str">
        <f>VLOOKUP($C217,tab_Agências[],2,FALSE)</f>
        <v>Agência Ambiental de Jaboticabal</v>
      </c>
      <c r="E217" s="8" t="str">
        <f>VLOOKUP($C217,tab_Agências[],3,FALSE)</f>
        <v>Avenida Angelo Morello, 60</v>
      </c>
      <c r="F217" s="8" t="str">
        <f>VLOOKUP($C217,tab_Agências[],4,FALSE)</f>
        <v>Jardim Santa Rosa</v>
      </c>
      <c r="G217" s="8" t="str">
        <f>VLOOKUP($C217,tab_Agências[],5,FALSE)</f>
        <v>14875-290</v>
      </c>
      <c r="H217" s="8" t="str">
        <f>VLOOKUP($C217,tab_Agências[],6,FALSE)</f>
        <v>Jaboticabal</v>
      </c>
      <c r="I217" s="8" t="str">
        <f>VLOOKUP($C217,tab_Agências[],7,FALSE)</f>
        <v>Avenida Angelo Morello, 60 - Jardim Santa Rosa, Jaboticabal, 14875-290</v>
      </c>
      <c r="J217" s="8" t="str">
        <f>VLOOKUP($C217,tab_Agências[],8,FALSE)</f>
        <v>(16) 3203-9400</v>
      </c>
      <c r="K217" s="8" t="str">
        <f>VLOOKUP($C217,tab_Agências[],9,FALSE)</f>
        <v>(16) 3203-9400</v>
      </c>
      <c r="L217" s="8" t="str">
        <f>VLOOKUP($C217,tab_Agências[],10,FALSE)</f>
        <v>jaboticabal@cetesbnet.sp.gov.br</v>
      </c>
    </row>
    <row r="218" spans="1:12" x14ac:dyDescent="0.25">
      <c r="A218" s="8">
        <v>3518909</v>
      </c>
      <c r="B218" s="8" t="s">
        <v>1156</v>
      </c>
      <c r="C218" s="9">
        <v>20</v>
      </c>
      <c r="D218" s="10" t="str">
        <f>VLOOKUP($C218,tab_Agências[],2,FALSE)</f>
        <v>Agência Ambiental de Jales</v>
      </c>
      <c r="E218" s="8" t="str">
        <f>VLOOKUP($C218,tab_Agências[],3,FALSE)</f>
        <v>Rua Nova Iorque, 1016</v>
      </c>
      <c r="F218" s="8" t="str">
        <f>VLOOKUP($C218,tab_Agências[],4,FALSE)</f>
        <v>Jardim Monte Rrey</v>
      </c>
      <c r="G218" s="8" t="str">
        <f>VLOOKUP($C218,tab_Agências[],5,FALSE)</f>
        <v>15703-326</v>
      </c>
      <c r="H218" s="8" t="str">
        <f>VLOOKUP($C218,tab_Agências[],6,FALSE)</f>
        <v>Jales</v>
      </c>
      <c r="I218" s="8" t="str">
        <f>VLOOKUP($C218,tab_Agências[],7,FALSE)</f>
        <v>Rua Nova Iorque, 1016 - Jardim Monte Rrey, Jales, 15703-326</v>
      </c>
      <c r="J218" s="8" t="str">
        <f>VLOOKUP($C218,tab_Agências[],8,FALSE)</f>
        <v>(17) 3621-1042</v>
      </c>
      <c r="K218" s="8" t="str">
        <f>VLOOKUP($C218,tab_Agências[],9,FALSE)</f>
        <v>(17) 3621-1042</v>
      </c>
      <c r="L218" s="8" t="str">
        <f>VLOOKUP($C218,tab_Agências[],10,FALSE)</f>
        <v>jales@cetesbnet.sp.gov.br</v>
      </c>
    </row>
    <row r="219" spans="1:12" x14ac:dyDescent="0.25">
      <c r="A219" s="8">
        <v>3519006</v>
      </c>
      <c r="B219" s="8" t="s">
        <v>1157</v>
      </c>
      <c r="C219" s="9">
        <v>23</v>
      </c>
      <c r="D219" s="10" t="str">
        <f>VLOOKUP($C219,tab_Agências[],2,FALSE)</f>
        <v>Agência Ambiental de Marília</v>
      </c>
      <c r="E219" s="8" t="str">
        <f>VLOOKUP($C219,tab_Agências[],3,FALSE)</f>
        <v>Rua Santa Helena, 436</v>
      </c>
      <c r="F219" s="8" t="str">
        <f>VLOOKUP($C219,tab_Agências[],4,FALSE)</f>
        <v>Jardim Alvorada</v>
      </c>
      <c r="G219" s="8" t="str">
        <f>VLOOKUP($C219,tab_Agências[],5,FALSE)</f>
        <v>17513-322</v>
      </c>
      <c r="H219" s="8" t="str">
        <f>VLOOKUP($C219,tab_Agências[],6,FALSE)</f>
        <v>Marília</v>
      </c>
      <c r="I219" s="8" t="str">
        <f>VLOOKUP($C219,tab_Agências[],7,FALSE)</f>
        <v>Rua Santa Helena, 436 - Jardim Alvorada, Marília, 17513-322</v>
      </c>
      <c r="J219" s="8" t="str">
        <f>VLOOKUP($C219,tab_Agências[],8,FALSE)</f>
        <v>(14) 3422-4666</v>
      </c>
      <c r="K219" s="8" t="str">
        <f>VLOOKUP($C219,tab_Agências[],9,FALSE)</f>
        <v>(14) 3422-4666</v>
      </c>
      <c r="L219" s="8" t="str">
        <f>VLOOKUP($C219,tab_Agências[],10,FALSE)</f>
        <v>marilia@cetesbnet.sp.gov.br</v>
      </c>
    </row>
    <row r="220" spans="1:12" x14ac:dyDescent="0.25">
      <c r="A220" s="8">
        <v>3519055</v>
      </c>
      <c r="B220" s="8" t="s">
        <v>1158</v>
      </c>
      <c r="C220" s="9">
        <v>27</v>
      </c>
      <c r="D220" s="10" t="str">
        <f>VLOOKUP($C220,tab_Agências[],2,FALSE)</f>
        <v>Agência Ambiental de Paulínia</v>
      </c>
      <c r="E220" s="8" t="str">
        <f>VLOOKUP($C220,tab_Agências[],3,FALSE)</f>
        <v>Rua Angelo Varandas, 550</v>
      </c>
      <c r="F220" s="8" t="str">
        <f>VLOOKUP($C220,tab_Agências[],4,FALSE)</f>
        <v>Jardim Santa Terezinha</v>
      </c>
      <c r="G220" s="8" t="str">
        <f>VLOOKUP($C220,tab_Agências[],5,FALSE)</f>
        <v>13140-802</v>
      </c>
      <c r="H220" s="8" t="str">
        <f>VLOOKUP($C220,tab_Agências[],6,FALSE)</f>
        <v>Paulínia</v>
      </c>
      <c r="I220" s="8" t="str">
        <f>VLOOKUP($C220,tab_Agências[],7,FALSE)</f>
        <v>Rua Angelo Varandas, 550 - Jardim Santa Terezinha, Paulínia, 13140-802</v>
      </c>
      <c r="J220" s="8" t="str">
        <f>VLOOKUP($C220,tab_Agências[],8,FALSE)</f>
        <v>(19) 3844-0466</v>
      </c>
      <c r="K220" s="8" t="str">
        <f>VLOOKUP($C220,tab_Agências[],9,FALSE)</f>
        <v>(19) 3844-0466</v>
      </c>
      <c r="L220" s="8" t="str">
        <f>VLOOKUP($C220,tab_Agências[],10,FALSE)</f>
        <v>paulinia@cetesbnet.sp.gov.br</v>
      </c>
    </row>
    <row r="221" spans="1:12" x14ac:dyDescent="0.25">
      <c r="A221" s="8">
        <v>3519071</v>
      </c>
      <c r="B221" s="8" t="s">
        <v>1159</v>
      </c>
      <c r="C221" s="9">
        <v>1</v>
      </c>
      <c r="D221" s="10" t="str">
        <f>VLOOKUP($C221,tab_Agências[],2,FALSE)</f>
        <v>Agência Ambiental de Americana</v>
      </c>
      <c r="E221" s="8" t="str">
        <f>VLOOKUP($C221,tab_Agências[],3,FALSE)</f>
        <v>Rua Florindo Cibin, 435</v>
      </c>
      <c r="F221" s="8" t="str">
        <f>VLOOKUP($C221,tab_Agências[],4,FALSE)</f>
        <v>Vila Medon</v>
      </c>
      <c r="G221" s="8" t="str">
        <f>VLOOKUP($C221,tab_Agências[],5,FALSE)</f>
        <v>13465-230</v>
      </c>
      <c r="H221" s="8" t="str">
        <f>VLOOKUP($C221,tab_Agências[],6,FALSE)</f>
        <v>Americana</v>
      </c>
      <c r="I221" s="8" t="str">
        <f>VLOOKUP($C221,tab_Agências[],7,FALSE)</f>
        <v>Rua Florindo Cibin, 435 - Vila Medon, Americana, 13465-230</v>
      </c>
      <c r="J221" s="8" t="str">
        <f>VLOOKUP($C221,tab_Agências[],8,FALSE)</f>
        <v>(19) 3461-1550</v>
      </c>
      <c r="K221" s="8" t="str">
        <f>VLOOKUP($C221,tab_Agências[],9,FALSE)</f>
        <v>(19) 3461-1550</v>
      </c>
      <c r="L221" s="8" t="str">
        <f>VLOOKUP($C221,tab_Agências[],10,FALSE)</f>
        <v>americana@cetesbnet.sp.gov.br</v>
      </c>
    </row>
    <row r="222" spans="1:12" x14ac:dyDescent="0.25">
      <c r="A222" s="8">
        <v>3519105</v>
      </c>
      <c r="B222" s="8" t="s">
        <v>1160</v>
      </c>
      <c r="C222" s="9">
        <v>8</v>
      </c>
      <c r="D222" s="10" t="str">
        <f>VLOOKUP($C222,tab_Agências[],2,FALSE)</f>
        <v>Agência Ambiental de Bauru</v>
      </c>
      <c r="E222" s="8" t="str">
        <f>VLOOKUP($C222,tab_Agências[],3,FALSE)</f>
        <v>Avenida Rodrigues Alves, 138</v>
      </c>
      <c r="F222" s="8" t="str">
        <f>VLOOKUP($C222,tab_Agências[],4,FALSE)</f>
        <v>Vila Coralina</v>
      </c>
      <c r="G222" s="8" t="str">
        <f>VLOOKUP($C222,tab_Agências[],5,FALSE)</f>
        <v>17030-000</v>
      </c>
      <c r="H222" s="8" t="str">
        <f>VLOOKUP($C222,tab_Agências[],6,FALSE)</f>
        <v>Bauru</v>
      </c>
      <c r="I222" s="8" t="str">
        <f>VLOOKUP($C222,tab_Agências[],7,FALSE)</f>
        <v>Avenida Rodrigues Alves, 138 - Vila Coralina, Bauru, 17030-000</v>
      </c>
      <c r="J222" s="8" t="str">
        <f>VLOOKUP($C222,tab_Agências[],8,FALSE)</f>
        <v>(14) 3203-2058</v>
      </c>
      <c r="K222" s="8" t="str">
        <f>VLOOKUP($C222,tab_Agências[],9,FALSE)</f>
        <v>(14) 3203-2344</v>
      </c>
      <c r="L222" s="8" t="str">
        <f>VLOOKUP($C222,tab_Agências[],10,FALSE)</f>
        <v>bauru@cetesbnet.sp.gov.br</v>
      </c>
    </row>
    <row r="223" spans="1:12" x14ac:dyDescent="0.25">
      <c r="A223" s="8">
        <v>3519204</v>
      </c>
      <c r="B223" s="8" t="s">
        <v>1161</v>
      </c>
      <c r="C223" s="9">
        <v>23</v>
      </c>
      <c r="D223" s="10" t="str">
        <f>VLOOKUP($C223,tab_Agências[],2,FALSE)</f>
        <v>Agência Ambiental de Marília</v>
      </c>
      <c r="E223" s="8" t="str">
        <f>VLOOKUP($C223,tab_Agências[],3,FALSE)</f>
        <v>Rua Santa Helena, 436</v>
      </c>
      <c r="F223" s="8" t="str">
        <f>VLOOKUP($C223,tab_Agências[],4,FALSE)</f>
        <v>Jardim Alvorada</v>
      </c>
      <c r="G223" s="8" t="str">
        <f>VLOOKUP($C223,tab_Agências[],5,FALSE)</f>
        <v>17513-322</v>
      </c>
      <c r="H223" s="8" t="str">
        <f>VLOOKUP($C223,tab_Agências[],6,FALSE)</f>
        <v>Marília</v>
      </c>
      <c r="I223" s="8" t="str">
        <f>VLOOKUP($C223,tab_Agências[],7,FALSE)</f>
        <v>Rua Santa Helena, 436 - Jardim Alvorada, Marília, 17513-322</v>
      </c>
      <c r="J223" s="8" t="str">
        <f>VLOOKUP($C223,tab_Agências[],8,FALSE)</f>
        <v>(14) 3422-4666</v>
      </c>
      <c r="K223" s="8" t="str">
        <f>VLOOKUP($C223,tab_Agências[],9,FALSE)</f>
        <v>(14) 3422-4666</v>
      </c>
      <c r="L223" s="8" t="str">
        <f>VLOOKUP($C223,tab_Agências[],10,FALSE)</f>
        <v>marilia@cetesbnet.sp.gov.br</v>
      </c>
    </row>
    <row r="224" spans="1:12" x14ac:dyDescent="0.25">
      <c r="A224" s="8">
        <v>3519253</v>
      </c>
      <c r="B224" s="8" t="s">
        <v>1162</v>
      </c>
      <c r="C224" s="9">
        <v>6</v>
      </c>
      <c r="D224" s="10" t="str">
        <f>VLOOKUP($C224,tab_Agências[],2,FALSE)</f>
        <v>Agência Ambiental de Avaré</v>
      </c>
      <c r="E224" s="8" t="str">
        <f>VLOOKUP($C224,tab_Agências[],3,FALSE)</f>
        <v>Avenida Governador Mário Covas, 525</v>
      </c>
      <c r="F224" s="8" t="str">
        <f>VLOOKUP($C224,tab_Agências[],4,FALSE)</f>
        <v>Vila Industrial</v>
      </c>
      <c r="G224" s="8" t="str">
        <f>VLOOKUP($C224,tab_Agências[],5,FALSE)</f>
        <v>18705-851</v>
      </c>
      <c r="H224" s="8" t="str">
        <f>VLOOKUP($C224,tab_Agências[],6,FALSE)</f>
        <v>Avaré</v>
      </c>
      <c r="I224" s="8" t="str">
        <f>VLOOKUP($C224,tab_Agências[],7,FALSE)</f>
        <v>Avenida Governador Mário Covas, 525 - Vila Industrial, Avaré, 18705-851</v>
      </c>
      <c r="J224" s="8" t="str">
        <f>VLOOKUP($C224,tab_Agências[],8,FALSE)</f>
        <v>(14) 3732-4900</v>
      </c>
      <c r="K224" s="8" t="str">
        <f>VLOOKUP($C224,tab_Agências[],9,FALSE)</f>
        <v xml:space="preserve"> </v>
      </c>
      <c r="L224" s="8" t="str">
        <f>VLOOKUP($C224,tab_Agências[],10,FALSE)</f>
        <v>avare@cetesbnet.sp.gov.br</v>
      </c>
    </row>
    <row r="225" spans="1:12" x14ac:dyDescent="0.25">
      <c r="A225" s="8">
        <v>3519303</v>
      </c>
      <c r="B225" s="8" t="s">
        <v>1163</v>
      </c>
      <c r="C225" s="9">
        <v>34</v>
      </c>
      <c r="D225" s="10" t="str">
        <f>VLOOKUP($C225,tab_Agências[],2,FALSE)</f>
        <v>Agência Ambiental de São Carlos</v>
      </c>
      <c r="E225" s="8" t="str">
        <f>VLOOKUP($C225,tab_Agências[],3,FALSE)</f>
        <v>Avenida das Azaléias, 700</v>
      </c>
      <c r="F225" s="8" t="str">
        <f>VLOOKUP($C225,tab_Agências[],4,FALSE)</f>
        <v>Cidade Jardim</v>
      </c>
      <c r="G225" s="8" t="str">
        <f>VLOOKUP($C225,tab_Agências[],5,FALSE)</f>
        <v>13566-500</v>
      </c>
      <c r="H225" s="8" t="str">
        <f>VLOOKUP($C225,tab_Agências[],6,FALSE)</f>
        <v>São Carlos</v>
      </c>
      <c r="I225" s="8" t="str">
        <f>VLOOKUP($C225,tab_Agências[],7,FALSE)</f>
        <v>Avenida das Azaléias, 700 - Cidade Jardim, São Carlos, 13566-500</v>
      </c>
      <c r="J225" s="8" t="str">
        <f>VLOOKUP($C225,tab_Agências[],8,FALSE)</f>
        <v>(16) 3361-2004</v>
      </c>
      <c r="K225" s="8" t="str">
        <f>VLOOKUP($C225,tab_Agências[],9,FALSE)</f>
        <v>(16) 3361-2004</v>
      </c>
      <c r="L225" s="8" t="str">
        <f>VLOOKUP($C225,tab_Agências[],10,FALSE)</f>
        <v>saocarlos@cetesbnet.sp.gov.br</v>
      </c>
    </row>
    <row r="226" spans="1:12" x14ac:dyDescent="0.25">
      <c r="A226" s="8">
        <v>3519402</v>
      </c>
      <c r="B226" s="8" t="s">
        <v>1164</v>
      </c>
      <c r="C226" s="9">
        <v>36</v>
      </c>
      <c r="D226" s="10" t="str">
        <f>VLOOKUP($C226,tab_Agências[],2,FALSE)</f>
        <v>Agência Ambiental de São José do Rio Preto</v>
      </c>
      <c r="E226" s="8" t="str">
        <f>VLOOKUP($C226,tab_Agências[],3,FALSE)</f>
        <v>Avenida Mário Andreazza,</v>
      </c>
      <c r="F226" s="8" t="str">
        <f>VLOOKUP($C226,tab_Agências[],4,FALSE)</f>
        <v>Jardim São Marcos</v>
      </c>
      <c r="G226" s="8" t="str">
        <f>VLOOKUP($C226,tab_Agências[],5,FALSE)</f>
        <v>15081-490</v>
      </c>
      <c r="H226" s="8" t="str">
        <f>VLOOKUP($C226,tab_Agências[],6,FALSE)</f>
        <v>São José do Rio Preto</v>
      </c>
      <c r="I226" s="8" t="str">
        <f>VLOOKUP($C226,tab_Agências[],7,FALSE)</f>
        <v>Avenida Mário Andreazza, - Jardim São Marcos, São José do Rio Preto, 15081-490</v>
      </c>
      <c r="J226" s="8" t="str">
        <f>VLOOKUP($C226,tab_Agências[],8,FALSE)</f>
        <v>(17) 3218-4300</v>
      </c>
      <c r="K226" s="8" t="str">
        <f>VLOOKUP($C226,tab_Agências[],9,FALSE)</f>
        <v>(17) 3218-4300</v>
      </c>
      <c r="L226" s="8" t="str">
        <f>VLOOKUP($C226,tab_Agências[],10,FALSE)</f>
        <v>riopreto@cetesbnet.sp.gov.br</v>
      </c>
    </row>
    <row r="227" spans="1:12" x14ac:dyDescent="0.25">
      <c r="A227" s="8">
        <v>3519501</v>
      </c>
      <c r="B227" s="8" t="s">
        <v>1165</v>
      </c>
      <c r="C227" s="9">
        <v>4</v>
      </c>
      <c r="D227" s="10" t="str">
        <f>VLOOKUP($C227,tab_Agências[],2,FALSE)</f>
        <v>Agência Ambiental de Assis</v>
      </c>
      <c r="E227" s="8" t="str">
        <f>VLOOKUP($C227,tab_Agências[],3,FALSE)</f>
        <v>Via Chico Mendes, 75</v>
      </c>
      <c r="F227" s="8" t="str">
        <f>VLOOKUP($C227,tab_Agências[],4,FALSE)</f>
        <v>Quinta dos Flamboyants</v>
      </c>
      <c r="G227" s="8" t="str">
        <f>VLOOKUP($C227,tab_Agências[],5,FALSE)</f>
        <v>19810-005</v>
      </c>
      <c r="H227" s="8" t="str">
        <f>VLOOKUP($C227,tab_Agências[],6,FALSE)</f>
        <v>Assis</v>
      </c>
      <c r="I227" s="8" t="str">
        <f>VLOOKUP($C227,tab_Agências[],7,FALSE)</f>
        <v>Via Chico Mendes, 75 - Quinta dos Flamboyants, Assis, 19810-005</v>
      </c>
      <c r="J227" s="8" t="str">
        <f>VLOOKUP($C227,tab_Agências[],8,FALSE)</f>
        <v>(18) 3324-4177</v>
      </c>
      <c r="K227" s="8" t="str">
        <f>VLOOKUP($C227,tab_Agências[],9,FALSE)</f>
        <v>(18) 3324-4177</v>
      </c>
      <c r="L227" s="8" t="str">
        <f>VLOOKUP($C227,tab_Agências[],10,FALSE)</f>
        <v>assis@cetesbnet.sp.gov.br</v>
      </c>
    </row>
    <row r="228" spans="1:12" x14ac:dyDescent="0.25">
      <c r="A228" s="8">
        <v>3519600</v>
      </c>
      <c r="B228" s="8" t="s">
        <v>1166</v>
      </c>
      <c r="C228" s="9">
        <v>3</v>
      </c>
      <c r="D228" s="10" t="str">
        <f>VLOOKUP($C228,tab_Agências[],2,FALSE)</f>
        <v>Agência Ambiental de Araraquara</v>
      </c>
      <c r="E228" s="8" t="str">
        <f>VLOOKUP($C228,tab_Agências[],3,FALSE)</f>
        <v>Avenida Castro Alves, 1271</v>
      </c>
      <c r="F228" s="8" t="str">
        <f>VLOOKUP($C228,tab_Agências[],4,FALSE)</f>
        <v>Carmo</v>
      </c>
      <c r="G228" s="8" t="str">
        <f>VLOOKUP($C228,tab_Agências[],5,FALSE)</f>
        <v>14800-140</v>
      </c>
      <c r="H228" s="8" t="str">
        <f>VLOOKUP($C228,tab_Agências[],6,FALSE)</f>
        <v>Araraquara</v>
      </c>
      <c r="I228" s="8" t="str">
        <f>VLOOKUP($C228,tab_Agências[],7,FALSE)</f>
        <v>Avenida Castro Alves, 1271 - Carmo, Araraquara, 14800-140</v>
      </c>
      <c r="J228" s="8" t="str">
        <f>VLOOKUP($C228,tab_Agências[],8,FALSE)</f>
        <v>(16) 3332-2211</v>
      </c>
      <c r="K228" s="8" t="str">
        <f>VLOOKUP($C228,tab_Agências[],9,FALSE)</f>
        <v>(16) 3332-2211</v>
      </c>
      <c r="L228" s="8" t="str">
        <f>VLOOKUP($C228,tab_Agências[],10,FALSE)</f>
        <v>araraquara@cetesbnet.sp.gov.br</v>
      </c>
    </row>
    <row r="229" spans="1:12" x14ac:dyDescent="0.25">
      <c r="A229" s="8">
        <v>3519709</v>
      </c>
      <c r="B229" s="8" t="s">
        <v>1167</v>
      </c>
      <c r="C229" s="9">
        <v>39</v>
      </c>
      <c r="D229" s="10" t="str">
        <f>VLOOKUP($C229,tab_Agências[],2,FALSE)</f>
        <v>Agência Ambiental de Sorocaba</v>
      </c>
      <c r="E229" s="8" t="str">
        <f>VLOOKUP($C229,tab_Agências[],3,FALSE)</f>
        <v>Avenida Américo de Carvalho, 820</v>
      </c>
      <c r="F229" s="8" t="str">
        <f>VLOOKUP($C229,tab_Agências[],4,FALSE)</f>
        <v>Jardim Europa</v>
      </c>
      <c r="G229" s="8" t="str">
        <f>VLOOKUP($C229,tab_Agências[],5,FALSE)</f>
        <v>18045-000</v>
      </c>
      <c r="H229" s="8" t="str">
        <f>VLOOKUP($C229,tab_Agências[],6,FALSE)</f>
        <v>Sorocaba</v>
      </c>
      <c r="I229" s="8" t="str">
        <f>VLOOKUP($C229,tab_Agências[],7,FALSE)</f>
        <v>Avenida Américo de Carvalho, 820 - Jardim Europa, Sorocaba, 18045-000</v>
      </c>
      <c r="J229" s="8" t="str">
        <f>VLOOKUP($C229,tab_Agências[],8,FALSE)</f>
        <v>(15) 3222-2065</v>
      </c>
      <c r="K229" s="8" t="str">
        <f>VLOOKUP($C229,tab_Agências[],9,FALSE)</f>
        <v>(15) 3222-2065</v>
      </c>
      <c r="L229" s="8" t="str">
        <f>VLOOKUP($C229,tab_Agências[],10,FALSE)</f>
        <v>sorocaba@cetesbnet.sp.gov.br</v>
      </c>
    </row>
    <row r="230" spans="1:12" x14ac:dyDescent="0.25">
      <c r="A230" s="8">
        <v>3519808</v>
      </c>
      <c r="B230" s="8" t="s">
        <v>1168</v>
      </c>
      <c r="C230" s="9">
        <v>36</v>
      </c>
      <c r="D230" s="10" t="str">
        <f>VLOOKUP($C230,tab_Agências[],2,FALSE)</f>
        <v>Agência Ambiental de São José do Rio Preto</v>
      </c>
      <c r="E230" s="8" t="str">
        <f>VLOOKUP($C230,tab_Agências[],3,FALSE)</f>
        <v>Avenida Mário Andreazza,</v>
      </c>
      <c r="F230" s="8" t="str">
        <f>VLOOKUP($C230,tab_Agências[],4,FALSE)</f>
        <v>Jardim São Marcos</v>
      </c>
      <c r="G230" s="8" t="str">
        <f>VLOOKUP($C230,tab_Agências[],5,FALSE)</f>
        <v>15081-490</v>
      </c>
      <c r="H230" s="8" t="str">
        <f>VLOOKUP($C230,tab_Agências[],6,FALSE)</f>
        <v>São José do Rio Preto</v>
      </c>
      <c r="I230" s="8" t="str">
        <f>VLOOKUP($C230,tab_Agências[],7,FALSE)</f>
        <v>Avenida Mário Andreazza, - Jardim São Marcos, São José do Rio Preto, 15081-490</v>
      </c>
      <c r="J230" s="8" t="str">
        <f>VLOOKUP($C230,tab_Agências[],8,FALSE)</f>
        <v>(17) 3218-4300</v>
      </c>
      <c r="K230" s="8" t="str">
        <f>VLOOKUP($C230,tab_Agências[],9,FALSE)</f>
        <v>(17) 3218-4300</v>
      </c>
      <c r="L230" s="8" t="str">
        <f>VLOOKUP($C230,tab_Agências[],10,FALSE)</f>
        <v>riopreto@cetesbnet.sp.gov.br</v>
      </c>
    </row>
    <row r="231" spans="1:12" x14ac:dyDescent="0.25">
      <c r="A231" s="8">
        <v>3519907</v>
      </c>
      <c r="B231" s="8" t="s">
        <v>1169</v>
      </c>
      <c r="C231" s="9">
        <v>29</v>
      </c>
      <c r="D231" s="10" t="str">
        <f>VLOOKUP($C231,tab_Agências[],2,FALSE)</f>
        <v>Agência Ambiental de Presidente Prudente</v>
      </c>
      <c r="E231" s="8" t="str">
        <f>VLOOKUP($C231,tab_Agências[],3,FALSE)</f>
        <v>Rua João Gonçalves Foz, 1738</v>
      </c>
      <c r="F231" s="8" t="str">
        <f>VLOOKUP($C231,tab_Agências[],4,FALSE)</f>
        <v>Jardim das Rosas</v>
      </c>
      <c r="G231" s="8" t="str">
        <f>VLOOKUP($C231,tab_Agências[],5,FALSE)</f>
        <v>19060-050</v>
      </c>
      <c r="H231" s="8" t="str">
        <f>VLOOKUP($C231,tab_Agências[],6,FALSE)</f>
        <v>Presidente Prudente</v>
      </c>
      <c r="I231" s="8" t="str">
        <f>VLOOKUP($C231,tab_Agências[],7,FALSE)</f>
        <v>Rua João Gonçalves Foz, 1738 - Jardim das Rosas, Presidente Prudente, 19060-050</v>
      </c>
      <c r="J231" s="8" t="str">
        <f>VLOOKUP($C231,tab_Agências[],8,FALSE)</f>
        <v>(18) 3223-5001</v>
      </c>
      <c r="K231" s="8" t="str">
        <f>VLOOKUP($C231,tab_Agências[],9,FALSE)</f>
        <v xml:space="preserve"> </v>
      </c>
      <c r="L231" s="8" t="str">
        <f>VLOOKUP($C231,tab_Agências[],10,FALSE)</f>
        <v>prudente@cetesbnet.sp.gov.br</v>
      </c>
    </row>
    <row r="232" spans="1:12" x14ac:dyDescent="0.25">
      <c r="A232" s="8">
        <v>3520004</v>
      </c>
      <c r="B232" s="8" t="s">
        <v>1170</v>
      </c>
      <c r="C232" s="9">
        <v>8</v>
      </c>
      <c r="D232" s="10" t="str">
        <f>VLOOKUP($C232,tab_Agências[],2,FALSE)</f>
        <v>Agência Ambiental de Bauru</v>
      </c>
      <c r="E232" s="8" t="str">
        <f>VLOOKUP($C232,tab_Agências[],3,FALSE)</f>
        <v>Avenida Rodrigues Alves, 138</v>
      </c>
      <c r="F232" s="8" t="str">
        <f>VLOOKUP($C232,tab_Agências[],4,FALSE)</f>
        <v>Vila Coralina</v>
      </c>
      <c r="G232" s="8" t="str">
        <f>VLOOKUP($C232,tab_Agências[],5,FALSE)</f>
        <v>17030-000</v>
      </c>
      <c r="H232" s="8" t="str">
        <f>VLOOKUP($C232,tab_Agências[],6,FALSE)</f>
        <v>Bauru</v>
      </c>
      <c r="I232" s="8" t="str">
        <f>VLOOKUP($C232,tab_Agências[],7,FALSE)</f>
        <v>Avenida Rodrigues Alves, 138 - Vila Coralina, Bauru, 17030-000</v>
      </c>
      <c r="J232" s="8" t="str">
        <f>VLOOKUP($C232,tab_Agências[],8,FALSE)</f>
        <v>(14) 3203-2058</v>
      </c>
      <c r="K232" s="8" t="str">
        <f>VLOOKUP($C232,tab_Agências[],9,FALSE)</f>
        <v>(14) 3203-2344</v>
      </c>
      <c r="L232" s="8" t="str">
        <f>VLOOKUP($C232,tab_Agências[],10,FALSE)</f>
        <v>bauru@cetesbnet.sp.gov.br</v>
      </c>
    </row>
    <row r="233" spans="1:12" x14ac:dyDescent="0.25">
      <c r="A233" s="8">
        <v>3520103</v>
      </c>
      <c r="B233" s="8" t="s">
        <v>1171</v>
      </c>
      <c r="C233" s="9">
        <v>15</v>
      </c>
      <c r="D233" s="10" t="str">
        <f>VLOOKUP($C233,tab_Agências[],2,FALSE)</f>
        <v>Agência Ambiental de Franca</v>
      </c>
      <c r="E233" s="8" t="str">
        <f>VLOOKUP($C233,tab_Agências[],3,FALSE)</f>
        <v>Avenida Dr. Flávio Rocha, 4551</v>
      </c>
      <c r="F233" s="8" t="str">
        <f>VLOOKUP($C233,tab_Agências[],4,FALSE)</f>
        <v>Parque dos Pinhais</v>
      </c>
      <c r="G233" s="8" t="str">
        <f>VLOOKUP($C233,tab_Agências[],5,FALSE)</f>
        <v>14405-600</v>
      </c>
      <c r="H233" s="8" t="str">
        <f>VLOOKUP($C233,tab_Agências[],6,FALSE)</f>
        <v>Franca</v>
      </c>
      <c r="I233" s="8" t="str">
        <f>VLOOKUP($C233,tab_Agências[],7,FALSE)</f>
        <v>Avenida Dr. Flávio Rocha, 4551 - Parque dos Pinhais, Franca, 14405-600</v>
      </c>
      <c r="J233" s="8" t="str">
        <f>VLOOKUP($C233,tab_Agências[],8,FALSE)</f>
        <v>(16) 3724-5922</v>
      </c>
      <c r="K233" s="8" t="str">
        <f>VLOOKUP($C233,tab_Agências[],9,FALSE)</f>
        <v>(16) 3724-5922</v>
      </c>
      <c r="L233" s="8" t="str">
        <f>VLOOKUP($C233,tab_Agências[],10,FALSE)</f>
        <v>franca@cetesbnet.sp.gov.br</v>
      </c>
    </row>
    <row r="234" spans="1:12" x14ac:dyDescent="0.25">
      <c r="A234" s="8">
        <v>3520202</v>
      </c>
      <c r="B234" s="8" t="s">
        <v>1172</v>
      </c>
      <c r="C234" s="9">
        <v>37</v>
      </c>
      <c r="D234" s="10" t="str">
        <f>VLOOKUP($C234,tab_Agências[],2,FALSE)</f>
        <v>Agência Ambiental de São José dos Campos</v>
      </c>
      <c r="E234" s="8" t="str">
        <f>VLOOKUP($C234,tab_Agências[],3,FALSE)</f>
        <v>Avenida Olivo Gomes, 100</v>
      </c>
      <c r="F234" s="8" t="str">
        <f>VLOOKUP($C234,tab_Agências[],4,FALSE)</f>
        <v>Parque da Cidade/Santana</v>
      </c>
      <c r="G234" s="8" t="str">
        <f>VLOOKUP($C234,tab_Agências[],5,FALSE)</f>
        <v>12211-115</v>
      </c>
      <c r="H234" s="8" t="str">
        <f>VLOOKUP($C234,tab_Agências[],6,FALSE)</f>
        <v>São José dos Campos</v>
      </c>
      <c r="I234" s="8" t="str">
        <f>VLOOKUP($C234,tab_Agências[],7,FALSE)</f>
        <v>Avenida Olivo Gomes, 100 - Parque da Cidade/Santana, São José dos Campos, 12211-115</v>
      </c>
      <c r="J234" s="8" t="str">
        <f>VLOOKUP($C234,tab_Agências[],8,FALSE)</f>
        <v>(12) 3911-9536</v>
      </c>
      <c r="K234" s="8" t="str">
        <f>VLOOKUP($C234,tab_Agências[],9,FALSE)</f>
        <v>(12) 3911-9536</v>
      </c>
      <c r="L234" s="8" t="str">
        <f>VLOOKUP($C234,tab_Agências[],10,FALSE)</f>
        <v>sjcampos@cetesbnet.sp.gov.br</v>
      </c>
    </row>
    <row r="235" spans="1:12" x14ac:dyDescent="0.25">
      <c r="A235" s="8">
        <v>3520301</v>
      </c>
      <c r="B235" s="8" t="s">
        <v>1173</v>
      </c>
      <c r="C235" s="9">
        <v>30</v>
      </c>
      <c r="D235" s="10" t="str">
        <f>VLOOKUP($C235,tab_Agências[],2,FALSE)</f>
        <v>Agência Ambiental de Registro</v>
      </c>
      <c r="E235" s="8" t="str">
        <f>VLOOKUP($C235,tab_Agências[],3,FALSE)</f>
        <v>Rua São Bento, 249</v>
      </c>
      <c r="F235" s="8" t="str">
        <f>VLOOKUP($C235,tab_Agências[],4,FALSE)</f>
        <v>Jardim São Nicolau</v>
      </c>
      <c r="G235" s="8" t="str">
        <f>VLOOKUP($C235,tab_Agências[],5,FALSE)</f>
        <v>11900-000</v>
      </c>
      <c r="H235" s="8" t="str">
        <f>VLOOKUP($C235,tab_Agências[],6,FALSE)</f>
        <v>Registro</v>
      </c>
      <c r="I235" s="8" t="str">
        <f>VLOOKUP($C235,tab_Agências[],7,FALSE)</f>
        <v>Rua São Bento, 249 - Jardim São Nicolau, Registro, 11900-000</v>
      </c>
      <c r="J235" s="8" t="str">
        <f>VLOOKUP($C235,tab_Agências[],8,FALSE)</f>
        <v>(13) 3822-3855</v>
      </c>
      <c r="K235" s="8" t="str">
        <f>VLOOKUP($C235,tab_Agências[],9,FALSE)</f>
        <v>(13) 3822-4437</v>
      </c>
      <c r="L235" s="8" t="str">
        <f>VLOOKUP($C235,tab_Agências[],10,FALSE)</f>
        <v>registro@cetesbnet.sp.gov.br</v>
      </c>
    </row>
    <row r="236" spans="1:12" x14ac:dyDescent="0.25">
      <c r="A236" s="8">
        <v>3520426</v>
      </c>
      <c r="B236" s="8" t="s">
        <v>1174</v>
      </c>
      <c r="C236" s="9">
        <v>30</v>
      </c>
      <c r="D236" s="10" t="str">
        <f>VLOOKUP($C236,tab_Agências[],2,FALSE)</f>
        <v>Agência Ambiental de Registro</v>
      </c>
      <c r="E236" s="8" t="str">
        <f>VLOOKUP($C236,tab_Agências[],3,FALSE)</f>
        <v>Rua São Bento, 249</v>
      </c>
      <c r="F236" s="8" t="str">
        <f>VLOOKUP($C236,tab_Agências[],4,FALSE)</f>
        <v>Jardim São Nicolau</v>
      </c>
      <c r="G236" s="8" t="str">
        <f>VLOOKUP($C236,tab_Agências[],5,FALSE)</f>
        <v>11900-000</v>
      </c>
      <c r="H236" s="8" t="str">
        <f>VLOOKUP($C236,tab_Agências[],6,FALSE)</f>
        <v>Registro</v>
      </c>
      <c r="I236" s="8" t="str">
        <f>VLOOKUP($C236,tab_Agências[],7,FALSE)</f>
        <v>Rua São Bento, 249 - Jardim São Nicolau, Registro, 11900-000</v>
      </c>
      <c r="J236" s="8" t="str">
        <f>VLOOKUP($C236,tab_Agências[],8,FALSE)</f>
        <v>(13) 3822-3855</v>
      </c>
      <c r="K236" s="8" t="str">
        <f>VLOOKUP($C236,tab_Agências[],9,FALSE)</f>
        <v>(13) 3822-4437</v>
      </c>
      <c r="L236" s="8" t="str">
        <f>VLOOKUP($C236,tab_Agências[],10,FALSE)</f>
        <v>registro@cetesbnet.sp.gov.br</v>
      </c>
    </row>
    <row r="237" spans="1:12" x14ac:dyDescent="0.25">
      <c r="A237" s="8">
        <v>3520442</v>
      </c>
      <c r="B237" s="8" t="s">
        <v>1175</v>
      </c>
      <c r="C237" s="9">
        <v>20</v>
      </c>
      <c r="D237" s="10" t="str">
        <f>VLOOKUP($C237,tab_Agências[],2,FALSE)</f>
        <v>Agência Ambiental de Jales</v>
      </c>
      <c r="E237" s="8" t="str">
        <f>VLOOKUP($C237,tab_Agências[],3,FALSE)</f>
        <v>Rua Nova Iorque, 1016</v>
      </c>
      <c r="F237" s="8" t="str">
        <f>VLOOKUP($C237,tab_Agências[],4,FALSE)</f>
        <v>Jardim Monte Rrey</v>
      </c>
      <c r="G237" s="8" t="str">
        <f>VLOOKUP($C237,tab_Agências[],5,FALSE)</f>
        <v>15703-326</v>
      </c>
      <c r="H237" s="8" t="str">
        <f>VLOOKUP($C237,tab_Agências[],6,FALSE)</f>
        <v>Jales</v>
      </c>
      <c r="I237" s="8" t="str">
        <f>VLOOKUP($C237,tab_Agências[],7,FALSE)</f>
        <v>Rua Nova Iorque, 1016 - Jardim Monte Rrey, Jales, 15703-326</v>
      </c>
      <c r="J237" s="8" t="str">
        <f>VLOOKUP($C237,tab_Agências[],8,FALSE)</f>
        <v>(17) 3621-1042</v>
      </c>
      <c r="K237" s="8" t="str">
        <f>VLOOKUP($C237,tab_Agências[],9,FALSE)</f>
        <v>(17) 3621-1042</v>
      </c>
      <c r="L237" s="8" t="str">
        <f>VLOOKUP($C237,tab_Agências[],10,FALSE)</f>
        <v>jales@cetesbnet.sp.gov.br</v>
      </c>
    </row>
    <row r="238" spans="1:12" x14ac:dyDescent="0.25">
      <c r="A238" s="8">
        <v>3520400</v>
      </c>
      <c r="B238" s="8" t="s">
        <v>1176</v>
      </c>
      <c r="C238" s="9">
        <v>38</v>
      </c>
      <c r="D238" s="10" t="str">
        <f>VLOOKUP($C238,tab_Agências[],2,FALSE)</f>
        <v>Agência Ambiental de São Sebastião</v>
      </c>
      <c r="E238" s="8" t="str">
        <f>VLOOKUP($C238,tab_Agências[],3,FALSE)</f>
        <v>Rua Francisco da Cruz Maldonado, 132</v>
      </c>
      <c r="F238" s="8" t="str">
        <f>VLOOKUP($C238,tab_Agências[],4,FALSE)</f>
        <v>Portal da Olaria</v>
      </c>
      <c r="G238" s="8" t="str">
        <f>VLOOKUP($C238,tab_Agências[],5,FALSE)</f>
        <v>11600-000</v>
      </c>
      <c r="H238" s="8" t="str">
        <f>VLOOKUP($C238,tab_Agências[],6,FALSE)</f>
        <v>São Sebastião</v>
      </c>
      <c r="I238" s="8" t="str">
        <f>VLOOKUP($C238,tab_Agências[],7,FALSE)</f>
        <v>Rua Francisco da Cruz Maldonado, 132 - Portal da Olaria, São Sebastião, 11600-000</v>
      </c>
      <c r="J238" s="8" t="str">
        <f>VLOOKUP($C238,tab_Agências[],8,FALSE)</f>
        <v>(12) 3862-2300</v>
      </c>
      <c r="K238" s="8" t="str">
        <f>VLOOKUP($C238,tab_Agências[],9,FALSE)</f>
        <v>(12) 3862-2300</v>
      </c>
      <c r="L238" s="8" t="str">
        <f>VLOOKUP($C238,tab_Agências[],10,FALSE)</f>
        <v>ssebastiao@cetesbnet.sp.gov.br</v>
      </c>
    </row>
    <row r="239" spans="1:12" x14ac:dyDescent="0.25">
      <c r="A239" s="8">
        <v>3520509</v>
      </c>
      <c r="B239" s="8" t="s">
        <v>1177</v>
      </c>
      <c r="C239" s="9">
        <v>21</v>
      </c>
      <c r="D239" s="10" t="str">
        <f>VLOOKUP($C239,tab_Agências[],2,FALSE)</f>
        <v>Agência Ambiental de Jundiaí</v>
      </c>
      <c r="E239" s="8" t="str">
        <f>VLOOKUP($C239,tab_Agências[],3,FALSE)</f>
        <v>Rua João Ferrara, 555</v>
      </c>
      <c r="F239" s="8" t="str">
        <f>VLOOKUP($C239,tab_Agências[],4,FALSE)</f>
        <v>Jardim Pitangueiras II</v>
      </c>
      <c r="G239" s="8" t="str">
        <f>VLOOKUP($C239,tab_Agências[],5,FALSE)</f>
        <v>13206-714</v>
      </c>
      <c r="H239" s="8" t="str">
        <f>VLOOKUP($C239,tab_Agências[],6,FALSE)</f>
        <v>Jundiaí</v>
      </c>
      <c r="I239" s="8" t="str">
        <f>VLOOKUP($C239,tab_Agências[],7,FALSE)</f>
        <v>Rua João Ferrara, 555 - Jardim Pitangueiras II, Jundiaí, 13206-714</v>
      </c>
      <c r="J239" s="8" t="str">
        <f>VLOOKUP($C239,tab_Agências[],8,FALSE)</f>
        <v>(11) 4817-1898</v>
      </c>
      <c r="K239" s="8" t="str">
        <f>VLOOKUP($C239,tab_Agências[],9,FALSE)</f>
        <v>(11) 4587-3597</v>
      </c>
      <c r="L239" s="8" t="str">
        <f>VLOOKUP($C239,tab_Agências[],10,FALSE)</f>
        <v>jundiai@cetesbnet.sp.gov.br</v>
      </c>
    </row>
    <row r="240" spans="1:12" x14ac:dyDescent="0.25">
      <c r="A240" s="8">
        <v>3520608</v>
      </c>
      <c r="B240" s="8" t="s">
        <v>1178</v>
      </c>
      <c r="C240" s="9">
        <v>29</v>
      </c>
      <c r="D240" s="10" t="str">
        <f>VLOOKUP($C240,tab_Agências[],2,FALSE)</f>
        <v>Agência Ambiental de Presidente Prudente</v>
      </c>
      <c r="E240" s="8" t="str">
        <f>VLOOKUP($C240,tab_Agências[],3,FALSE)</f>
        <v>Rua João Gonçalves Foz, 1738</v>
      </c>
      <c r="F240" s="8" t="str">
        <f>VLOOKUP($C240,tab_Agências[],4,FALSE)</f>
        <v>Jardim das Rosas</v>
      </c>
      <c r="G240" s="8" t="str">
        <f>VLOOKUP($C240,tab_Agências[],5,FALSE)</f>
        <v>19060-050</v>
      </c>
      <c r="H240" s="8" t="str">
        <f>VLOOKUP($C240,tab_Agências[],6,FALSE)</f>
        <v>Presidente Prudente</v>
      </c>
      <c r="I240" s="8" t="str">
        <f>VLOOKUP($C240,tab_Agências[],7,FALSE)</f>
        <v>Rua João Gonçalves Foz, 1738 - Jardim das Rosas, Presidente Prudente, 19060-050</v>
      </c>
      <c r="J240" s="8" t="str">
        <f>VLOOKUP($C240,tab_Agências[],8,FALSE)</f>
        <v>(18) 3223-5001</v>
      </c>
      <c r="K240" s="8" t="str">
        <f>VLOOKUP($C240,tab_Agências[],9,FALSE)</f>
        <v xml:space="preserve"> </v>
      </c>
      <c r="L240" s="8" t="str">
        <f>VLOOKUP($C240,tab_Agências[],10,FALSE)</f>
        <v>prudente@cetesbnet.sp.gov.br</v>
      </c>
    </row>
    <row r="241" spans="1:12" x14ac:dyDescent="0.25">
      <c r="A241" s="8">
        <v>3520707</v>
      </c>
      <c r="B241" s="8" t="s">
        <v>1179</v>
      </c>
      <c r="C241" s="9">
        <v>20</v>
      </c>
      <c r="D241" s="10" t="str">
        <f>VLOOKUP($C241,tab_Agências[],2,FALSE)</f>
        <v>Agência Ambiental de Jales</v>
      </c>
      <c r="E241" s="8" t="str">
        <f>VLOOKUP($C241,tab_Agências[],3,FALSE)</f>
        <v>Rua Nova Iorque, 1016</v>
      </c>
      <c r="F241" s="8" t="str">
        <f>VLOOKUP($C241,tab_Agências[],4,FALSE)</f>
        <v>Jardim Monte Rrey</v>
      </c>
      <c r="G241" s="8" t="str">
        <f>VLOOKUP($C241,tab_Agências[],5,FALSE)</f>
        <v>15703-326</v>
      </c>
      <c r="H241" s="8" t="str">
        <f>VLOOKUP($C241,tab_Agências[],6,FALSE)</f>
        <v>Jales</v>
      </c>
      <c r="I241" s="8" t="str">
        <f>VLOOKUP($C241,tab_Agências[],7,FALSE)</f>
        <v>Rua Nova Iorque, 1016 - Jardim Monte Rrey, Jales, 15703-326</v>
      </c>
      <c r="J241" s="8" t="str">
        <f>VLOOKUP($C241,tab_Agências[],8,FALSE)</f>
        <v>(17) 3621-1042</v>
      </c>
      <c r="K241" s="8" t="str">
        <f>VLOOKUP($C241,tab_Agências[],9,FALSE)</f>
        <v>(17) 3621-1042</v>
      </c>
      <c r="L241" s="8" t="str">
        <f>VLOOKUP($C241,tab_Agências[],10,FALSE)</f>
        <v>jales@cetesbnet.sp.gov.br</v>
      </c>
    </row>
    <row r="242" spans="1:12" x14ac:dyDescent="0.25">
      <c r="A242" s="8">
        <v>3520806</v>
      </c>
      <c r="B242" s="8" t="s">
        <v>1180</v>
      </c>
      <c r="C242" s="9">
        <v>13</v>
      </c>
      <c r="D242" s="10" t="str">
        <f>VLOOKUP($C242,tab_Agências[],2,FALSE)</f>
        <v>Agência Ambiental de Dracena</v>
      </c>
      <c r="E242" s="8" t="str">
        <f>VLOOKUP($C242,tab_Agências[],3,FALSE)</f>
        <v>Rua Tomé de Souza, 438</v>
      </c>
      <c r="F242" s="8" t="str">
        <f>VLOOKUP($C242,tab_Agências[],4,FALSE)</f>
        <v>Centro</v>
      </c>
      <c r="G242" s="8" t="str">
        <f>VLOOKUP($C242,tab_Agências[],5,FALSE)</f>
        <v>17900-000</v>
      </c>
      <c r="H242" s="8" t="str">
        <f>VLOOKUP($C242,tab_Agências[],6,FALSE)</f>
        <v>Dracena</v>
      </c>
      <c r="I242" s="8" t="str">
        <f>VLOOKUP($C242,tab_Agências[],7,FALSE)</f>
        <v>Rua Tomé de Souza, 438 - Centro, Dracena, 17900-000</v>
      </c>
      <c r="J242" s="8" t="str">
        <f>VLOOKUP($C242,tab_Agências[],8,FALSE)</f>
        <v>(18) 3822-3166</v>
      </c>
      <c r="K242" s="8" t="str">
        <f>VLOOKUP($C242,tab_Agências[],9,FALSE)</f>
        <v>(18) 3822-3166</v>
      </c>
      <c r="L242" s="8" t="str">
        <f>VLOOKUP($C242,tab_Agências[],10,FALSE)</f>
        <v>dracena@cetesbnet.sp.gov.br</v>
      </c>
    </row>
    <row r="243" spans="1:12" x14ac:dyDescent="0.25">
      <c r="A243" s="8">
        <v>3520905</v>
      </c>
      <c r="B243" s="8" t="s">
        <v>1181</v>
      </c>
      <c r="C243" s="9">
        <v>4</v>
      </c>
      <c r="D243" s="10" t="str">
        <f>VLOOKUP($C243,tab_Agências[],2,FALSE)</f>
        <v>Agência Ambiental de Assis</v>
      </c>
      <c r="E243" s="8" t="str">
        <f>VLOOKUP($C243,tab_Agências[],3,FALSE)</f>
        <v>Via Chico Mendes, 75</v>
      </c>
      <c r="F243" s="8" t="str">
        <f>VLOOKUP($C243,tab_Agências[],4,FALSE)</f>
        <v>Quinta dos Flamboyants</v>
      </c>
      <c r="G243" s="8" t="str">
        <f>VLOOKUP($C243,tab_Agências[],5,FALSE)</f>
        <v>19810-005</v>
      </c>
      <c r="H243" s="8" t="str">
        <f>VLOOKUP($C243,tab_Agências[],6,FALSE)</f>
        <v>Assis</v>
      </c>
      <c r="I243" s="8" t="str">
        <f>VLOOKUP($C243,tab_Agências[],7,FALSE)</f>
        <v>Via Chico Mendes, 75 - Quinta dos Flamboyants, Assis, 19810-005</v>
      </c>
      <c r="J243" s="8" t="str">
        <f>VLOOKUP($C243,tab_Agências[],8,FALSE)</f>
        <v>(18) 3324-4177</v>
      </c>
      <c r="K243" s="8" t="str">
        <f>VLOOKUP($C243,tab_Agências[],9,FALSE)</f>
        <v>(18) 3324-4177</v>
      </c>
      <c r="L243" s="8" t="str">
        <f>VLOOKUP($C243,tab_Agências[],10,FALSE)</f>
        <v>assis@cetesbnet.sp.gov.br</v>
      </c>
    </row>
    <row r="244" spans="1:12" x14ac:dyDescent="0.25">
      <c r="A244" s="8">
        <v>3521002</v>
      </c>
      <c r="B244" s="8" t="s">
        <v>1182</v>
      </c>
      <c r="C244" s="9">
        <v>39</v>
      </c>
      <c r="D244" s="10" t="str">
        <f>VLOOKUP($C244,tab_Agências[],2,FALSE)</f>
        <v>Agência Ambiental de Sorocaba</v>
      </c>
      <c r="E244" s="8" t="str">
        <f>VLOOKUP($C244,tab_Agências[],3,FALSE)</f>
        <v>Avenida Américo de Carvalho, 820</v>
      </c>
      <c r="F244" s="8" t="str">
        <f>VLOOKUP($C244,tab_Agências[],4,FALSE)</f>
        <v>Jardim Europa</v>
      </c>
      <c r="G244" s="8" t="str">
        <f>VLOOKUP($C244,tab_Agências[],5,FALSE)</f>
        <v>18045-000</v>
      </c>
      <c r="H244" s="8" t="str">
        <f>VLOOKUP($C244,tab_Agências[],6,FALSE)</f>
        <v>Sorocaba</v>
      </c>
      <c r="I244" s="8" t="str">
        <f>VLOOKUP($C244,tab_Agências[],7,FALSE)</f>
        <v>Avenida Américo de Carvalho, 820 - Jardim Europa, Sorocaba, 18045-000</v>
      </c>
      <c r="J244" s="8" t="str">
        <f>VLOOKUP($C244,tab_Agências[],8,FALSE)</f>
        <v>(15) 3222-2065</v>
      </c>
      <c r="K244" s="8" t="str">
        <f>VLOOKUP($C244,tab_Agências[],9,FALSE)</f>
        <v>(15) 3222-2065</v>
      </c>
      <c r="L244" s="8" t="str">
        <f>VLOOKUP($C244,tab_Agências[],10,FALSE)</f>
        <v>sorocaba@cetesbnet.sp.gov.br</v>
      </c>
    </row>
    <row r="245" spans="1:12" x14ac:dyDescent="0.25">
      <c r="A245" s="8">
        <v>3521101</v>
      </c>
      <c r="B245" s="8" t="s">
        <v>1183</v>
      </c>
      <c r="C245" s="9">
        <v>28</v>
      </c>
      <c r="D245" s="10" t="str">
        <f>VLOOKUP($C245,tab_Agências[],2,FALSE)</f>
        <v>Agência Ambiental de Piracicaba</v>
      </c>
      <c r="E245" s="8" t="str">
        <f>VLOOKUP($C245,tab_Agências[],3,FALSE)</f>
        <v>Rua do Rosário, 566</v>
      </c>
      <c r="F245" s="8" t="str">
        <f>VLOOKUP($C245,tab_Agências[],4,FALSE)</f>
        <v>Centro</v>
      </c>
      <c r="G245" s="8" t="str">
        <f>VLOOKUP($C245,tab_Agências[],5,FALSE)</f>
        <v>13400-183</v>
      </c>
      <c r="H245" s="8" t="str">
        <f>VLOOKUP($C245,tab_Agências[],6,FALSE)</f>
        <v>Piracicaba</v>
      </c>
      <c r="I245" s="8" t="str">
        <f>VLOOKUP($C245,tab_Agências[],7,FALSE)</f>
        <v>Rua do Rosário, 566 - Centro, Piracicaba, 13400-183</v>
      </c>
      <c r="J245" s="8" t="str">
        <f>VLOOKUP($C245,tab_Agências[],8,FALSE)</f>
        <v>(19) 3402-6863</v>
      </c>
      <c r="K245" s="8" t="str">
        <f>VLOOKUP($C245,tab_Agências[],9,FALSE)</f>
        <v>(19) 3402-6863</v>
      </c>
      <c r="L245" s="8" t="str">
        <f>VLOOKUP($C245,tab_Agências[],10,FALSE)</f>
        <v>piracicaba@cetesbnet.sp.gov.br</v>
      </c>
    </row>
    <row r="246" spans="1:12" x14ac:dyDescent="0.25">
      <c r="A246" s="8">
        <v>3521150</v>
      </c>
      <c r="B246" s="8" t="s">
        <v>1184</v>
      </c>
      <c r="C246" s="9">
        <v>36</v>
      </c>
      <c r="D246" s="10" t="str">
        <f>VLOOKUP($C246,tab_Agências[],2,FALSE)</f>
        <v>Agência Ambiental de São José do Rio Preto</v>
      </c>
      <c r="E246" s="8" t="str">
        <f>VLOOKUP($C246,tab_Agências[],3,FALSE)</f>
        <v>Avenida Mário Andreazza,</v>
      </c>
      <c r="F246" s="8" t="str">
        <f>VLOOKUP($C246,tab_Agências[],4,FALSE)</f>
        <v>Jardim São Marcos</v>
      </c>
      <c r="G246" s="8" t="str">
        <f>VLOOKUP($C246,tab_Agências[],5,FALSE)</f>
        <v>15081-490</v>
      </c>
      <c r="H246" s="8" t="str">
        <f>VLOOKUP($C246,tab_Agências[],6,FALSE)</f>
        <v>São José do Rio Preto</v>
      </c>
      <c r="I246" s="8" t="str">
        <f>VLOOKUP($C246,tab_Agências[],7,FALSE)</f>
        <v>Avenida Mário Andreazza, - Jardim São Marcos, São José do Rio Preto, 15081-490</v>
      </c>
      <c r="J246" s="8" t="str">
        <f>VLOOKUP($C246,tab_Agências[],8,FALSE)</f>
        <v>(17) 3218-4300</v>
      </c>
      <c r="K246" s="8" t="str">
        <f>VLOOKUP($C246,tab_Agências[],9,FALSE)</f>
        <v>(17) 3218-4300</v>
      </c>
      <c r="L246" s="8" t="str">
        <f>VLOOKUP($C246,tab_Agências[],10,FALSE)</f>
        <v>riopreto@cetesbnet.sp.gov.br</v>
      </c>
    </row>
    <row r="247" spans="1:12" x14ac:dyDescent="0.25">
      <c r="A247" s="8">
        <v>3521200</v>
      </c>
      <c r="B247" s="8" t="s">
        <v>1185</v>
      </c>
      <c r="C247" s="9">
        <v>30</v>
      </c>
      <c r="D247" s="10" t="str">
        <f>VLOOKUP($C247,tab_Agências[],2,FALSE)</f>
        <v>Agência Ambiental de Registro</v>
      </c>
      <c r="E247" s="8" t="str">
        <f>VLOOKUP($C247,tab_Agências[],3,FALSE)</f>
        <v>Rua São Bento, 249</v>
      </c>
      <c r="F247" s="8" t="str">
        <f>VLOOKUP($C247,tab_Agências[],4,FALSE)</f>
        <v>Jardim São Nicolau</v>
      </c>
      <c r="G247" s="8" t="str">
        <f>VLOOKUP($C247,tab_Agências[],5,FALSE)</f>
        <v>11900-000</v>
      </c>
      <c r="H247" s="8" t="str">
        <f>VLOOKUP($C247,tab_Agências[],6,FALSE)</f>
        <v>Registro</v>
      </c>
      <c r="I247" s="8" t="str">
        <f>VLOOKUP($C247,tab_Agências[],7,FALSE)</f>
        <v>Rua São Bento, 249 - Jardim São Nicolau, Registro, 11900-000</v>
      </c>
      <c r="J247" s="8" t="str">
        <f>VLOOKUP($C247,tab_Agências[],8,FALSE)</f>
        <v>(13) 3822-3855</v>
      </c>
      <c r="K247" s="8" t="str">
        <f>VLOOKUP($C247,tab_Agências[],9,FALSE)</f>
        <v>(13) 3822-4437</v>
      </c>
      <c r="L247" s="8" t="str">
        <f>VLOOKUP($C247,tab_Agências[],10,FALSE)</f>
        <v>registro@cetesbnet.sp.gov.br</v>
      </c>
    </row>
    <row r="248" spans="1:12" x14ac:dyDescent="0.25">
      <c r="A248" s="8">
        <v>3521309</v>
      </c>
      <c r="B248" s="8" t="s">
        <v>1186</v>
      </c>
      <c r="C248" s="9">
        <v>31</v>
      </c>
      <c r="D248" s="10" t="str">
        <f>VLOOKUP($C248,tab_Agências[],2,FALSE)</f>
        <v>Agência Ambiental de Ribeirão Preto</v>
      </c>
      <c r="E248" s="8" t="str">
        <f>VLOOKUP($C248,tab_Agências[],3,FALSE)</f>
        <v>Avenida Presidente Kennedy, 1760</v>
      </c>
      <c r="F248" s="8" t="str">
        <f>VLOOKUP($C248,tab_Agências[],4,FALSE)</f>
        <v>Ribeirânia</v>
      </c>
      <c r="G248" s="8" t="str">
        <f>VLOOKUP($C248,tab_Agências[],5,FALSE)</f>
        <v>14096-350</v>
      </c>
      <c r="H248" s="8" t="str">
        <f>VLOOKUP($C248,tab_Agências[],6,FALSE)</f>
        <v>Ribeirão Preto</v>
      </c>
      <c r="I248" s="8" t="str">
        <f>VLOOKUP($C248,tab_Agências[],7,FALSE)</f>
        <v>Avenida Presidente Kennedy, 1760 - Ribeirânia, Ribeirão Preto, 14096-350</v>
      </c>
      <c r="J248" s="8" t="str">
        <f>VLOOKUP($C248,tab_Agências[],8,FALSE)</f>
        <v>(16) 3617-4700</v>
      </c>
      <c r="K248" s="8" t="str">
        <f>VLOOKUP($C248,tab_Agências[],9,FALSE)</f>
        <v>(16) 3617-4207</v>
      </c>
      <c r="L248" s="8" t="str">
        <f>VLOOKUP($C248,tab_Agências[],10,FALSE)</f>
        <v>ribeirao@cetesbnet.sp.gov.br</v>
      </c>
    </row>
    <row r="249" spans="1:12" x14ac:dyDescent="0.25">
      <c r="A249" s="8">
        <v>3521408</v>
      </c>
      <c r="B249" s="8" t="s">
        <v>1187</v>
      </c>
      <c r="C249" s="9">
        <v>22</v>
      </c>
      <c r="D249" s="10" t="str">
        <f>VLOOKUP($C249,tab_Agências[],2,FALSE)</f>
        <v>Agência Ambiental de Limeira</v>
      </c>
      <c r="E249" s="8" t="str">
        <f>VLOOKUP($C249,tab_Agências[],3,FALSE)</f>
        <v>Avenida Vitório Bortolan, 1450</v>
      </c>
      <c r="F249" s="8" t="str">
        <f>VLOOKUP($C249,tab_Agências[],4,FALSE)</f>
        <v>Parque Abílio Pedro</v>
      </c>
      <c r="G249" s="8" t="str">
        <f>VLOOKUP($C249,tab_Agências[],5,FALSE)</f>
        <v>13483-132</v>
      </c>
      <c r="H249" s="8" t="str">
        <f>VLOOKUP($C249,tab_Agências[],6,FALSE)</f>
        <v>Limeira</v>
      </c>
      <c r="I249" s="8" t="str">
        <f>VLOOKUP($C249,tab_Agências[],7,FALSE)</f>
        <v>Avenida Vitório Bortolan, 1450 - Parque Abílio Pedro, Limeira, 13483-132</v>
      </c>
      <c r="J249" s="8" t="str">
        <f>VLOOKUP($C249,tab_Agências[],8,FALSE)</f>
        <v>(19) 3451-6203</v>
      </c>
      <c r="K249" s="8" t="str">
        <f>VLOOKUP($C249,tab_Agências[],9,FALSE)</f>
        <v>(19) 3451-6203</v>
      </c>
      <c r="L249" s="8" t="str">
        <f>VLOOKUP($C249,tab_Agências[],10,FALSE)</f>
        <v>limeira@cetesbnet.sp.gov.br</v>
      </c>
    </row>
    <row r="250" spans="1:12" x14ac:dyDescent="0.25">
      <c r="A250" s="8">
        <v>3521507</v>
      </c>
      <c r="B250" s="8" t="s">
        <v>1188</v>
      </c>
      <c r="C250" s="9">
        <v>36</v>
      </c>
      <c r="D250" s="10" t="str">
        <f>VLOOKUP($C250,tab_Agências[],2,FALSE)</f>
        <v>Agência Ambiental de São José do Rio Preto</v>
      </c>
      <c r="E250" s="8" t="str">
        <f>VLOOKUP($C250,tab_Agências[],3,FALSE)</f>
        <v>Avenida Mário Andreazza,</v>
      </c>
      <c r="F250" s="8" t="str">
        <f>VLOOKUP($C250,tab_Agências[],4,FALSE)</f>
        <v>Jardim São Marcos</v>
      </c>
      <c r="G250" s="8" t="str">
        <f>VLOOKUP($C250,tab_Agências[],5,FALSE)</f>
        <v>15081-490</v>
      </c>
      <c r="H250" s="8" t="str">
        <f>VLOOKUP($C250,tab_Agências[],6,FALSE)</f>
        <v>São José do Rio Preto</v>
      </c>
      <c r="I250" s="8" t="str">
        <f>VLOOKUP($C250,tab_Agências[],7,FALSE)</f>
        <v>Avenida Mário Andreazza, - Jardim São Marcos, São José do Rio Preto, 15081-490</v>
      </c>
      <c r="J250" s="8" t="str">
        <f>VLOOKUP($C250,tab_Agências[],8,FALSE)</f>
        <v>(17) 3218-4300</v>
      </c>
      <c r="K250" s="8" t="str">
        <f>VLOOKUP($C250,tab_Agências[],9,FALSE)</f>
        <v>(17) 3218-4300</v>
      </c>
      <c r="L250" s="8" t="str">
        <f>VLOOKUP($C250,tab_Agências[],10,FALSE)</f>
        <v>riopreto@cetesbnet.sp.gov.br</v>
      </c>
    </row>
    <row r="251" spans="1:12" x14ac:dyDescent="0.25">
      <c r="A251" s="8">
        <v>3521606</v>
      </c>
      <c r="B251" s="8" t="s">
        <v>1189</v>
      </c>
      <c r="C251" s="9">
        <v>13</v>
      </c>
      <c r="D251" s="10" t="str">
        <f>VLOOKUP($C251,tab_Agências[],2,FALSE)</f>
        <v>Agência Ambiental de Dracena</v>
      </c>
      <c r="E251" s="8" t="str">
        <f>VLOOKUP($C251,tab_Agências[],3,FALSE)</f>
        <v>Rua Tomé de Souza, 438</v>
      </c>
      <c r="F251" s="8" t="str">
        <f>VLOOKUP($C251,tab_Agências[],4,FALSE)</f>
        <v>Centro</v>
      </c>
      <c r="G251" s="8" t="str">
        <f>VLOOKUP($C251,tab_Agências[],5,FALSE)</f>
        <v>17900-000</v>
      </c>
      <c r="H251" s="8" t="str">
        <f>VLOOKUP($C251,tab_Agências[],6,FALSE)</f>
        <v>Dracena</v>
      </c>
      <c r="I251" s="8" t="str">
        <f>VLOOKUP($C251,tab_Agências[],7,FALSE)</f>
        <v>Rua Tomé de Souza, 438 - Centro, Dracena, 17900-000</v>
      </c>
      <c r="J251" s="8" t="str">
        <f>VLOOKUP($C251,tab_Agências[],8,FALSE)</f>
        <v>(18) 3822-3166</v>
      </c>
      <c r="K251" s="8" t="str">
        <f>VLOOKUP($C251,tab_Agências[],9,FALSE)</f>
        <v>(18) 3822-3166</v>
      </c>
      <c r="L251" s="8" t="str">
        <f>VLOOKUP($C251,tab_Agências[],10,FALSE)</f>
        <v>dracena@cetesbnet.sp.gov.br</v>
      </c>
    </row>
    <row r="252" spans="1:12" x14ac:dyDescent="0.25">
      <c r="A252" s="8">
        <v>3521705</v>
      </c>
      <c r="B252" s="8" t="s">
        <v>1190</v>
      </c>
      <c r="C252" s="9">
        <v>11</v>
      </c>
      <c r="D252" s="10" t="str">
        <f>VLOOKUP($C252,tab_Agências[],2,FALSE)</f>
        <v>Agência Ambiental de Capão Bonito</v>
      </c>
      <c r="E252" s="8" t="str">
        <f>VLOOKUP($C252,tab_Agências[],3,FALSE)</f>
        <v>Rua Denise, 131</v>
      </c>
      <c r="F252" s="8" t="str">
        <f>VLOOKUP($C252,tab_Agências[],4,FALSE)</f>
        <v>Terras de Imbirucu</v>
      </c>
      <c r="G252" s="8" t="str">
        <f>VLOOKUP($C252,tab_Agências[],5,FALSE)</f>
        <v>18304-700</v>
      </c>
      <c r="H252" s="8" t="str">
        <f>VLOOKUP($C252,tab_Agências[],6,FALSE)</f>
        <v>Capão Bonito</v>
      </c>
      <c r="I252" s="8" t="str">
        <f>VLOOKUP($C252,tab_Agências[],7,FALSE)</f>
        <v>Rua Denise, 131 - Terras de Imbirucu, Capão Bonito, 18304-700</v>
      </c>
      <c r="J252" s="8" t="str">
        <f>VLOOKUP($C252,tab_Agências[],8,FALSE)</f>
        <v>(15) 3542-3885</v>
      </c>
      <c r="K252" s="8" t="str">
        <f>VLOOKUP($C252,tab_Agências[],9,FALSE)</f>
        <v>(15) 3542-3885</v>
      </c>
      <c r="L252" s="8" t="str">
        <f>VLOOKUP($C252,tab_Agências[],10,FALSE)</f>
        <v>capaobonito@cetesbnet.sp.gov.br</v>
      </c>
    </row>
    <row r="253" spans="1:12" x14ac:dyDescent="0.25">
      <c r="A253" s="8">
        <v>3521804</v>
      </c>
      <c r="B253" s="8" t="s">
        <v>1191</v>
      </c>
      <c r="C253" s="9">
        <v>6</v>
      </c>
      <c r="D253" s="10" t="str">
        <f>VLOOKUP($C253,tab_Agências[],2,FALSE)</f>
        <v>Agência Ambiental de Avaré</v>
      </c>
      <c r="E253" s="8" t="str">
        <f>VLOOKUP($C253,tab_Agências[],3,FALSE)</f>
        <v>Avenida Governador Mário Covas, 525</v>
      </c>
      <c r="F253" s="8" t="str">
        <f>VLOOKUP($C253,tab_Agências[],4,FALSE)</f>
        <v>Vila Industrial</v>
      </c>
      <c r="G253" s="8" t="str">
        <f>VLOOKUP($C253,tab_Agências[],5,FALSE)</f>
        <v>18705-851</v>
      </c>
      <c r="H253" s="8" t="str">
        <f>VLOOKUP($C253,tab_Agências[],6,FALSE)</f>
        <v>Avaré</v>
      </c>
      <c r="I253" s="8" t="str">
        <f>VLOOKUP($C253,tab_Agências[],7,FALSE)</f>
        <v>Avenida Governador Mário Covas, 525 - Vila Industrial, Avaré, 18705-851</v>
      </c>
      <c r="J253" s="8" t="str">
        <f>VLOOKUP($C253,tab_Agências[],8,FALSE)</f>
        <v>(14) 3732-4900</v>
      </c>
      <c r="K253" s="8" t="str">
        <f>VLOOKUP($C253,tab_Agências[],9,FALSE)</f>
        <v xml:space="preserve"> </v>
      </c>
      <c r="L253" s="8" t="str">
        <f>VLOOKUP($C253,tab_Agências[],10,FALSE)</f>
        <v>avare@cetesbnet.sp.gov.br</v>
      </c>
    </row>
    <row r="254" spans="1:12" x14ac:dyDescent="0.25">
      <c r="A254" s="8">
        <v>3521903</v>
      </c>
      <c r="B254" s="8" t="s">
        <v>1192</v>
      </c>
      <c r="C254" s="9">
        <v>36</v>
      </c>
      <c r="D254" s="10" t="str">
        <f>VLOOKUP($C254,tab_Agências[],2,FALSE)</f>
        <v>Agência Ambiental de São José do Rio Preto</v>
      </c>
      <c r="E254" s="8" t="str">
        <f>VLOOKUP($C254,tab_Agências[],3,FALSE)</f>
        <v>Avenida Mário Andreazza,</v>
      </c>
      <c r="F254" s="8" t="str">
        <f>VLOOKUP($C254,tab_Agências[],4,FALSE)</f>
        <v>Jardim São Marcos</v>
      </c>
      <c r="G254" s="8" t="str">
        <f>VLOOKUP($C254,tab_Agências[],5,FALSE)</f>
        <v>15081-490</v>
      </c>
      <c r="H254" s="8" t="str">
        <f>VLOOKUP($C254,tab_Agências[],6,FALSE)</f>
        <v>São José do Rio Preto</v>
      </c>
      <c r="I254" s="8" t="str">
        <f>VLOOKUP($C254,tab_Agências[],7,FALSE)</f>
        <v>Avenida Mário Andreazza, - Jardim São Marcos, São José do Rio Preto, 15081-490</v>
      </c>
      <c r="J254" s="8" t="str">
        <f>VLOOKUP($C254,tab_Agências[],8,FALSE)</f>
        <v>(17) 3218-4300</v>
      </c>
      <c r="K254" s="8" t="str">
        <f>VLOOKUP($C254,tab_Agências[],9,FALSE)</f>
        <v>(17) 3218-4300</v>
      </c>
      <c r="L254" s="8" t="str">
        <f>VLOOKUP($C254,tab_Agências[],10,FALSE)</f>
        <v>riopreto@cetesbnet.sp.gov.br</v>
      </c>
    </row>
    <row r="255" spans="1:12" x14ac:dyDescent="0.25">
      <c r="A255" s="8">
        <v>3522000</v>
      </c>
      <c r="B255" s="8" t="s">
        <v>1193</v>
      </c>
      <c r="C255" s="9">
        <v>8</v>
      </c>
      <c r="D255" s="10" t="str">
        <f>VLOOKUP($C255,tab_Agências[],2,FALSE)</f>
        <v>Agência Ambiental de Bauru</v>
      </c>
      <c r="E255" s="8" t="str">
        <f>VLOOKUP($C255,tab_Agências[],3,FALSE)</f>
        <v>Avenida Rodrigues Alves, 138</v>
      </c>
      <c r="F255" s="8" t="str">
        <f>VLOOKUP($C255,tab_Agências[],4,FALSE)</f>
        <v>Vila Coralina</v>
      </c>
      <c r="G255" s="8" t="str">
        <f>VLOOKUP($C255,tab_Agências[],5,FALSE)</f>
        <v>17030-000</v>
      </c>
      <c r="H255" s="8" t="str">
        <f>VLOOKUP($C255,tab_Agências[],6,FALSE)</f>
        <v>Bauru</v>
      </c>
      <c r="I255" s="8" t="str">
        <f>VLOOKUP($C255,tab_Agências[],7,FALSE)</f>
        <v>Avenida Rodrigues Alves, 138 - Vila Coralina, Bauru, 17030-000</v>
      </c>
      <c r="J255" s="8" t="str">
        <f>VLOOKUP($C255,tab_Agências[],8,FALSE)</f>
        <v>(14) 3203-2058</v>
      </c>
      <c r="K255" s="8" t="str">
        <f>VLOOKUP($C255,tab_Agências[],9,FALSE)</f>
        <v>(14) 3203-2344</v>
      </c>
      <c r="L255" s="8" t="str">
        <f>VLOOKUP($C255,tab_Agências[],10,FALSE)</f>
        <v>bauru@cetesbnet.sp.gov.br</v>
      </c>
    </row>
    <row r="256" spans="1:12" x14ac:dyDescent="0.25">
      <c r="A256" s="8">
        <v>3522109</v>
      </c>
      <c r="B256" s="8" t="s">
        <v>1194</v>
      </c>
      <c r="C256" s="9">
        <v>33</v>
      </c>
      <c r="D256" s="10" t="str">
        <f>VLOOKUP($C256,tab_Agências[],2,FALSE)</f>
        <v>Agência Ambiental de Santos</v>
      </c>
      <c r="E256" s="8" t="str">
        <f>VLOOKUP($C256,tab_Agências[],3,FALSE)</f>
        <v>Rua Delfim Moreira, 56</v>
      </c>
      <c r="F256" s="8" t="str">
        <f>VLOOKUP($C256,tab_Agências[],4,FALSE)</f>
        <v>Embaré</v>
      </c>
      <c r="G256" s="8" t="str">
        <f>VLOOKUP($C256,tab_Agências[],5,FALSE)</f>
        <v>11040-100</v>
      </c>
      <c r="H256" s="8" t="str">
        <f>VLOOKUP($C256,tab_Agências[],6,FALSE)</f>
        <v>Santos</v>
      </c>
      <c r="I256" s="8" t="str">
        <f>VLOOKUP($C256,tab_Agências[],7,FALSE)</f>
        <v>Rua Delfim Moreira, 56 - Embaré, Santos, 11040-100</v>
      </c>
      <c r="J256" s="8" t="str">
        <f>VLOOKUP($C256,tab_Agências[],8,FALSE)</f>
        <v>(13) 3227-7767</v>
      </c>
      <c r="K256" s="8" t="str">
        <f>VLOOKUP($C256,tab_Agências[],9,FALSE)</f>
        <v>(13) 3227-7767</v>
      </c>
      <c r="L256" s="8" t="str">
        <f>VLOOKUP($C256,tab_Agências[],10,FALSE)</f>
        <v>santos@cetesbnet.sp.gov.br</v>
      </c>
    </row>
    <row r="257" spans="1:12" x14ac:dyDescent="0.25">
      <c r="A257" s="8">
        <v>3522158</v>
      </c>
      <c r="B257" s="8" t="s">
        <v>1195</v>
      </c>
      <c r="C257" s="9">
        <v>11</v>
      </c>
      <c r="D257" s="10" t="str">
        <f>VLOOKUP($C257,tab_Agências[],2,FALSE)</f>
        <v>Agência Ambiental de Capão Bonito</v>
      </c>
      <c r="E257" s="8" t="str">
        <f>VLOOKUP($C257,tab_Agências[],3,FALSE)</f>
        <v>Rua Denise, 131</v>
      </c>
      <c r="F257" s="8" t="str">
        <f>VLOOKUP($C257,tab_Agências[],4,FALSE)</f>
        <v>Terras de Imbirucu</v>
      </c>
      <c r="G257" s="8" t="str">
        <f>VLOOKUP($C257,tab_Agências[],5,FALSE)</f>
        <v>18304-700</v>
      </c>
      <c r="H257" s="8" t="str">
        <f>VLOOKUP($C257,tab_Agências[],6,FALSE)</f>
        <v>Capão Bonito</v>
      </c>
      <c r="I257" s="8" t="str">
        <f>VLOOKUP($C257,tab_Agências[],7,FALSE)</f>
        <v>Rua Denise, 131 - Terras de Imbirucu, Capão Bonito, 18304-700</v>
      </c>
      <c r="J257" s="8" t="str">
        <f>VLOOKUP($C257,tab_Agências[],8,FALSE)</f>
        <v>(15) 3542-3885</v>
      </c>
      <c r="K257" s="8" t="str">
        <f>VLOOKUP($C257,tab_Agências[],9,FALSE)</f>
        <v>(15) 3542-3885</v>
      </c>
      <c r="L257" s="8" t="str">
        <f>VLOOKUP($C257,tab_Agências[],10,FALSE)</f>
        <v>capaobonito@cetesbnet.sp.gov.br</v>
      </c>
    </row>
    <row r="258" spans="1:12" x14ac:dyDescent="0.25">
      <c r="A258" s="8">
        <v>3522208</v>
      </c>
      <c r="B258" s="8" t="s">
        <v>1196</v>
      </c>
      <c r="C258" s="9">
        <v>14</v>
      </c>
      <c r="D258" s="10" t="str">
        <f>VLOOKUP($C258,tab_Agências[],2,FALSE)</f>
        <v>Agência Ambiental de Embu das Artes</v>
      </c>
      <c r="E258" s="8" t="str">
        <f>VLOOKUP($C258,tab_Agências[],3,FALSE)</f>
        <v>Rua João Paulo I, 495</v>
      </c>
      <c r="F258" s="8" t="str">
        <f>VLOOKUP($C258,tab_Agências[],4,FALSE)</f>
        <v>Jardim São Luiz</v>
      </c>
      <c r="G258" s="8" t="str">
        <f>VLOOKUP($C258,tab_Agências[],5,FALSE)</f>
        <v>06816-550</v>
      </c>
      <c r="H258" s="8" t="str">
        <f>VLOOKUP($C258,tab_Agências[],6,FALSE)</f>
        <v>Embu das Artes</v>
      </c>
      <c r="I258" s="8" t="str">
        <f>VLOOKUP($C258,tab_Agências[],7,FALSE)</f>
        <v>Rua João Paulo I, 495 - Jardim São Luiz, Embu das Artes, 06816-550</v>
      </c>
      <c r="J258" s="8" t="str">
        <f>VLOOKUP($C258,tab_Agências[],8,FALSE)</f>
        <v>(11) 4704-8835</v>
      </c>
      <c r="K258" s="8" t="str">
        <f>VLOOKUP($C258,tab_Agências[],9,FALSE)</f>
        <v>(11) 4704-8835</v>
      </c>
      <c r="L258" s="8" t="str">
        <f>VLOOKUP($C258,tab_Agências[],10,FALSE)</f>
        <v>embu@cetesbnet.sp.gov.br</v>
      </c>
    </row>
    <row r="259" spans="1:12" x14ac:dyDescent="0.25">
      <c r="A259" s="8">
        <v>3522307</v>
      </c>
      <c r="B259" s="8" t="s">
        <v>1197</v>
      </c>
      <c r="C259" s="9">
        <v>17</v>
      </c>
      <c r="D259" s="10" t="str">
        <f>VLOOKUP($C259,tab_Agências[],2,FALSE)</f>
        <v>Agência Ambiental de Itapetininga</v>
      </c>
      <c r="E259" s="8" t="str">
        <f>VLOOKUP($C259,tab_Agências[],3,FALSE)</f>
        <v>Rua General Carneiro, 196</v>
      </c>
      <c r="F259" s="8" t="str">
        <f>VLOOKUP($C259,tab_Agências[],4,FALSE)</f>
        <v>Centro</v>
      </c>
      <c r="G259" s="8" t="str">
        <f>VLOOKUP($C259,tab_Agências[],5,FALSE)</f>
        <v>18200-024</v>
      </c>
      <c r="H259" s="8" t="str">
        <f>VLOOKUP($C259,tab_Agências[],6,FALSE)</f>
        <v>Itapetininga</v>
      </c>
      <c r="I259" s="8" t="str">
        <f>VLOOKUP($C259,tab_Agências[],7,FALSE)</f>
        <v>Rua General Carneiro, 196 - Centro, Itapetininga, 18200-024</v>
      </c>
      <c r="J259" s="8" t="str">
        <f>VLOOKUP($C259,tab_Agências[],8,FALSE)</f>
        <v>(15) 3272-2888</v>
      </c>
      <c r="K259" s="8" t="str">
        <f>VLOOKUP($C259,tab_Agências[],9,FALSE)</f>
        <v>(15) 3272-2891</v>
      </c>
      <c r="L259" s="8" t="str">
        <f>VLOOKUP($C259,tab_Agências[],10,FALSE)</f>
        <v>itapetininga@cetesbnet.sp.gov.br</v>
      </c>
    </row>
    <row r="260" spans="1:12" x14ac:dyDescent="0.25">
      <c r="A260" s="8">
        <v>3522406</v>
      </c>
      <c r="B260" s="8" t="s">
        <v>1198</v>
      </c>
      <c r="C260" s="9">
        <v>11</v>
      </c>
      <c r="D260" s="10" t="str">
        <f>VLOOKUP($C260,tab_Agências[],2,FALSE)</f>
        <v>Agência Ambiental de Capão Bonito</v>
      </c>
      <c r="E260" s="8" t="str">
        <f>VLOOKUP($C260,tab_Agências[],3,FALSE)</f>
        <v>Rua Denise, 131</v>
      </c>
      <c r="F260" s="8" t="str">
        <f>VLOOKUP($C260,tab_Agências[],4,FALSE)</f>
        <v>Terras de Imbirucu</v>
      </c>
      <c r="G260" s="8" t="str">
        <f>VLOOKUP($C260,tab_Agências[],5,FALSE)</f>
        <v>18304-700</v>
      </c>
      <c r="H260" s="8" t="str">
        <f>VLOOKUP($C260,tab_Agências[],6,FALSE)</f>
        <v>Capão Bonito</v>
      </c>
      <c r="I260" s="8" t="str">
        <f>VLOOKUP($C260,tab_Agências[],7,FALSE)</f>
        <v>Rua Denise, 131 - Terras de Imbirucu, Capão Bonito, 18304-700</v>
      </c>
      <c r="J260" s="8" t="str">
        <f>VLOOKUP($C260,tab_Agências[],8,FALSE)</f>
        <v>(15) 3542-3885</v>
      </c>
      <c r="K260" s="8" t="str">
        <f>VLOOKUP($C260,tab_Agências[],9,FALSE)</f>
        <v>(15) 3542-3885</v>
      </c>
      <c r="L260" s="8" t="str">
        <f>VLOOKUP($C260,tab_Agências[],10,FALSE)</f>
        <v>capaobonito@cetesbnet.sp.gov.br</v>
      </c>
    </row>
    <row r="261" spans="1:12" x14ac:dyDescent="0.25">
      <c r="A261" s="8">
        <v>3522505</v>
      </c>
      <c r="B261" s="8" t="s">
        <v>1199</v>
      </c>
      <c r="C261" s="9">
        <v>26</v>
      </c>
      <c r="D261" s="10" t="str">
        <f>VLOOKUP($C261,tab_Agências[],2,FALSE)</f>
        <v>Agência Ambiental de Osasco</v>
      </c>
      <c r="E261" s="8" t="str">
        <f>VLOOKUP($C261,tab_Agências[],3,FALSE)</f>
        <v>Rua Anete Queiroz Lacerda, 80</v>
      </c>
      <c r="F261" s="8" t="str">
        <f>VLOOKUP($C261,tab_Agências[],4,FALSE)</f>
        <v>Butantã</v>
      </c>
      <c r="G261" s="8" t="str">
        <f>VLOOKUP($C261,tab_Agências[],5,FALSE)</f>
        <v>05591-080</v>
      </c>
      <c r="H261" s="8" t="str">
        <f>VLOOKUP($C261,tab_Agências[],6,FALSE)</f>
        <v>São Paulo</v>
      </c>
      <c r="I261" s="8" t="str">
        <f>VLOOKUP($C261,tab_Agências[],7,FALSE)</f>
        <v>Rua Anete Queiroz Lacerda, 80 - Butantã, São Paulo, 05591-080</v>
      </c>
      <c r="J261" s="8" t="str">
        <f>VLOOKUP($C261,tab_Agências[],8,FALSE)</f>
        <v>(11) 3721-9600</v>
      </c>
      <c r="K261" s="8" t="str">
        <f>VLOOKUP($C261,tab_Agências[],9,FALSE)</f>
        <v>(11) 3721-9600</v>
      </c>
      <c r="L261" s="8" t="str">
        <f>VLOOKUP($C261,tab_Agências[],10,FALSE)</f>
        <v>osasco@cetesbnet.sp.gov.br</v>
      </c>
    </row>
    <row r="262" spans="1:12" x14ac:dyDescent="0.25">
      <c r="A262" s="8">
        <v>3522604</v>
      </c>
      <c r="B262" s="8" t="s">
        <v>1200</v>
      </c>
      <c r="C262" s="9">
        <v>25</v>
      </c>
      <c r="D262" s="10" t="str">
        <f>VLOOKUP($C262,tab_Agências[],2,FALSE)</f>
        <v>Agência Ambiental de Mogi Guaçu</v>
      </c>
      <c r="E262" s="8" t="str">
        <f>VLOOKUP($C262,tab_Agências[],3,FALSE)</f>
        <v>Rua Hugo Pancieira, 400</v>
      </c>
      <c r="F262" s="8" t="str">
        <f>VLOOKUP($C262,tab_Agências[],4,FALSE)</f>
        <v>Pedregulhal</v>
      </c>
      <c r="G262" s="8" t="str">
        <f>VLOOKUP($C262,tab_Agências[],5,FALSE)</f>
        <v>13845-190</v>
      </c>
      <c r="H262" s="8" t="str">
        <f>VLOOKUP($C262,tab_Agências[],6,FALSE)</f>
        <v>Mogi Guaçu</v>
      </c>
      <c r="I262" s="8" t="str">
        <f>VLOOKUP($C262,tab_Agências[],7,FALSE)</f>
        <v>Rua Hugo Pancieira, 400 - Pedregulhal, Mogi Guaçu, 13845-190</v>
      </c>
      <c r="J262" s="8" t="str">
        <f>VLOOKUP($C262,tab_Agências[],8,FALSE)</f>
        <v>(19) 3818-0396</v>
      </c>
      <c r="K262" s="8" t="str">
        <f>VLOOKUP($C262,tab_Agências[],9,FALSE)</f>
        <v>(19) 3818-0396</v>
      </c>
      <c r="L262" s="8" t="str">
        <f>VLOOKUP($C262,tab_Agências[],10,FALSE)</f>
        <v>mogiguacu@cetesbnet.sp.gov.br</v>
      </c>
    </row>
    <row r="263" spans="1:12" x14ac:dyDescent="0.25">
      <c r="A263" s="8">
        <v>3522653</v>
      </c>
      <c r="B263" s="8" t="s">
        <v>1201</v>
      </c>
      <c r="C263" s="9">
        <v>11</v>
      </c>
      <c r="D263" s="10" t="str">
        <f>VLOOKUP($C263,tab_Agências[],2,FALSE)</f>
        <v>Agência Ambiental de Capão Bonito</v>
      </c>
      <c r="E263" s="8" t="str">
        <f>VLOOKUP($C263,tab_Agências[],3,FALSE)</f>
        <v>Rua Denise, 131</v>
      </c>
      <c r="F263" s="8" t="str">
        <f>VLOOKUP($C263,tab_Agências[],4,FALSE)</f>
        <v>Terras de Imbirucu</v>
      </c>
      <c r="G263" s="8" t="str">
        <f>VLOOKUP($C263,tab_Agências[],5,FALSE)</f>
        <v>18304-700</v>
      </c>
      <c r="H263" s="8" t="str">
        <f>VLOOKUP($C263,tab_Agências[],6,FALSE)</f>
        <v>Capão Bonito</v>
      </c>
      <c r="I263" s="8" t="str">
        <f>VLOOKUP($C263,tab_Agências[],7,FALSE)</f>
        <v>Rua Denise, 131 - Terras de Imbirucu, Capão Bonito, 18304-700</v>
      </c>
      <c r="J263" s="8" t="str">
        <f>VLOOKUP($C263,tab_Agências[],8,FALSE)</f>
        <v>(15) 3542-3885</v>
      </c>
      <c r="K263" s="8" t="str">
        <f>VLOOKUP($C263,tab_Agências[],9,FALSE)</f>
        <v>(15) 3542-3885</v>
      </c>
      <c r="L263" s="8" t="str">
        <f>VLOOKUP($C263,tab_Agências[],10,FALSE)</f>
        <v>capaobonito@cetesbnet.sp.gov.br</v>
      </c>
    </row>
    <row r="264" spans="1:12" x14ac:dyDescent="0.25">
      <c r="A264" s="8">
        <v>3522703</v>
      </c>
      <c r="B264" s="8" t="s">
        <v>1202</v>
      </c>
      <c r="C264" s="9">
        <v>3</v>
      </c>
      <c r="D264" s="10" t="str">
        <f>VLOOKUP($C264,tab_Agências[],2,FALSE)</f>
        <v>Agência Ambiental de Araraquara</v>
      </c>
      <c r="E264" s="8" t="str">
        <f>VLOOKUP($C264,tab_Agências[],3,FALSE)</f>
        <v>Avenida Castro Alves, 1271</v>
      </c>
      <c r="F264" s="8" t="str">
        <f>VLOOKUP($C264,tab_Agências[],4,FALSE)</f>
        <v>Carmo</v>
      </c>
      <c r="G264" s="8" t="str">
        <f>VLOOKUP($C264,tab_Agências[],5,FALSE)</f>
        <v>14800-140</v>
      </c>
      <c r="H264" s="8" t="str">
        <f>VLOOKUP($C264,tab_Agências[],6,FALSE)</f>
        <v>Araraquara</v>
      </c>
      <c r="I264" s="8" t="str">
        <f>VLOOKUP($C264,tab_Agências[],7,FALSE)</f>
        <v>Avenida Castro Alves, 1271 - Carmo, Araraquara, 14800-140</v>
      </c>
      <c r="J264" s="8" t="str">
        <f>VLOOKUP($C264,tab_Agências[],8,FALSE)</f>
        <v>(16) 3332-2211</v>
      </c>
      <c r="K264" s="8" t="str">
        <f>VLOOKUP($C264,tab_Agências[],9,FALSE)</f>
        <v>(16) 3332-2211</v>
      </c>
      <c r="L264" s="8" t="str">
        <f>VLOOKUP($C264,tab_Agências[],10,FALSE)</f>
        <v>araraquara@cetesbnet.sp.gov.br</v>
      </c>
    </row>
    <row r="265" spans="1:12" x14ac:dyDescent="0.25">
      <c r="A265" s="8">
        <v>3522802</v>
      </c>
      <c r="B265" s="8" t="s">
        <v>1203</v>
      </c>
      <c r="C265" s="9">
        <v>6</v>
      </c>
      <c r="D265" s="10" t="str">
        <f>VLOOKUP($C265,tab_Agências[],2,FALSE)</f>
        <v>Agência Ambiental de Avaré</v>
      </c>
      <c r="E265" s="8" t="str">
        <f>VLOOKUP($C265,tab_Agências[],3,FALSE)</f>
        <v>Avenida Governador Mário Covas, 525</v>
      </c>
      <c r="F265" s="8" t="str">
        <f>VLOOKUP($C265,tab_Agências[],4,FALSE)</f>
        <v>Vila Industrial</v>
      </c>
      <c r="G265" s="8" t="str">
        <f>VLOOKUP($C265,tab_Agências[],5,FALSE)</f>
        <v>18705-851</v>
      </c>
      <c r="H265" s="8" t="str">
        <f>VLOOKUP($C265,tab_Agências[],6,FALSE)</f>
        <v>Avaré</v>
      </c>
      <c r="I265" s="8" t="str">
        <f>VLOOKUP($C265,tab_Agências[],7,FALSE)</f>
        <v>Avenida Governador Mário Covas, 525 - Vila Industrial, Avaré, 18705-851</v>
      </c>
      <c r="J265" s="8" t="str">
        <f>VLOOKUP($C265,tab_Agências[],8,FALSE)</f>
        <v>(14) 3732-4900</v>
      </c>
      <c r="K265" s="8" t="str">
        <f>VLOOKUP($C265,tab_Agências[],9,FALSE)</f>
        <v xml:space="preserve"> </v>
      </c>
      <c r="L265" s="8" t="str">
        <f>VLOOKUP($C265,tab_Agências[],10,FALSE)</f>
        <v>avare@cetesbnet.sp.gov.br</v>
      </c>
    </row>
    <row r="266" spans="1:12" x14ac:dyDescent="0.25">
      <c r="A266" s="8">
        <v>3522901</v>
      </c>
      <c r="B266" s="8" t="s">
        <v>1204</v>
      </c>
      <c r="C266" s="9">
        <v>8</v>
      </c>
      <c r="D266" s="10" t="str">
        <f>VLOOKUP($C266,tab_Agências[],2,FALSE)</f>
        <v>Agência Ambiental de Bauru</v>
      </c>
      <c r="E266" s="8" t="str">
        <f>VLOOKUP($C266,tab_Agências[],3,FALSE)</f>
        <v>Avenida Rodrigues Alves, 138</v>
      </c>
      <c r="F266" s="8" t="str">
        <f>VLOOKUP($C266,tab_Agências[],4,FALSE)</f>
        <v>Vila Coralina</v>
      </c>
      <c r="G266" s="8" t="str">
        <f>VLOOKUP($C266,tab_Agências[],5,FALSE)</f>
        <v>17030-000</v>
      </c>
      <c r="H266" s="8" t="str">
        <f>VLOOKUP($C266,tab_Agências[],6,FALSE)</f>
        <v>Bauru</v>
      </c>
      <c r="I266" s="8" t="str">
        <f>VLOOKUP($C266,tab_Agências[],7,FALSE)</f>
        <v>Avenida Rodrigues Alves, 138 - Vila Coralina, Bauru, 17030-000</v>
      </c>
      <c r="J266" s="8" t="str">
        <f>VLOOKUP($C266,tab_Agências[],8,FALSE)</f>
        <v>(14) 3203-2058</v>
      </c>
      <c r="K266" s="8" t="str">
        <f>VLOOKUP($C266,tab_Agências[],9,FALSE)</f>
        <v>(14) 3203-2344</v>
      </c>
      <c r="L266" s="8" t="str">
        <f>VLOOKUP($C266,tab_Agências[],10,FALSE)</f>
        <v>bauru@cetesbnet.sp.gov.br</v>
      </c>
    </row>
    <row r="267" spans="1:12" x14ac:dyDescent="0.25">
      <c r="A267" s="8">
        <v>3523008</v>
      </c>
      <c r="B267" s="8" t="s">
        <v>1205</v>
      </c>
      <c r="C267" s="9">
        <v>20</v>
      </c>
      <c r="D267" s="10" t="str">
        <f>VLOOKUP($C267,tab_Agências[],2,FALSE)</f>
        <v>Agência Ambiental de Jales</v>
      </c>
      <c r="E267" s="8" t="str">
        <f>VLOOKUP($C267,tab_Agências[],3,FALSE)</f>
        <v>Rua Nova Iorque, 1016</v>
      </c>
      <c r="F267" s="8" t="str">
        <f>VLOOKUP($C267,tab_Agências[],4,FALSE)</f>
        <v>Jardim Monte Rrey</v>
      </c>
      <c r="G267" s="8" t="str">
        <f>VLOOKUP($C267,tab_Agências[],5,FALSE)</f>
        <v>15703-326</v>
      </c>
      <c r="H267" s="8" t="str">
        <f>VLOOKUP($C267,tab_Agências[],6,FALSE)</f>
        <v>Jales</v>
      </c>
      <c r="I267" s="8" t="str">
        <f>VLOOKUP($C267,tab_Agências[],7,FALSE)</f>
        <v>Rua Nova Iorque, 1016 - Jardim Monte Rrey, Jales, 15703-326</v>
      </c>
      <c r="J267" s="8" t="str">
        <f>VLOOKUP($C267,tab_Agências[],8,FALSE)</f>
        <v>(17) 3621-1042</v>
      </c>
      <c r="K267" s="8" t="str">
        <f>VLOOKUP($C267,tab_Agências[],9,FALSE)</f>
        <v>(17) 3621-1042</v>
      </c>
      <c r="L267" s="8" t="str">
        <f>VLOOKUP($C267,tab_Agências[],10,FALSE)</f>
        <v>jales@cetesbnet.sp.gov.br</v>
      </c>
    </row>
    <row r="268" spans="1:12" x14ac:dyDescent="0.25">
      <c r="A268" s="8">
        <v>3523107</v>
      </c>
      <c r="B268" s="8" t="s">
        <v>1206</v>
      </c>
      <c r="C268" s="9">
        <v>24</v>
      </c>
      <c r="D268" s="10" t="str">
        <f>VLOOKUP($C268,tab_Agências[],2,FALSE)</f>
        <v>Agência Ambiental de Mogi das Cruzes</v>
      </c>
      <c r="E268" s="8" t="str">
        <f>VLOOKUP($C268,tab_Agências[],3,FALSE)</f>
        <v>Avenida João XXIII, 165</v>
      </c>
      <c r="F268" s="8" t="str">
        <f>VLOOKUP($C268,tab_Agências[],4,FALSE)</f>
        <v>Socorro</v>
      </c>
      <c r="G268" s="8" t="str">
        <f>VLOOKUP($C268,tab_Agências[],5,FALSE)</f>
        <v>08830-000</v>
      </c>
      <c r="H268" s="8" t="str">
        <f>VLOOKUP($C268,tab_Agências[],6,FALSE)</f>
        <v>Mogi das Cruzes</v>
      </c>
      <c r="I268" s="8" t="str">
        <f>VLOOKUP($C268,tab_Agências[],7,FALSE)</f>
        <v>Avenida João XXIII, 165 - Socorro, Mogi das Cruzes, 08830-000</v>
      </c>
      <c r="J268" s="8" t="str">
        <f>VLOOKUP($C268,tab_Agências[],8,FALSE)</f>
        <v>(11) 4725-7490</v>
      </c>
      <c r="K268" s="8" t="str">
        <f>VLOOKUP($C268,tab_Agências[],9,FALSE)</f>
        <v xml:space="preserve"> </v>
      </c>
      <c r="L268" s="8" t="str">
        <f>VLOOKUP($C268,tab_Agências[],10,FALSE)</f>
        <v>mogi@cetesbnet.sp.gov.br</v>
      </c>
    </row>
    <row r="269" spans="1:12" x14ac:dyDescent="0.25">
      <c r="A269" s="8">
        <v>3523206</v>
      </c>
      <c r="B269" s="8" t="s">
        <v>1207</v>
      </c>
      <c r="C269" s="9">
        <v>11</v>
      </c>
      <c r="D269" s="10" t="str">
        <f>VLOOKUP($C269,tab_Agências[],2,FALSE)</f>
        <v>Agência Ambiental de Capão Bonito</v>
      </c>
      <c r="E269" s="8" t="str">
        <f>VLOOKUP($C269,tab_Agências[],3,FALSE)</f>
        <v>Rua Denise, 131</v>
      </c>
      <c r="F269" s="8" t="str">
        <f>VLOOKUP($C269,tab_Agências[],4,FALSE)</f>
        <v>Terras de Imbirucu</v>
      </c>
      <c r="G269" s="8" t="str">
        <f>VLOOKUP($C269,tab_Agências[],5,FALSE)</f>
        <v>18304-700</v>
      </c>
      <c r="H269" s="8" t="str">
        <f>VLOOKUP($C269,tab_Agências[],6,FALSE)</f>
        <v>Capão Bonito</v>
      </c>
      <c r="I269" s="8" t="str">
        <f>VLOOKUP($C269,tab_Agências[],7,FALSE)</f>
        <v>Rua Denise, 131 - Terras de Imbirucu, Capão Bonito, 18304-700</v>
      </c>
      <c r="J269" s="8" t="str">
        <f>VLOOKUP($C269,tab_Agências[],8,FALSE)</f>
        <v>(15) 3542-3885</v>
      </c>
      <c r="K269" s="8" t="str">
        <f>VLOOKUP($C269,tab_Agências[],9,FALSE)</f>
        <v>(15) 3542-3885</v>
      </c>
      <c r="L269" s="8" t="str">
        <f>VLOOKUP($C269,tab_Agências[],10,FALSE)</f>
        <v>capaobonito@cetesbnet.sp.gov.br</v>
      </c>
    </row>
    <row r="270" spans="1:12" x14ac:dyDescent="0.25">
      <c r="A270" s="8">
        <v>3523305</v>
      </c>
      <c r="B270" s="8" t="s">
        <v>1208</v>
      </c>
      <c r="C270" s="9">
        <v>30</v>
      </c>
      <c r="D270" s="10" t="str">
        <f>VLOOKUP($C270,tab_Agências[],2,FALSE)</f>
        <v>Agência Ambiental de Registro</v>
      </c>
      <c r="E270" s="8" t="str">
        <f>VLOOKUP($C270,tab_Agências[],3,FALSE)</f>
        <v>Rua São Bento, 249</v>
      </c>
      <c r="F270" s="8" t="str">
        <f>VLOOKUP($C270,tab_Agências[],4,FALSE)</f>
        <v>Jardim São Nicolau</v>
      </c>
      <c r="G270" s="8" t="str">
        <f>VLOOKUP($C270,tab_Agências[],5,FALSE)</f>
        <v>11900-000</v>
      </c>
      <c r="H270" s="8" t="str">
        <f>VLOOKUP($C270,tab_Agências[],6,FALSE)</f>
        <v>Registro</v>
      </c>
      <c r="I270" s="8" t="str">
        <f>VLOOKUP($C270,tab_Agências[],7,FALSE)</f>
        <v>Rua São Bento, 249 - Jardim São Nicolau, Registro, 11900-000</v>
      </c>
      <c r="J270" s="8" t="str">
        <f>VLOOKUP($C270,tab_Agências[],8,FALSE)</f>
        <v>(13) 3822-3855</v>
      </c>
      <c r="K270" s="8" t="str">
        <f>VLOOKUP($C270,tab_Agências[],9,FALSE)</f>
        <v>(13) 3822-4437</v>
      </c>
      <c r="L270" s="8" t="str">
        <f>VLOOKUP($C270,tab_Agências[],10,FALSE)</f>
        <v>registro@cetesbnet.sp.gov.br</v>
      </c>
    </row>
    <row r="271" spans="1:12" x14ac:dyDescent="0.25">
      <c r="A271" s="8">
        <v>3523404</v>
      </c>
      <c r="B271" s="8" t="s">
        <v>1209</v>
      </c>
      <c r="C271" s="9">
        <v>5</v>
      </c>
      <c r="D271" s="10" t="str">
        <f>VLOOKUP($C271,tab_Agências[],2,FALSE)</f>
        <v>Agência Ambiental de Atibaia</v>
      </c>
      <c r="E271" s="8" t="str">
        <f>VLOOKUP($C271,tab_Agências[],3,FALSE)</f>
        <v>Avenida Nove de Julho, 266</v>
      </c>
      <c r="F271" s="8" t="str">
        <f>VLOOKUP($C271,tab_Agências[],4,FALSE)</f>
        <v>Centro</v>
      </c>
      <c r="G271" s="8" t="str">
        <f>VLOOKUP($C271,tab_Agências[],5,FALSE)</f>
        <v>12940-580</v>
      </c>
      <c r="H271" s="8" t="str">
        <f>VLOOKUP($C271,tab_Agências[],6,FALSE)</f>
        <v>Atibaia</v>
      </c>
      <c r="I271" s="8" t="str">
        <f>VLOOKUP($C271,tab_Agências[],7,FALSE)</f>
        <v>Avenida Nove de Julho, 266 - Centro, Atibaia, 12940-580</v>
      </c>
      <c r="J271" s="8" t="str">
        <f>VLOOKUP($C271,tab_Agências[],8,FALSE)</f>
        <v>(11) 4411-0662</v>
      </c>
      <c r="K271" s="8" t="str">
        <f>VLOOKUP($C271,tab_Agências[],9,FALSE)</f>
        <v>(11) 4411-0662</v>
      </c>
      <c r="L271" s="8" t="str">
        <f>VLOOKUP($C271,tab_Agências[],10,FALSE)</f>
        <v>atibaia@cetesbnet.sp.gov.br</v>
      </c>
    </row>
    <row r="272" spans="1:12" x14ac:dyDescent="0.25">
      <c r="A272" s="8">
        <v>3523503</v>
      </c>
      <c r="B272" s="8" t="s">
        <v>1210</v>
      </c>
      <c r="C272" s="9">
        <v>6</v>
      </c>
      <c r="D272" s="10" t="str">
        <f>VLOOKUP($C272,tab_Agências[],2,FALSE)</f>
        <v>Agência Ambiental de Avaré</v>
      </c>
      <c r="E272" s="8" t="str">
        <f>VLOOKUP($C272,tab_Agências[],3,FALSE)</f>
        <v>Avenida Governador Mário Covas, 525</v>
      </c>
      <c r="F272" s="8" t="str">
        <f>VLOOKUP($C272,tab_Agências[],4,FALSE)</f>
        <v>Vila Industrial</v>
      </c>
      <c r="G272" s="8" t="str">
        <f>VLOOKUP($C272,tab_Agências[],5,FALSE)</f>
        <v>18705-851</v>
      </c>
      <c r="H272" s="8" t="str">
        <f>VLOOKUP($C272,tab_Agências[],6,FALSE)</f>
        <v>Avaré</v>
      </c>
      <c r="I272" s="8" t="str">
        <f>VLOOKUP($C272,tab_Agências[],7,FALSE)</f>
        <v>Avenida Governador Mário Covas, 525 - Vila Industrial, Avaré, 18705-851</v>
      </c>
      <c r="J272" s="8" t="str">
        <f>VLOOKUP($C272,tab_Agências[],8,FALSE)</f>
        <v>(14) 3732-4900</v>
      </c>
      <c r="K272" s="8" t="str">
        <f>VLOOKUP($C272,tab_Agências[],9,FALSE)</f>
        <v xml:space="preserve"> </v>
      </c>
      <c r="L272" s="8" t="str">
        <f>VLOOKUP($C272,tab_Agências[],10,FALSE)</f>
        <v>avare@cetesbnet.sp.gov.br</v>
      </c>
    </row>
    <row r="273" spans="1:12" x14ac:dyDescent="0.25">
      <c r="A273" s="8">
        <v>3523602</v>
      </c>
      <c r="B273" s="8" t="s">
        <v>1211</v>
      </c>
      <c r="C273" s="9">
        <v>34</v>
      </c>
      <c r="D273" s="10" t="str">
        <f>VLOOKUP($C273,tab_Agências[],2,FALSE)</f>
        <v>Agência Ambiental de São Carlos</v>
      </c>
      <c r="E273" s="8" t="str">
        <f>VLOOKUP($C273,tab_Agências[],3,FALSE)</f>
        <v>Avenida das Azaléias, 700</v>
      </c>
      <c r="F273" s="8" t="str">
        <f>VLOOKUP($C273,tab_Agências[],4,FALSE)</f>
        <v>Cidade Jardim</v>
      </c>
      <c r="G273" s="8" t="str">
        <f>VLOOKUP($C273,tab_Agências[],5,FALSE)</f>
        <v>13566-500</v>
      </c>
      <c r="H273" s="8" t="str">
        <f>VLOOKUP($C273,tab_Agências[],6,FALSE)</f>
        <v>São Carlos</v>
      </c>
      <c r="I273" s="8" t="str">
        <f>VLOOKUP($C273,tab_Agências[],7,FALSE)</f>
        <v>Avenida das Azaléias, 700 - Cidade Jardim, São Carlos, 13566-500</v>
      </c>
      <c r="J273" s="8" t="str">
        <f>VLOOKUP($C273,tab_Agências[],8,FALSE)</f>
        <v>(16) 3361-2004</v>
      </c>
      <c r="K273" s="8" t="str">
        <f>VLOOKUP($C273,tab_Agências[],9,FALSE)</f>
        <v>(16) 3361-2004</v>
      </c>
      <c r="L273" s="8" t="str">
        <f>VLOOKUP($C273,tab_Agências[],10,FALSE)</f>
        <v>saocarlos@cetesbnet.sp.gov.br</v>
      </c>
    </row>
    <row r="274" spans="1:12" x14ac:dyDescent="0.25">
      <c r="A274" s="8">
        <v>3523701</v>
      </c>
      <c r="B274" s="8" t="s">
        <v>1212</v>
      </c>
      <c r="C274" s="9">
        <v>15</v>
      </c>
      <c r="D274" s="10" t="str">
        <f>VLOOKUP($C274,tab_Agências[],2,FALSE)</f>
        <v>Agência Ambiental de Franca</v>
      </c>
      <c r="E274" s="8" t="str">
        <f>VLOOKUP($C274,tab_Agências[],3,FALSE)</f>
        <v>Avenida Dr. Flávio Rocha, 4551</v>
      </c>
      <c r="F274" s="8" t="str">
        <f>VLOOKUP($C274,tab_Agências[],4,FALSE)</f>
        <v>Parque dos Pinhais</v>
      </c>
      <c r="G274" s="8" t="str">
        <f>VLOOKUP($C274,tab_Agências[],5,FALSE)</f>
        <v>14405-600</v>
      </c>
      <c r="H274" s="8" t="str">
        <f>VLOOKUP($C274,tab_Agências[],6,FALSE)</f>
        <v>Franca</v>
      </c>
      <c r="I274" s="8" t="str">
        <f>VLOOKUP($C274,tab_Agências[],7,FALSE)</f>
        <v>Avenida Dr. Flávio Rocha, 4551 - Parque dos Pinhais, Franca, 14405-600</v>
      </c>
      <c r="J274" s="8" t="str">
        <f>VLOOKUP($C274,tab_Agências[],8,FALSE)</f>
        <v>(16) 3724-5922</v>
      </c>
      <c r="K274" s="8" t="str">
        <f>VLOOKUP($C274,tab_Agências[],9,FALSE)</f>
        <v>(16) 3724-5922</v>
      </c>
      <c r="L274" s="8" t="str">
        <f>VLOOKUP($C274,tab_Agências[],10,FALSE)</f>
        <v>franca@cetesbnet.sp.gov.br</v>
      </c>
    </row>
    <row r="275" spans="1:12" x14ac:dyDescent="0.25">
      <c r="A275" s="8">
        <v>3523800</v>
      </c>
      <c r="B275" s="8" t="s">
        <v>1213</v>
      </c>
      <c r="C275" s="9">
        <v>35</v>
      </c>
      <c r="D275" s="10" t="str">
        <f>VLOOKUP($C275,tab_Agências[],2,FALSE)</f>
        <v>Agência Ambiental de São João da Boa Vista</v>
      </c>
      <c r="E275" s="8" t="str">
        <f>VLOOKUP($C275,tab_Agências[],3,FALSE)</f>
        <v>Rua Marechal Deodoro, 345</v>
      </c>
      <c r="F275" s="8" t="str">
        <f>VLOOKUP($C275,tab_Agências[],4,FALSE)</f>
        <v>Centro</v>
      </c>
      <c r="G275" s="8" t="str">
        <f>VLOOKUP($C275,tab_Agências[],5,FALSE)</f>
        <v>13870-223</v>
      </c>
      <c r="H275" s="8" t="str">
        <f>VLOOKUP($C275,tab_Agências[],6,FALSE)</f>
        <v>São João da Boa Vista</v>
      </c>
      <c r="I275" s="8" t="str">
        <f>VLOOKUP($C275,tab_Agências[],7,FALSE)</f>
        <v>Rua Marechal Deodoro, 345 - Centro, São João da Boa Vista, 13870-223</v>
      </c>
      <c r="J275" s="8" t="str">
        <f>VLOOKUP($C275,tab_Agências[],8,FALSE)</f>
        <v>(19) 3633-1510</v>
      </c>
      <c r="K275" s="8" t="str">
        <f>VLOOKUP($C275,tab_Agências[],9,FALSE)</f>
        <v>(19) 3633-1510</v>
      </c>
      <c r="L275" s="8" t="str">
        <f>VLOOKUP($C275,tab_Agências[],10,FALSE)</f>
        <v>sjboavista@cetesbnet.sp.gov.br</v>
      </c>
    </row>
    <row r="276" spans="1:12" x14ac:dyDescent="0.25">
      <c r="A276" s="8">
        <v>3523909</v>
      </c>
      <c r="B276" s="8" t="s">
        <v>1214</v>
      </c>
      <c r="C276" s="9">
        <v>18</v>
      </c>
      <c r="D276" s="10" t="str">
        <f>VLOOKUP($C276,tab_Agências[],2,FALSE)</f>
        <v>Agência Ambiental de Itu</v>
      </c>
      <c r="E276" s="8" t="str">
        <f>VLOOKUP($C276,tab_Agências[],3,FALSE)</f>
        <v>Rua Santa Rita, 1165</v>
      </c>
      <c r="F276" s="8" t="str">
        <f>VLOOKUP($C276,tab_Agências[],4,FALSE)</f>
        <v>Centro</v>
      </c>
      <c r="G276" s="8" t="str">
        <f>VLOOKUP($C276,tab_Agências[],5,FALSE)</f>
        <v>13300-065</v>
      </c>
      <c r="H276" s="8" t="str">
        <f>VLOOKUP($C276,tab_Agências[],6,FALSE)</f>
        <v>Itu</v>
      </c>
      <c r="I276" s="8" t="str">
        <f>VLOOKUP($C276,tab_Agências[],7,FALSE)</f>
        <v>Rua Santa Rita, 1165 - Centro, Itu, 13300-065</v>
      </c>
      <c r="J276" s="8" t="str">
        <f>VLOOKUP($C276,tab_Agências[],8,FALSE)</f>
        <v>(11) 4013-3419</v>
      </c>
      <c r="K276" s="8" t="str">
        <f>VLOOKUP($C276,tab_Agências[],9,FALSE)</f>
        <v>(11) 4013-3419</v>
      </c>
      <c r="L276" s="8" t="str">
        <f>VLOOKUP($C276,tab_Agências[],10,FALSE)</f>
        <v>itu@cetesbnet.sp.gov.br</v>
      </c>
    </row>
    <row r="277" spans="1:12" x14ac:dyDescent="0.25">
      <c r="A277" s="8">
        <v>3524006</v>
      </c>
      <c r="B277" s="8" t="s">
        <v>1215</v>
      </c>
      <c r="C277" s="9">
        <v>21</v>
      </c>
      <c r="D277" s="10" t="str">
        <f>VLOOKUP($C277,tab_Agências[],2,FALSE)</f>
        <v>Agência Ambiental de Jundiaí</v>
      </c>
      <c r="E277" s="8" t="str">
        <f>VLOOKUP($C277,tab_Agências[],3,FALSE)</f>
        <v>Rua João Ferrara, 555</v>
      </c>
      <c r="F277" s="8" t="str">
        <f>VLOOKUP($C277,tab_Agências[],4,FALSE)</f>
        <v>Jardim Pitangueiras II</v>
      </c>
      <c r="G277" s="8" t="str">
        <f>VLOOKUP($C277,tab_Agências[],5,FALSE)</f>
        <v>13206-714</v>
      </c>
      <c r="H277" s="8" t="str">
        <f>VLOOKUP($C277,tab_Agências[],6,FALSE)</f>
        <v>Jundiaí</v>
      </c>
      <c r="I277" s="8" t="str">
        <f>VLOOKUP($C277,tab_Agências[],7,FALSE)</f>
        <v>Rua João Ferrara, 555 - Jardim Pitangueiras II, Jundiaí, 13206-714</v>
      </c>
      <c r="J277" s="8" t="str">
        <f>VLOOKUP($C277,tab_Agências[],8,FALSE)</f>
        <v>(11) 4817-1898</v>
      </c>
      <c r="K277" s="8" t="str">
        <f>VLOOKUP($C277,tab_Agências[],9,FALSE)</f>
        <v>(11) 4587-3597</v>
      </c>
      <c r="L277" s="8" t="str">
        <f>VLOOKUP($C277,tab_Agências[],10,FALSE)</f>
        <v>jundiai@cetesbnet.sp.gov.br</v>
      </c>
    </row>
    <row r="278" spans="1:12" x14ac:dyDescent="0.25">
      <c r="A278" s="8">
        <v>3524105</v>
      </c>
      <c r="B278" s="8" t="s">
        <v>1216</v>
      </c>
      <c r="C278" s="9">
        <v>15</v>
      </c>
      <c r="D278" s="10" t="str">
        <f>VLOOKUP($C278,tab_Agências[],2,FALSE)</f>
        <v>Agência Ambiental de Franca</v>
      </c>
      <c r="E278" s="8" t="str">
        <f>VLOOKUP($C278,tab_Agências[],3,FALSE)</f>
        <v>Avenida Dr. Flávio Rocha, 4551</v>
      </c>
      <c r="F278" s="8" t="str">
        <f>VLOOKUP($C278,tab_Agências[],4,FALSE)</f>
        <v>Parque dos Pinhais</v>
      </c>
      <c r="G278" s="8" t="str">
        <f>VLOOKUP($C278,tab_Agências[],5,FALSE)</f>
        <v>14405-600</v>
      </c>
      <c r="H278" s="8" t="str">
        <f>VLOOKUP($C278,tab_Agências[],6,FALSE)</f>
        <v>Franca</v>
      </c>
      <c r="I278" s="8" t="str">
        <f>VLOOKUP($C278,tab_Agências[],7,FALSE)</f>
        <v>Avenida Dr. Flávio Rocha, 4551 - Parque dos Pinhais, Franca, 14405-600</v>
      </c>
      <c r="J278" s="8" t="str">
        <f>VLOOKUP($C278,tab_Agências[],8,FALSE)</f>
        <v>(16) 3724-5922</v>
      </c>
      <c r="K278" s="8" t="str">
        <f>VLOOKUP($C278,tab_Agências[],9,FALSE)</f>
        <v>(16) 3724-5922</v>
      </c>
      <c r="L278" s="8" t="str">
        <f>VLOOKUP($C278,tab_Agências[],10,FALSE)</f>
        <v>franca@cetesbnet.sp.gov.br</v>
      </c>
    </row>
    <row r="279" spans="1:12" x14ac:dyDescent="0.25">
      <c r="A279" s="8">
        <v>3524204</v>
      </c>
      <c r="B279" s="8" t="s">
        <v>1217</v>
      </c>
      <c r="C279" s="9">
        <v>7</v>
      </c>
      <c r="D279" s="10" t="str">
        <f>VLOOKUP($C279,tab_Agências[],2,FALSE)</f>
        <v>Agência Ambiental de Barretos</v>
      </c>
      <c r="E279" s="8" t="str">
        <f>VLOOKUP($C279,tab_Agências[],3,FALSE)</f>
        <v>Rua Bolívia, 2255</v>
      </c>
      <c r="F279" s="8" t="str">
        <f>VLOOKUP($C279,tab_Agências[],4,FALSE)</f>
        <v>América</v>
      </c>
      <c r="G279" s="8" t="str">
        <f>VLOOKUP($C279,tab_Agências[],5,FALSE)</f>
        <v>14783-197</v>
      </c>
      <c r="H279" s="8" t="str">
        <f>VLOOKUP($C279,tab_Agências[],6,FALSE)</f>
        <v>Barretos</v>
      </c>
      <c r="I279" s="8" t="str">
        <f>VLOOKUP($C279,tab_Agências[],7,FALSE)</f>
        <v>Rua Bolívia, 2255 - América, Barretos, 14783-197</v>
      </c>
      <c r="J279" s="8" t="str">
        <f>VLOOKUP($C279,tab_Agências[],8,FALSE)</f>
        <v>(17) 3322-2655</v>
      </c>
      <c r="K279" s="8" t="str">
        <f>VLOOKUP($C279,tab_Agências[],9,FALSE)</f>
        <v>(17) 3322-2952</v>
      </c>
      <c r="L279" s="8" t="str">
        <f>VLOOKUP($C279,tab_Agências[],10,FALSE)</f>
        <v>barretos@cetesbnet.sp.gov.br</v>
      </c>
    </row>
    <row r="280" spans="1:12" x14ac:dyDescent="0.25">
      <c r="A280" s="8">
        <v>3524303</v>
      </c>
      <c r="B280" s="8" t="s">
        <v>1218</v>
      </c>
      <c r="C280" s="9">
        <v>19</v>
      </c>
      <c r="D280" s="10" t="str">
        <f>VLOOKUP($C280,tab_Agências[],2,FALSE)</f>
        <v>Agência Ambiental de Jaboticabal</v>
      </c>
      <c r="E280" s="8" t="str">
        <f>VLOOKUP($C280,tab_Agências[],3,FALSE)</f>
        <v>Avenida Angelo Morello, 60</v>
      </c>
      <c r="F280" s="8" t="str">
        <f>VLOOKUP($C280,tab_Agências[],4,FALSE)</f>
        <v>Jardim Santa Rosa</v>
      </c>
      <c r="G280" s="8" t="str">
        <f>VLOOKUP($C280,tab_Agências[],5,FALSE)</f>
        <v>14875-290</v>
      </c>
      <c r="H280" s="8" t="str">
        <f>VLOOKUP($C280,tab_Agências[],6,FALSE)</f>
        <v>Jaboticabal</v>
      </c>
      <c r="I280" s="8" t="str">
        <f>VLOOKUP($C280,tab_Agências[],7,FALSE)</f>
        <v>Avenida Angelo Morello, 60 - Jardim Santa Rosa, Jaboticabal, 14875-290</v>
      </c>
      <c r="J280" s="8" t="str">
        <f>VLOOKUP($C280,tab_Agências[],8,FALSE)</f>
        <v>(16) 3203-9400</v>
      </c>
      <c r="K280" s="8" t="str">
        <f>VLOOKUP($C280,tab_Agências[],9,FALSE)</f>
        <v>(16) 3203-9400</v>
      </c>
      <c r="L280" s="8" t="str">
        <f>VLOOKUP($C280,tab_Agências[],10,FALSE)</f>
        <v>jaboticabal@cetesbnet.sp.gov.br</v>
      </c>
    </row>
    <row r="281" spans="1:12" x14ac:dyDescent="0.25">
      <c r="A281" s="8">
        <v>3524402</v>
      </c>
      <c r="B281" s="8" t="s">
        <v>1219</v>
      </c>
      <c r="C281" s="9">
        <v>37</v>
      </c>
      <c r="D281" s="10" t="str">
        <f>VLOOKUP($C281,tab_Agências[],2,FALSE)</f>
        <v>Agência Ambiental de São José dos Campos</v>
      </c>
      <c r="E281" s="8" t="str">
        <f>VLOOKUP($C281,tab_Agências[],3,FALSE)</f>
        <v>Avenida Olivo Gomes, 100</v>
      </c>
      <c r="F281" s="8" t="str">
        <f>VLOOKUP($C281,tab_Agências[],4,FALSE)</f>
        <v>Parque da Cidade/Santana</v>
      </c>
      <c r="G281" s="8" t="str">
        <f>VLOOKUP($C281,tab_Agências[],5,FALSE)</f>
        <v>12211-115</v>
      </c>
      <c r="H281" s="8" t="str">
        <f>VLOOKUP($C281,tab_Agências[],6,FALSE)</f>
        <v>São José dos Campos</v>
      </c>
      <c r="I281" s="8" t="str">
        <f>VLOOKUP($C281,tab_Agências[],7,FALSE)</f>
        <v>Avenida Olivo Gomes, 100 - Parque da Cidade/Santana, São José dos Campos, 12211-115</v>
      </c>
      <c r="J281" s="8" t="str">
        <f>VLOOKUP($C281,tab_Agências[],8,FALSE)</f>
        <v>(12) 3911-9536</v>
      </c>
      <c r="K281" s="8" t="str">
        <f>VLOOKUP($C281,tab_Agências[],9,FALSE)</f>
        <v>(12) 3911-9536</v>
      </c>
      <c r="L281" s="8" t="str">
        <f>VLOOKUP($C281,tab_Agências[],10,FALSE)</f>
        <v>sjcampos@cetesbnet.sp.gov.br</v>
      </c>
    </row>
    <row r="282" spans="1:12" x14ac:dyDescent="0.25">
      <c r="A282" s="8">
        <v>3524501</v>
      </c>
      <c r="B282" s="8" t="s">
        <v>1220</v>
      </c>
      <c r="C282" s="9">
        <v>36</v>
      </c>
      <c r="D282" s="10" t="str">
        <f>VLOOKUP($C282,tab_Agências[],2,FALSE)</f>
        <v>Agência Ambiental de São José do Rio Preto</v>
      </c>
      <c r="E282" s="8" t="str">
        <f>VLOOKUP($C282,tab_Agências[],3,FALSE)</f>
        <v>Avenida Mário Andreazza,</v>
      </c>
      <c r="F282" s="8" t="str">
        <f>VLOOKUP($C282,tab_Agências[],4,FALSE)</f>
        <v>Jardim São Marcos</v>
      </c>
      <c r="G282" s="8" t="str">
        <f>VLOOKUP($C282,tab_Agências[],5,FALSE)</f>
        <v>15081-490</v>
      </c>
      <c r="H282" s="8" t="str">
        <f>VLOOKUP($C282,tab_Agências[],6,FALSE)</f>
        <v>São José do Rio Preto</v>
      </c>
      <c r="I282" s="8" t="str">
        <f>VLOOKUP($C282,tab_Agências[],7,FALSE)</f>
        <v>Avenida Mário Andreazza, - Jardim São Marcos, São José do Rio Preto, 15081-490</v>
      </c>
      <c r="J282" s="8" t="str">
        <f>VLOOKUP($C282,tab_Agências[],8,FALSE)</f>
        <v>(17) 3218-4300</v>
      </c>
      <c r="K282" s="8" t="str">
        <f>VLOOKUP($C282,tab_Agências[],9,FALSE)</f>
        <v>(17) 3218-4300</v>
      </c>
      <c r="L282" s="8" t="str">
        <f>VLOOKUP($C282,tab_Agências[],10,FALSE)</f>
        <v>riopreto@cetesbnet.sp.gov.br</v>
      </c>
    </row>
    <row r="283" spans="1:12" x14ac:dyDescent="0.25">
      <c r="A283" s="8">
        <v>3524600</v>
      </c>
      <c r="B283" s="8" t="s">
        <v>1221</v>
      </c>
      <c r="C283" s="9">
        <v>30</v>
      </c>
      <c r="D283" s="10" t="str">
        <f>VLOOKUP($C283,tab_Agências[],2,FALSE)</f>
        <v>Agência Ambiental de Registro</v>
      </c>
      <c r="E283" s="8" t="str">
        <f>VLOOKUP($C283,tab_Agências[],3,FALSE)</f>
        <v>Rua São Bento, 249</v>
      </c>
      <c r="F283" s="8" t="str">
        <f>VLOOKUP($C283,tab_Agências[],4,FALSE)</f>
        <v>Jardim São Nicolau</v>
      </c>
      <c r="G283" s="8" t="str">
        <f>VLOOKUP($C283,tab_Agências[],5,FALSE)</f>
        <v>11900-000</v>
      </c>
      <c r="H283" s="8" t="str">
        <f>VLOOKUP($C283,tab_Agências[],6,FALSE)</f>
        <v>Registro</v>
      </c>
      <c r="I283" s="8" t="str">
        <f>VLOOKUP($C283,tab_Agências[],7,FALSE)</f>
        <v>Rua São Bento, 249 - Jardim São Nicolau, Registro, 11900-000</v>
      </c>
      <c r="J283" s="8" t="str">
        <f>VLOOKUP($C283,tab_Agências[],8,FALSE)</f>
        <v>(13) 3822-3855</v>
      </c>
      <c r="K283" s="8" t="str">
        <f>VLOOKUP($C283,tab_Agências[],9,FALSE)</f>
        <v>(13) 3822-4437</v>
      </c>
      <c r="L283" s="8" t="str">
        <f>VLOOKUP($C283,tab_Agências[],10,FALSE)</f>
        <v>registro@cetesbnet.sp.gov.br</v>
      </c>
    </row>
    <row r="284" spans="1:12" x14ac:dyDescent="0.25">
      <c r="A284" s="8">
        <v>3524709</v>
      </c>
      <c r="B284" s="8" t="s">
        <v>1222</v>
      </c>
      <c r="C284" s="9">
        <v>27</v>
      </c>
      <c r="D284" s="10" t="str">
        <f>VLOOKUP($C284,tab_Agências[],2,FALSE)</f>
        <v>Agência Ambiental de Paulínia</v>
      </c>
      <c r="E284" s="8" t="str">
        <f>VLOOKUP($C284,tab_Agências[],3,FALSE)</f>
        <v>Rua Angelo Varandas, 550</v>
      </c>
      <c r="F284" s="8" t="str">
        <f>VLOOKUP($C284,tab_Agências[],4,FALSE)</f>
        <v>Jardim Santa Terezinha</v>
      </c>
      <c r="G284" s="8" t="str">
        <f>VLOOKUP($C284,tab_Agências[],5,FALSE)</f>
        <v>13140-802</v>
      </c>
      <c r="H284" s="8" t="str">
        <f>VLOOKUP($C284,tab_Agências[],6,FALSE)</f>
        <v>Paulínia</v>
      </c>
      <c r="I284" s="8" t="str">
        <f>VLOOKUP($C284,tab_Agências[],7,FALSE)</f>
        <v>Rua Angelo Varandas, 550 - Jardim Santa Terezinha, Paulínia, 13140-802</v>
      </c>
      <c r="J284" s="8" t="str">
        <f>VLOOKUP($C284,tab_Agências[],8,FALSE)</f>
        <v>(19) 3844-0466</v>
      </c>
      <c r="K284" s="8" t="str">
        <f>VLOOKUP($C284,tab_Agências[],9,FALSE)</f>
        <v>(19) 3844-0466</v>
      </c>
      <c r="L284" s="8" t="str">
        <f>VLOOKUP($C284,tab_Agências[],10,FALSE)</f>
        <v>paulinia@cetesbnet.sp.gov.br</v>
      </c>
    </row>
    <row r="285" spans="1:12" x14ac:dyDescent="0.25">
      <c r="A285" s="8">
        <v>3524808</v>
      </c>
      <c r="B285" s="8" t="s">
        <v>1223</v>
      </c>
      <c r="C285" s="9">
        <v>20</v>
      </c>
      <c r="D285" s="10" t="str">
        <f>VLOOKUP($C285,tab_Agências[],2,FALSE)</f>
        <v>Agência Ambiental de Jales</v>
      </c>
      <c r="E285" s="8" t="str">
        <f>VLOOKUP($C285,tab_Agências[],3,FALSE)</f>
        <v>Rua Nova Iorque, 1016</v>
      </c>
      <c r="F285" s="8" t="str">
        <f>VLOOKUP($C285,tab_Agências[],4,FALSE)</f>
        <v>Jardim Monte Rrey</v>
      </c>
      <c r="G285" s="8" t="str">
        <f>VLOOKUP($C285,tab_Agências[],5,FALSE)</f>
        <v>15703-326</v>
      </c>
      <c r="H285" s="8" t="str">
        <f>VLOOKUP($C285,tab_Agências[],6,FALSE)</f>
        <v>Jales</v>
      </c>
      <c r="I285" s="8" t="str">
        <f>VLOOKUP($C285,tab_Agências[],7,FALSE)</f>
        <v>Rua Nova Iorque, 1016 - Jardim Monte Rrey, Jales, 15703-326</v>
      </c>
      <c r="J285" s="8" t="str">
        <f>VLOOKUP($C285,tab_Agências[],8,FALSE)</f>
        <v>(17) 3621-1042</v>
      </c>
      <c r="K285" s="8" t="str">
        <f>VLOOKUP($C285,tab_Agências[],9,FALSE)</f>
        <v>(17) 3621-1042</v>
      </c>
      <c r="L285" s="8" t="str">
        <f>VLOOKUP($C285,tab_Agências[],10,FALSE)</f>
        <v>jales@cetesbnet.sp.gov.br</v>
      </c>
    </row>
    <row r="286" spans="1:12" x14ac:dyDescent="0.25">
      <c r="A286" s="8">
        <v>3524907</v>
      </c>
      <c r="B286" s="8" t="s">
        <v>1224</v>
      </c>
      <c r="C286" s="9">
        <v>37</v>
      </c>
      <c r="D286" s="10" t="str">
        <f>VLOOKUP($C286,tab_Agências[],2,FALSE)</f>
        <v>Agência Ambiental de São José dos Campos</v>
      </c>
      <c r="E286" s="8" t="str">
        <f>VLOOKUP($C286,tab_Agências[],3,FALSE)</f>
        <v>Avenida Olivo Gomes, 100</v>
      </c>
      <c r="F286" s="8" t="str">
        <f>VLOOKUP($C286,tab_Agências[],4,FALSE)</f>
        <v>Parque da Cidade/Santana</v>
      </c>
      <c r="G286" s="8" t="str">
        <f>VLOOKUP($C286,tab_Agências[],5,FALSE)</f>
        <v>12211-115</v>
      </c>
      <c r="H286" s="8" t="str">
        <f>VLOOKUP($C286,tab_Agências[],6,FALSE)</f>
        <v>São José dos Campos</v>
      </c>
      <c r="I286" s="8" t="str">
        <f>VLOOKUP($C286,tab_Agências[],7,FALSE)</f>
        <v>Avenida Olivo Gomes, 100 - Parque da Cidade/Santana, São José dos Campos, 12211-115</v>
      </c>
      <c r="J286" s="8" t="str">
        <f>VLOOKUP($C286,tab_Agências[],8,FALSE)</f>
        <v>(12) 3911-9536</v>
      </c>
      <c r="K286" s="8" t="str">
        <f>VLOOKUP($C286,tab_Agências[],9,FALSE)</f>
        <v>(12) 3911-9536</v>
      </c>
      <c r="L286" s="8" t="str">
        <f>VLOOKUP($C286,tab_Agências[],10,FALSE)</f>
        <v>sjcampos@cetesbnet.sp.gov.br</v>
      </c>
    </row>
    <row r="287" spans="1:12" x14ac:dyDescent="0.25">
      <c r="A287" s="8">
        <v>3525003</v>
      </c>
      <c r="B287" s="8" t="s">
        <v>1225</v>
      </c>
      <c r="C287" s="9">
        <v>26</v>
      </c>
      <c r="D287" s="10" t="str">
        <f>VLOOKUP($C287,tab_Agências[],2,FALSE)</f>
        <v>Agência Ambiental de Osasco</v>
      </c>
      <c r="E287" s="8" t="str">
        <f>VLOOKUP($C287,tab_Agências[],3,FALSE)</f>
        <v>Rua Anete Queiroz Lacerda, 80</v>
      </c>
      <c r="F287" s="8" t="str">
        <f>VLOOKUP($C287,tab_Agências[],4,FALSE)</f>
        <v>Butantã</v>
      </c>
      <c r="G287" s="8" t="str">
        <f>VLOOKUP($C287,tab_Agências[],5,FALSE)</f>
        <v>05591-080</v>
      </c>
      <c r="H287" s="8" t="str">
        <f>VLOOKUP($C287,tab_Agências[],6,FALSE)</f>
        <v>São Paulo</v>
      </c>
      <c r="I287" s="8" t="str">
        <f>VLOOKUP($C287,tab_Agências[],7,FALSE)</f>
        <v>Rua Anete Queiroz Lacerda, 80 - Butantã, São Paulo, 05591-080</v>
      </c>
      <c r="J287" s="8" t="str">
        <f>VLOOKUP($C287,tab_Agências[],8,FALSE)</f>
        <v>(11) 3721-9600</v>
      </c>
      <c r="K287" s="8" t="str">
        <f>VLOOKUP($C287,tab_Agências[],9,FALSE)</f>
        <v>(11) 3721-9600</v>
      </c>
      <c r="L287" s="8" t="str">
        <f>VLOOKUP($C287,tab_Agências[],10,FALSE)</f>
        <v>osasco@cetesbnet.sp.gov.br</v>
      </c>
    </row>
    <row r="288" spans="1:12" x14ac:dyDescent="0.25">
      <c r="A288" s="8">
        <v>3525102</v>
      </c>
      <c r="B288" s="8" t="s">
        <v>1226</v>
      </c>
      <c r="C288" s="9">
        <v>31</v>
      </c>
      <c r="D288" s="10" t="str">
        <f>VLOOKUP($C288,tab_Agências[],2,FALSE)</f>
        <v>Agência Ambiental de Ribeirão Preto</v>
      </c>
      <c r="E288" s="8" t="str">
        <f>VLOOKUP($C288,tab_Agências[],3,FALSE)</f>
        <v>Avenida Presidente Kennedy, 1760</v>
      </c>
      <c r="F288" s="8" t="str">
        <f>VLOOKUP($C288,tab_Agências[],4,FALSE)</f>
        <v>Ribeirânia</v>
      </c>
      <c r="G288" s="8" t="str">
        <f>VLOOKUP($C288,tab_Agências[],5,FALSE)</f>
        <v>14096-350</v>
      </c>
      <c r="H288" s="8" t="str">
        <f>VLOOKUP($C288,tab_Agências[],6,FALSE)</f>
        <v>Ribeirão Preto</v>
      </c>
      <c r="I288" s="8" t="str">
        <f>VLOOKUP($C288,tab_Agências[],7,FALSE)</f>
        <v>Avenida Presidente Kennedy, 1760 - Ribeirânia, Ribeirão Preto, 14096-350</v>
      </c>
      <c r="J288" s="8" t="str">
        <f>VLOOKUP($C288,tab_Agências[],8,FALSE)</f>
        <v>(16) 3617-4700</v>
      </c>
      <c r="K288" s="8" t="str">
        <f>VLOOKUP($C288,tab_Agências[],9,FALSE)</f>
        <v>(16) 3617-4207</v>
      </c>
      <c r="L288" s="8" t="str">
        <f>VLOOKUP($C288,tab_Agências[],10,FALSE)</f>
        <v>ribeirao@cetesbnet.sp.gov.br</v>
      </c>
    </row>
    <row r="289" spans="1:12" x14ac:dyDescent="0.25">
      <c r="A289" s="8">
        <v>3525201</v>
      </c>
      <c r="B289" s="8" t="s">
        <v>1227</v>
      </c>
      <c r="C289" s="9">
        <v>21</v>
      </c>
      <c r="D289" s="10" t="str">
        <f>VLOOKUP($C289,tab_Agências[],2,FALSE)</f>
        <v>Agência Ambiental de Jundiaí</v>
      </c>
      <c r="E289" s="8" t="str">
        <f>VLOOKUP($C289,tab_Agências[],3,FALSE)</f>
        <v>Rua João Ferrara, 555</v>
      </c>
      <c r="F289" s="8" t="str">
        <f>VLOOKUP($C289,tab_Agências[],4,FALSE)</f>
        <v>Jardim Pitangueiras II</v>
      </c>
      <c r="G289" s="8" t="str">
        <f>VLOOKUP($C289,tab_Agências[],5,FALSE)</f>
        <v>13206-714</v>
      </c>
      <c r="H289" s="8" t="str">
        <f>VLOOKUP($C289,tab_Agências[],6,FALSE)</f>
        <v>Jundiaí</v>
      </c>
      <c r="I289" s="8" t="str">
        <f>VLOOKUP($C289,tab_Agências[],7,FALSE)</f>
        <v>Rua João Ferrara, 555 - Jardim Pitangueiras II, Jundiaí, 13206-714</v>
      </c>
      <c r="J289" s="8" t="str">
        <f>VLOOKUP($C289,tab_Agências[],8,FALSE)</f>
        <v>(11) 4817-1898</v>
      </c>
      <c r="K289" s="8" t="str">
        <f>VLOOKUP($C289,tab_Agências[],9,FALSE)</f>
        <v>(11) 4587-3597</v>
      </c>
      <c r="L289" s="8" t="str">
        <f>VLOOKUP($C289,tab_Agências[],10,FALSE)</f>
        <v>jundiai@cetesbnet.sp.gov.br</v>
      </c>
    </row>
    <row r="290" spans="1:12" x14ac:dyDescent="0.25">
      <c r="A290" s="8">
        <v>3525300</v>
      </c>
      <c r="B290" s="8" t="s">
        <v>1228</v>
      </c>
      <c r="C290" s="9">
        <v>8</v>
      </c>
      <c r="D290" s="10" t="str">
        <f>VLOOKUP($C290,tab_Agências[],2,FALSE)</f>
        <v>Agência Ambiental de Bauru</v>
      </c>
      <c r="E290" s="8" t="str">
        <f>VLOOKUP($C290,tab_Agências[],3,FALSE)</f>
        <v>Avenida Rodrigues Alves, 138</v>
      </c>
      <c r="F290" s="8" t="str">
        <f>VLOOKUP($C290,tab_Agências[],4,FALSE)</f>
        <v>Vila Coralina</v>
      </c>
      <c r="G290" s="8" t="str">
        <f>VLOOKUP($C290,tab_Agências[],5,FALSE)</f>
        <v>17030-000</v>
      </c>
      <c r="H290" s="8" t="str">
        <f>VLOOKUP($C290,tab_Agências[],6,FALSE)</f>
        <v>Bauru</v>
      </c>
      <c r="I290" s="8" t="str">
        <f>VLOOKUP($C290,tab_Agências[],7,FALSE)</f>
        <v>Avenida Rodrigues Alves, 138 - Vila Coralina, Bauru, 17030-000</v>
      </c>
      <c r="J290" s="8" t="str">
        <f>VLOOKUP($C290,tab_Agências[],8,FALSE)</f>
        <v>(14) 3203-2058</v>
      </c>
      <c r="K290" s="8" t="str">
        <f>VLOOKUP($C290,tab_Agências[],9,FALSE)</f>
        <v>(14) 3203-2344</v>
      </c>
      <c r="L290" s="8" t="str">
        <f>VLOOKUP($C290,tab_Agências[],10,FALSE)</f>
        <v>bauru@cetesbnet.sp.gov.br</v>
      </c>
    </row>
    <row r="291" spans="1:12" x14ac:dyDescent="0.25">
      <c r="A291" s="8">
        <v>3525409</v>
      </c>
      <c r="B291" s="8" t="s">
        <v>1229</v>
      </c>
      <c r="C291" s="9">
        <v>15</v>
      </c>
      <c r="D291" s="10" t="str">
        <f>VLOOKUP($C291,tab_Agências[],2,FALSE)</f>
        <v>Agência Ambiental de Franca</v>
      </c>
      <c r="E291" s="8" t="str">
        <f>VLOOKUP($C291,tab_Agências[],3,FALSE)</f>
        <v>Avenida Dr. Flávio Rocha, 4551</v>
      </c>
      <c r="F291" s="8" t="str">
        <f>VLOOKUP($C291,tab_Agências[],4,FALSE)</f>
        <v>Parque dos Pinhais</v>
      </c>
      <c r="G291" s="8" t="str">
        <f>VLOOKUP($C291,tab_Agências[],5,FALSE)</f>
        <v>14405-600</v>
      </c>
      <c r="H291" s="8" t="str">
        <f>VLOOKUP($C291,tab_Agências[],6,FALSE)</f>
        <v>Franca</v>
      </c>
      <c r="I291" s="8" t="str">
        <f>VLOOKUP($C291,tab_Agências[],7,FALSE)</f>
        <v>Avenida Dr. Flávio Rocha, 4551 - Parque dos Pinhais, Franca, 14405-600</v>
      </c>
      <c r="J291" s="8" t="str">
        <f>VLOOKUP($C291,tab_Agências[],8,FALSE)</f>
        <v>(16) 3724-5922</v>
      </c>
      <c r="K291" s="8" t="str">
        <f>VLOOKUP($C291,tab_Agências[],9,FALSE)</f>
        <v>(16) 3724-5922</v>
      </c>
      <c r="L291" s="8" t="str">
        <f>VLOOKUP($C291,tab_Agências[],10,FALSE)</f>
        <v>franca@cetesbnet.sp.gov.br</v>
      </c>
    </row>
    <row r="292" spans="1:12" x14ac:dyDescent="0.25">
      <c r="A292" s="8">
        <v>3525508</v>
      </c>
      <c r="B292" s="8" t="s">
        <v>1230</v>
      </c>
      <c r="C292" s="9">
        <v>5</v>
      </c>
      <c r="D292" s="10" t="str">
        <f>VLOOKUP($C292,tab_Agências[],2,FALSE)</f>
        <v>Agência Ambiental de Atibaia</v>
      </c>
      <c r="E292" s="8" t="str">
        <f>VLOOKUP($C292,tab_Agências[],3,FALSE)</f>
        <v>Avenida Nove de Julho, 266</v>
      </c>
      <c r="F292" s="8" t="str">
        <f>VLOOKUP($C292,tab_Agências[],4,FALSE)</f>
        <v>Centro</v>
      </c>
      <c r="G292" s="8" t="str">
        <f>VLOOKUP($C292,tab_Agências[],5,FALSE)</f>
        <v>12940-580</v>
      </c>
      <c r="H292" s="8" t="str">
        <f>VLOOKUP($C292,tab_Agências[],6,FALSE)</f>
        <v>Atibaia</v>
      </c>
      <c r="I292" s="8" t="str">
        <f>VLOOKUP($C292,tab_Agências[],7,FALSE)</f>
        <v>Avenida Nove de Julho, 266 - Centro, Atibaia, 12940-580</v>
      </c>
      <c r="J292" s="8" t="str">
        <f>VLOOKUP($C292,tab_Agências[],8,FALSE)</f>
        <v>(11) 4411-0662</v>
      </c>
      <c r="K292" s="8" t="str">
        <f>VLOOKUP($C292,tab_Agências[],9,FALSE)</f>
        <v>(11) 4411-0662</v>
      </c>
      <c r="L292" s="8" t="str">
        <f>VLOOKUP($C292,tab_Agências[],10,FALSE)</f>
        <v>atibaia@cetesbnet.sp.gov.br</v>
      </c>
    </row>
    <row r="293" spans="1:12" x14ac:dyDescent="0.25">
      <c r="A293" s="8">
        <v>3525607</v>
      </c>
      <c r="B293" s="8" t="s">
        <v>1231</v>
      </c>
      <c r="C293" s="9">
        <v>4</v>
      </c>
      <c r="D293" s="10" t="str">
        <f>VLOOKUP($C293,tab_Agências[],2,FALSE)</f>
        <v>Agência Ambiental de Assis</v>
      </c>
      <c r="E293" s="8" t="str">
        <f>VLOOKUP($C293,tab_Agências[],3,FALSE)</f>
        <v>Via Chico Mendes, 75</v>
      </c>
      <c r="F293" s="8" t="str">
        <f>VLOOKUP($C293,tab_Agências[],4,FALSE)</f>
        <v>Quinta dos Flamboyants</v>
      </c>
      <c r="G293" s="8" t="str">
        <f>VLOOKUP($C293,tab_Agências[],5,FALSE)</f>
        <v>19810-005</v>
      </c>
      <c r="H293" s="8" t="str">
        <f>VLOOKUP($C293,tab_Agências[],6,FALSE)</f>
        <v>Assis</v>
      </c>
      <c r="I293" s="8" t="str">
        <f>VLOOKUP($C293,tab_Agências[],7,FALSE)</f>
        <v>Via Chico Mendes, 75 - Quinta dos Flamboyants, Assis, 19810-005</v>
      </c>
      <c r="J293" s="8" t="str">
        <f>VLOOKUP($C293,tab_Agências[],8,FALSE)</f>
        <v>(18) 3324-4177</v>
      </c>
      <c r="K293" s="8" t="str">
        <f>VLOOKUP($C293,tab_Agências[],9,FALSE)</f>
        <v>(18) 3324-4177</v>
      </c>
      <c r="L293" s="8" t="str">
        <f>VLOOKUP($C293,tab_Agências[],10,FALSE)</f>
        <v>assis@cetesbnet.sp.gov.br</v>
      </c>
    </row>
    <row r="294" spans="1:12" x14ac:dyDescent="0.25">
      <c r="A294" s="8">
        <v>3525706</v>
      </c>
      <c r="B294" s="8" t="s">
        <v>1232</v>
      </c>
      <c r="C294" s="9">
        <v>36</v>
      </c>
      <c r="D294" s="10" t="str">
        <f>VLOOKUP($C294,tab_Agências[],2,FALSE)</f>
        <v>Agência Ambiental de São José do Rio Preto</v>
      </c>
      <c r="E294" s="8" t="str">
        <f>VLOOKUP($C294,tab_Agências[],3,FALSE)</f>
        <v>Avenida Mário Andreazza,</v>
      </c>
      <c r="F294" s="8" t="str">
        <f>VLOOKUP($C294,tab_Agências[],4,FALSE)</f>
        <v>Jardim São Marcos</v>
      </c>
      <c r="G294" s="8" t="str">
        <f>VLOOKUP($C294,tab_Agências[],5,FALSE)</f>
        <v>15081-490</v>
      </c>
      <c r="H294" s="8" t="str">
        <f>VLOOKUP($C294,tab_Agências[],6,FALSE)</f>
        <v>São José do Rio Preto</v>
      </c>
      <c r="I294" s="8" t="str">
        <f>VLOOKUP($C294,tab_Agências[],7,FALSE)</f>
        <v>Avenida Mário Andreazza, - Jardim São Marcos, São José do Rio Preto, 15081-490</v>
      </c>
      <c r="J294" s="8" t="str">
        <f>VLOOKUP($C294,tab_Agências[],8,FALSE)</f>
        <v>(17) 3218-4300</v>
      </c>
      <c r="K294" s="8" t="str">
        <f>VLOOKUP($C294,tab_Agências[],9,FALSE)</f>
        <v>(17) 3218-4300</v>
      </c>
      <c r="L294" s="8" t="str">
        <f>VLOOKUP($C294,tab_Agências[],10,FALSE)</f>
        <v>riopreto@cetesbnet.sp.gov.br</v>
      </c>
    </row>
    <row r="295" spans="1:12" x14ac:dyDescent="0.25">
      <c r="A295" s="8">
        <v>3525805</v>
      </c>
      <c r="B295" s="8" t="s">
        <v>1233</v>
      </c>
      <c r="C295" s="9">
        <v>23</v>
      </c>
      <c r="D295" s="10" t="str">
        <f>VLOOKUP($C295,tab_Agências[],2,FALSE)</f>
        <v>Agência Ambiental de Marília</v>
      </c>
      <c r="E295" s="8" t="str">
        <f>VLOOKUP($C295,tab_Agências[],3,FALSE)</f>
        <v>Rua Santa Helena, 436</v>
      </c>
      <c r="F295" s="8" t="str">
        <f>VLOOKUP($C295,tab_Agências[],4,FALSE)</f>
        <v>Jardim Alvorada</v>
      </c>
      <c r="G295" s="8" t="str">
        <f>VLOOKUP($C295,tab_Agências[],5,FALSE)</f>
        <v>17513-322</v>
      </c>
      <c r="H295" s="8" t="str">
        <f>VLOOKUP($C295,tab_Agências[],6,FALSE)</f>
        <v>Marília</v>
      </c>
      <c r="I295" s="8" t="str">
        <f>VLOOKUP($C295,tab_Agências[],7,FALSE)</f>
        <v>Rua Santa Helena, 436 - Jardim Alvorada, Marília, 17513-322</v>
      </c>
      <c r="J295" s="8" t="str">
        <f>VLOOKUP($C295,tab_Agências[],8,FALSE)</f>
        <v>(14) 3422-4666</v>
      </c>
      <c r="K295" s="8" t="str">
        <f>VLOOKUP($C295,tab_Agências[],9,FALSE)</f>
        <v>(14) 3422-4666</v>
      </c>
      <c r="L295" s="8" t="str">
        <f>VLOOKUP($C295,tab_Agências[],10,FALSE)</f>
        <v>marilia@cetesbnet.sp.gov.br</v>
      </c>
    </row>
    <row r="296" spans="1:12" x14ac:dyDescent="0.25">
      <c r="A296" s="8">
        <v>3525854</v>
      </c>
      <c r="B296" s="8" t="s">
        <v>1234</v>
      </c>
      <c r="C296" s="9">
        <v>18</v>
      </c>
      <c r="D296" s="10" t="str">
        <f>VLOOKUP($C296,tab_Agências[],2,FALSE)</f>
        <v>Agência Ambiental de Itu</v>
      </c>
      <c r="E296" s="8" t="str">
        <f>VLOOKUP($C296,tab_Agências[],3,FALSE)</f>
        <v>Rua Santa Rita, 1165</v>
      </c>
      <c r="F296" s="8" t="str">
        <f>VLOOKUP($C296,tab_Agências[],4,FALSE)</f>
        <v>Centro</v>
      </c>
      <c r="G296" s="8" t="str">
        <f>VLOOKUP($C296,tab_Agências[],5,FALSE)</f>
        <v>13300-065</v>
      </c>
      <c r="H296" s="8" t="str">
        <f>VLOOKUP($C296,tab_Agências[],6,FALSE)</f>
        <v>Itu</v>
      </c>
      <c r="I296" s="8" t="str">
        <f>VLOOKUP($C296,tab_Agências[],7,FALSE)</f>
        <v>Rua Santa Rita, 1165 - Centro, Itu, 13300-065</v>
      </c>
      <c r="J296" s="8" t="str">
        <f>VLOOKUP($C296,tab_Agências[],8,FALSE)</f>
        <v>(11) 4013-3419</v>
      </c>
      <c r="K296" s="8" t="str">
        <f>VLOOKUP($C296,tab_Agências[],9,FALSE)</f>
        <v>(11) 4013-3419</v>
      </c>
      <c r="L296" s="8" t="str">
        <f>VLOOKUP($C296,tab_Agências[],10,FALSE)</f>
        <v>itu@cetesbnet.sp.gov.br</v>
      </c>
    </row>
    <row r="297" spans="1:12" x14ac:dyDescent="0.25">
      <c r="A297" s="8">
        <v>3525904</v>
      </c>
      <c r="B297" s="8" t="s">
        <v>1235</v>
      </c>
      <c r="C297" s="9">
        <v>21</v>
      </c>
      <c r="D297" s="10" t="str">
        <f>VLOOKUP($C297,tab_Agências[],2,FALSE)</f>
        <v>Agência Ambiental de Jundiaí</v>
      </c>
      <c r="E297" s="8" t="str">
        <f>VLOOKUP($C297,tab_Agências[],3,FALSE)</f>
        <v>Rua João Ferrara, 555</v>
      </c>
      <c r="F297" s="8" t="str">
        <f>VLOOKUP($C297,tab_Agências[],4,FALSE)</f>
        <v>Jardim Pitangueiras II</v>
      </c>
      <c r="G297" s="8" t="str">
        <f>VLOOKUP($C297,tab_Agências[],5,FALSE)</f>
        <v>13206-714</v>
      </c>
      <c r="H297" s="8" t="str">
        <f>VLOOKUP($C297,tab_Agências[],6,FALSE)</f>
        <v>Jundiaí</v>
      </c>
      <c r="I297" s="8" t="str">
        <f>VLOOKUP($C297,tab_Agências[],7,FALSE)</f>
        <v>Rua João Ferrara, 555 - Jardim Pitangueiras II, Jundiaí, 13206-714</v>
      </c>
      <c r="J297" s="8" t="str">
        <f>VLOOKUP($C297,tab_Agências[],8,FALSE)</f>
        <v>(11) 4817-1898</v>
      </c>
      <c r="K297" s="8" t="str">
        <f>VLOOKUP($C297,tab_Agências[],9,FALSE)</f>
        <v>(11) 4587-3597</v>
      </c>
      <c r="L297" s="8" t="str">
        <f>VLOOKUP($C297,tab_Agências[],10,FALSE)</f>
        <v>jundiai@cetesbnet.sp.gov.br</v>
      </c>
    </row>
    <row r="298" spans="1:12" x14ac:dyDescent="0.25">
      <c r="A298" s="8">
        <v>3526001</v>
      </c>
      <c r="B298" s="8" t="s">
        <v>1236</v>
      </c>
      <c r="C298" s="9">
        <v>13</v>
      </c>
      <c r="D298" s="10" t="str">
        <f>VLOOKUP($C298,tab_Agências[],2,FALSE)</f>
        <v>Agência Ambiental de Dracena</v>
      </c>
      <c r="E298" s="8" t="str">
        <f>VLOOKUP($C298,tab_Agências[],3,FALSE)</f>
        <v>Rua Tomé de Souza, 438</v>
      </c>
      <c r="F298" s="8" t="str">
        <f>VLOOKUP($C298,tab_Agências[],4,FALSE)</f>
        <v>Centro</v>
      </c>
      <c r="G298" s="8" t="str">
        <f>VLOOKUP($C298,tab_Agências[],5,FALSE)</f>
        <v>17900-000</v>
      </c>
      <c r="H298" s="8" t="str">
        <f>VLOOKUP($C298,tab_Agências[],6,FALSE)</f>
        <v>Dracena</v>
      </c>
      <c r="I298" s="8" t="str">
        <f>VLOOKUP($C298,tab_Agências[],7,FALSE)</f>
        <v>Rua Tomé de Souza, 438 - Centro, Dracena, 17900-000</v>
      </c>
      <c r="J298" s="8" t="str">
        <f>VLOOKUP($C298,tab_Agências[],8,FALSE)</f>
        <v>(18) 3822-3166</v>
      </c>
      <c r="K298" s="8" t="str">
        <f>VLOOKUP($C298,tab_Agências[],9,FALSE)</f>
        <v>(18) 3822-3166</v>
      </c>
      <c r="L298" s="8" t="str">
        <f>VLOOKUP($C298,tab_Agências[],10,FALSE)</f>
        <v>dracena@cetesbnet.sp.gov.br</v>
      </c>
    </row>
    <row r="299" spans="1:12" x14ac:dyDescent="0.25">
      <c r="A299" s="8">
        <v>3526100</v>
      </c>
      <c r="B299" s="8" t="s">
        <v>1237</v>
      </c>
      <c r="C299" s="9">
        <v>30</v>
      </c>
      <c r="D299" s="10" t="str">
        <f>VLOOKUP($C299,tab_Agências[],2,FALSE)</f>
        <v>Agência Ambiental de Registro</v>
      </c>
      <c r="E299" s="8" t="str">
        <f>VLOOKUP($C299,tab_Agências[],3,FALSE)</f>
        <v>Rua São Bento, 249</v>
      </c>
      <c r="F299" s="8" t="str">
        <f>VLOOKUP($C299,tab_Agências[],4,FALSE)</f>
        <v>Jardim São Nicolau</v>
      </c>
      <c r="G299" s="8" t="str">
        <f>VLOOKUP($C299,tab_Agências[],5,FALSE)</f>
        <v>11900-000</v>
      </c>
      <c r="H299" s="8" t="str">
        <f>VLOOKUP($C299,tab_Agências[],6,FALSE)</f>
        <v>Registro</v>
      </c>
      <c r="I299" s="8" t="str">
        <f>VLOOKUP($C299,tab_Agências[],7,FALSE)</f>
        <v>Rua São Bento, 249 - Jardim São Nicolau, Registro, 11900-000</v>
      </c>
      <c r="J299" s="8" t="str">
        <f>VLOOKUP($C299,tab_Agências[],8,FALSE)</f>
        <v>(13) 3822-3855</v>
      </c>
      <c r="K299" s="8" t="str">
        <f>VLOOKUP($C299,tab_Agências[],9,FALSE)</f>
        <v>(13) 3822-4437</v>
      </c>
      <c r="L299" s="8" t="str">
        <f>VLOOKUP($C299,tab_Agências[],10,FALSE)</f>
        <v>registro@cetesbnet.sp.gov.br</v>
      </c>
    </row>
    <row r="300" spans="1:12" x14ac:dyDescent="0.25">
      <c r="A300" s="8">
        <v>3526209</v>
      </c>
      <c r="B300" s="8" t="s">
        <v>1238</v>
      </c>
      <c r="C300" s="9">
        <v>14</v>
      </c>
      <c r="D300" s="10" t="str">
        <f>VLOOKUP($C300,tab_Agências[],2,FALSE)</f>
        <v>Agência Ambiental de Embu das Artes</v>
      </c>
      <c r="E300" s="8" t="str">
        <f>VLOOKUP($C300,tab_Agências[],3,FALSE)</f>
        <v>Rua João Paulo I, 495</v>
      </c>
      <c r="F300" s="8" t="str">
        <f>VLOOKUP($C300,tab_Agências[],4,FALSE)</f>
        <v>Jardim São Luiz</v>
      </c>
      <c r="G300" s="8" t="str">
        <f>VLOOKUP($C300,tab_Agências[],5,FALSE)</f>
        <v>06816-550</v>
      </c>
      <c r="H300" s="8" t="str">
        <f>VLOOKUP($C300,tab_Agências[],6,FALSE)</f>
        <v>Embu das Artes</v>
      </c>
      <c r="I300" s="8" t="str">
        <f>VLOOKUP($C300,tab_Agências[],7,FALSE)</f>
        <v>Rua João Paulo I, 495 - Jardim São Luiz, Embu das Artes, 06816-550</v>
      </c>
      <c r="J300" s="8" t="str">
        <f>VLOOKUP($C300,tab_Agências[],8,FALSE)</f>
        <v>(11) 4704-8835</v>
      </c>
      <c r="K300" s="8" t="str">
        <f>VLOOKUP($C300,tab_Agências[],9,FALSE)</f>
        <v>(11) 4704-8835</v>
      </c>
      <c r="L300" s="8" t="str">
        <f>VLOOKUP($C300,tab_Agências[],10,FALSE)</f>
        <v>embu@cetesbnet.sp.gov.br</v>
      </c>
    </row>
    <row r="301" spans="1:12" x14ac:dyDescent="0.25">
      <c r="A301" s="8">
        <v>3526308</v>
      </c>
      <c r="B301" s="8" t="s">
        <v>1239</v>
      </c>
      <c r="C301" s="9">
        <v>40</v>
      </c>
      <c r="D301" s="10" t="str">
        <f>VLOOKUP($C301,tab_Agências[],2,FALSE)</f>
        <v>Agência Ambiental de Taubaté</v>
      </c>
      <c r="E301" s="8" t="str">
        <f>VLOOKUP($C301,tab_Agências[],3,FALSE)</f>
        <v>Avenida Itambé, 38</v>
      </c>
      <c r="F301" s="8" t="str">
        <f>VLOOKUP($C301,tab_Agências[],4,FALSE)</f>
        <v>Sta. Luzia</v>
      </c>
      <c r="G301" s="8" t="str">
        <f>VLOOKUP($C301,tab_Agências[],5,FALSE)</f>
        <v>12091-200</v>
      </c>
      <c r="H301" s="8" t="str">
        <f>VLOOKUP($C301,tab_Agências[],6,FALSE)</f>
        <v>Taubaté</v>
      </c>
      <c r="I301" s="8" t="str">
        <f>VLOOKUP($C301,tab_Agências[],7,FALSE)</f>
        <v>Avenida Itambé, 38 - Sta. Luzia, Taubaté, 12091-200</v>
      </c>
      <c r="J301" s="8" t="str">
        <f>VLOOKUP($C301,tab_Agências[],8,FALSE)</f>
        <v>(12) 3634-8222</v>
      </c>
      <c r="K301" s="8" t="str">
        <f>VLOOKUP($C301,tab_Agências[],9,FALSE)</f>
        <v>(12) 3634-8234</v>
      </c>
      <c r="L301" s="8" t="str">
        <f>VLOOKUP($C301,tab_Agências[],10,FALSE)</f>
        <v>taubate@cetesbnet.sp.gov.br</v>
      </c>
    </row>
    <row r="302" spans="1:12" x14ac:dyDescent="0.25">
      <c r="A302" s="8">
        <v>3526407</v>
      </c>
      <c r="B302" s="8" t="s">
        <v>1240</v>
      </c>
      <c r="C302" s="9">
        <v>9</v>
      </c>
      <c r="D302" s="10" t="str">
        <f>VLOOKUP($C302,tab_Agências[],2,FALSE)</f>
        <v>Agência Ambiental de Botucatu</v>
      </c>
      <c r="E302" s="8" t="str">
        <f>VLOOKUP($C302,tab_Agências[],3,FALSE)</f>
        <v>Rua João Morato da Conceição, 525</v>
      </c>
      <c r="F302" s="8" t="str">
        <f>VLOOKUP($C302,tab_Agências[],4,FALSE)</f>
        <v>Vila Maria</v>
      </c>
      <c r="G302" s="8" t="str">
        <f>VLOOKUP($C302,tab_Agências[],5,FALSE)</f>
        <v>18611-358</v>
      </c>
      <c r="H302" s="8" t="str">
        <f>VLOOKUP($C302,tab_Agências[],6,FALSE)</f>
        <v>Botucatu</v>
      </c>
      <c r="I302" s="8" t="str">
        <f>VLOOKUP($C302,tab_Agências[],7,FALSE)</f>
        <v>Rua João Morato da Conceição, 525 - Vila Maria, Botucatu, 18611-358</v>
      </c>
      <c r="J302" s="8" t="str">
        <f>VLOOKUP($C302,tab_Agências[],8,FALSE)</f>
        <v>(14) 3882-1134</v>
      </c>
      <c r="K302" s="8" t="str">
        <f>VLOOKUP($C302,tab_Agências[],9,FALSE)</f>
        <v>(14) 3882-1134</v>
      </c>
      <c r="L302" s="8" t="str">
        <f>VLOOKUP($C302,tab_Agências[],10,FALSE)</f>
        <v>botucatu@cetesbnet.sp.gov.br</v>
      </c>
    </row>
    <row r="303" spans="1:12" x14ac:dyDescent="0.25">
      <c r="A303" s="8">
        <v>3526506</v>
      </c>
      <c r="B303" s="8" t="s">
        <v>1241</v>
      </c>
      <c r="C303" s="9">
        <v>2</v>
      </c>
      <c r="D303" s="10" t="str">
        <f>VLOOKUP($C303,tab_Agências[],2,FALSE)</f>
        <v>Agência Ambiental de Araçatuba</v>
      </c>
      <c r="E303" s="8" t="str">
        <f>VLOOKUP($C303,tab_Agências[],3,FALSE)</f>
        <v>Rua Ten. Alcides Teodoro dos Santos, 260</v>
      </c>
      <c r="F303" s="8" t="str">
        <f>VLOOKUP($C303,tab_Agências[],4,FALSE)</f>
        <v>Aviação</v>
      </c>
      <c r="G303" s="8" t="str">
        <f>VLOOKUP($C303,tab_Agências[],5,FALSE)</f>
        <v>16055-557</v>
      </c>
      <c r="H303" s="8" t="str">
        <f>VLOOKUP($C303,tab_Agências[],6,FALSE)</f>
        <v>Araçatuba</v>
      </c>
      <c r="I303" s="8" t="str">
        <f>VLOOKUP($C303,tab_Agências[],7,FALSE)</f>
        <v>Rua Ten. Alcides Teodoro dos Santos, 260 - Aviação, Araçatuba, 16055-557</v>
      </c>
      <c r="J303" s="8" t="str">
        <f>VLOOKUP($C303,tab_Agências[],8,FALSE)</f>
        <v>(18) 3608-8053</v>
      </c>
      <c r="K303" s="8" t="str">
        <f>VLOOKUP($C303,tab_Agências[],9,FALSE)</f>
        <v>(18) 3608-7197</v>
      </c>
      <c r="L303" s="8" t="str">
        <f>VLOOKUP($C303,tab_Agências[],10,FALSE)</f>
        <v>aracatuba@cetesbnet.sp.gov.br</v>
      </c>
    </row>
    <row r="304" spans="1:12" x14ac:dyDescent="0.25">
      <c r="A304" s="8">
        <v>3526605</v>
      </c>
      <c r="B304" s="8" t="s">
        <v>1242</v>
      </c>
      <c r="C304" s="9">
        <v>40</v>
      </c>
      <c r="D304" s="10" t="str">
        <f>VLOOKUP($C304,tab_Agências[],2,FALSE)</f>
        <v>Agência Ambiental de Taubaté</v>
      </c>
      <c r="E304" s="8" t="str">
        <f>VLOOKUP($C304,tab_Agências[],3,FALSE)</f>
        <v>Avenida Itambé, 38</v>
      </c>
      <c r="F304" s="8" t="str">
        <f>VLOOKUP($C304,tab_Agências[],4,FALSE)</f>
        <v>Sta. Luzia</v>
      </c>
      <c r="G304" s="8" t="str">
        <f>VLOOKUP($C304,tab_Agências[],5,FALSE)</f>
        <v>12091-200</v>
      </c>
      <c r="H304" s="8" t="str">
        <f>VLOOKUP($C304,tab_Agências[],6,FALSE)</f>
        <v>Taubaté</v>
      </c>
      <c r="I304" s="8" t="str">
        <f>VLOOKUP($C304,tab_Agências[],7,FALSE)</f>
        <v>Avenida Itambé, 38 - Sta. Luzia, Taubaté, 12091-200</v>
      </c>
      <c r="J304" s="8" t="str">
        <f>VLOOKUP($C304,tab_Agências[],8,FALSE)</f>
        <v>(12) 3634-8222</v>
      </c>
      <c r="K304" s="8" t="str">
        <f>VLOOKUP($C304,tab_Agências[],9,FALSE)</f>
        <v>(12) 3634-8234</v>
      </c>
      <c r="L304" s="8" t="str">
        <f>VLOOKUP($C304,tab_Agências[],10,FALSE)</f>
        <v>taubate@cetesbnet.sp.gov.br</v>
      </c>
    </row>
    <row r="305" spans="1:12" x14ac:dyDescent="0.25">
      <c r="A305" s="8">
        <v>3526704</v>
      </c>
      <c r="B305" s="8" t="s">
        <v>1243</v>
      </c>
      <c r="C305" s="9">
        <v>25</v>
      </c>
      <c r="D305" s="10" t="str">
        <f>VLOOKUP($C305,tab_Agências[],2,FALSE)</f>
        <v>Agência Ambiental de Mogi Guaçu</v>
      </c>
      <c r="E305" s="8" t="str">
        <f>VLOOKUP($C305,tab_Agências[],3,FALSE)</f>
        <v>Rua Hugo Pancieira, 400</v>
      </c>
      <c r="F305" s="8" t="str">
        <f>VLOOKUP($C305,tab_Agências[],4,FALSE)</f>
        <v>Pedregulhal</v>
      </c>
      <c r="G305" s="8" t="str">
        <f>VLOOKUP($C305,tab_Agências[],5,FALSE)</f>
        <v>13845-190</v>
      </c>
      <c r="H305" s="8" t="str">
        <f>VLOOKUP($C305,tab_Agências[],6,FALSE)</f>
        <v>Mogi Guaçu</v>
      </c>
      <c r="I305" s="8" t="str">
        <f>VLOOKUP($C305,tab_Agências[],7,FALSE)</f>
        <v>Rua Hugo Pancieira, 400 - Pedregulhal, Mogi Guaçu, 13845-190</v>
      </c>
      <c r="J305" s="8" t="str">
        <f>VLOOKUP($C305,tab_Agências[],8,FALSE)</f>
        <v>(19) 3818-0396</v>
      </c>
      <c r="K305" s="8" t="str">
        <f>VLOOKUP($C305,tab_Agências[],9,FALSE)</f>
        <v>(19) 3818-0396</v>
      </c>
      <c r="L305" s="8" t="str">
        <f>VLOOKUP($C305,tab_Agências[],10,FALSE)</f>
        <v>mogiguacu@cetesbnet.sp.gov.br</v>
      </c>
    </row>
    <row r="306" spans="1:12" x14ac:dyDescent="0.25">
      <c r="A306" s="8">
        <v>3526803</v>
      </c>
      <c r="B306" s="8" t="s">
        <v>1244</v>
      </c>
      <c r="C306" s="9">
        <v>8</v>
      </c>
      <c r="D306" s="10" t="str">
        <f>VLOOKUP($C306,tab_Agências[],2,FALSE)</f>
        <v>Agência Ambiental de Bauru</v>
      </c>
      <c r="E306" s="8" t="str">
        <f>VLOOKUP($C306,tab_Agências[],3,FALSE)</f>
        <v>Avenida Rodrigues Alves, 138</v>
      </c>
      <c r="F306" s="8" t="str">
        <f>VLOOKUP($C306,tab_Agências[],4,FALSE)</f>
        <v>Vila Coralina</v>
      </c>
      <c r="G306" s="8" t="str">
        <f>VLOOKUP($C306,tab_Agências[],5,FALSE)</f>
        <v>17030-000</v>
      </c>
      <c r="H306" s="8" t="str">
        <f>VLOOKUP($C306,tab_Agências[],6,FALSE)</f>
        <v>Bauru</v>
      </c>
      <c r="I306" s="8" t="str">
        <f>VLOOKUP($C306,tab_Agências[],7,FALSE)</f>
        <v>Avenida Rodrigues Alves, 138 - Vila Coralina, Bauru, 17030-000</v>
      </c>
      <c r="J306" s="8" t="str">
        <f>VLOOKUP($C306,tab_Agências[],8,FALSE)</f>
        <v>(14) 3203-2058</v>
      </c>
      <c r="K306" s="8" t="str">
        <f>VLOOKUP($C306,tab_Agências[],9,FALSE)</f>
        <v>(14) 3203-2344</v>
      </c>
      <c r="L306" s="8" t="str">
        <f>VLOOKUP($C306,tab_Agências[],10,FALSE)</f>
        <v>bauru@cetesbnet.sp.gov.br</v>
      </c>
    </row>
    <row r="307" spans="1:12" x14ac:dyDescent="0.25">
      <c r="A307" s="8">
        <v>3526902</v>
      </c>
      <c r="B307" s="8" t="s">
        <v>1245</v>
      </c>
      <c r="C307" s="9">
        <v>22</v>
      </c>
      <c r="D307" s="10" t="str">
        <f>VLOOKUP($C307,tab_Agências[],2,FALSE)</f>
        <v>Agência Ambiental de Limeira</v>
      </c>
      <c r="E307" s="8" t="str">
        <f>VLOOKUP($C307,tab_Agências[],3,FALSE)</f>
        <v>Avenida Vitório Bortolan, 1450</v>
      </c>
      <c r="F307" s="8" t="str">
        <f>VLOOKUP($C307,tab_Agências[],4,FALSE)</f>
        <v>Parque Abílio Pedro</v>
      </c>
      <c r="G307" s="8" t="str">
        <f>VLOOKUP($C307,tab_Agências[],5,FALSE)</f>
        <v>13483-132</v>
      </c>
      <c r="H307" s="8" t="str">
        <f>VLOOKUP($C307,tab_Agências[],6,FALSE)</f>
        <v>Limeira</v>
      </c>
      <c r="I307" s="8" t="str">
        <f>VLOOKUP($C307,tab_Agências[],7,FALSE)</f>
        <v>Avenida Vitório Bortolan, 1450 - Parque Abílio Pedro, Limeira, 13483-132</v>
      </c>
      <c r="J307" s="8" t="str">
        <f>VLOOKUP($C307,tab_Agências[],8,FALSE)</f>
        <v>(19) 3451-6203</v>
      </c>
      <c r="K307" s="8" t="str">
        <f>VLOOKUP($C307,tab_Agências[],9,FALSE)</f>
        <v>(19) 3451-6203</v>
      </c>
      <c r="L307" s="8" t="str">
        <f>VLOOKUP($C307,tab_Agências[],10,FALSE)</f>
        <v>limeira@cetesbnet.sp.gov.br</v>
      </c>
    </row>
    <row r="308" spans="1:12" x14ac:dyDescent="0.25">
      <c r="A308" s="8">
        <v>3527009</v>
      </c>
      <c r="B308" s="8" t="s">
        <v>1246</v>
      </c>
      <c r="C308" s="9">
        <v>25</v>
      </c>
      <c r="D308" s="10" t="str">
        <f>VLOOKUP($C308,tab_Agências[],2,FALSE)</f>
        <v>Agência Ambiental de Mogi Guaçu</v>
      </c>
      <c r="E308" s="8" t="str">
        <f>VLOOKUP($C308,tab_Agências[],3,FALSE)</f>
        <v>Rua Hugo Pancieira, 400</v>
      </c>
      <c r="F308" s="8" t="str">
        <f>VLOOKUP($C308,tab_Agências[],4,FALSE)</f>
        <v>Pedregulhal</v>
      </c>
      <c r="G308" s="8" t="str">
        <f>VLOOKUP($C308,tab_Agências[],5,FALSE)</f>
        <v>13845-190</v>
      </c>
      <c r="H308" s="8" t="str">
        <f>VLOOKUP($C308,tab_Agências[],6,FALSE)</f>
        <v>Mogi Guaçu</v>
      </c>
      <c r="I308" s="8" t="str">
        <f>VLOOKUP($C308,tab_Agências[],7,FALSE)</f>
        <v>Rua Hugo Pancieira, 400 - Pedregulhal, Mogi Guaçu, 13845-190</v>
      </c>
      <c r="J308" s="8" t="str">
        <f>VLOOKUP($C308,tab_Agências[],8,FALSE)</f>
        <v>(19) 3818-0396</v>
      </c>
      <c r="K308" s="8" t="str">
        <f>VLOOKUP($C308,tab_Agências[],9,FALSE)</f>
        <v>(19) 3818-0396</v>
      </c>
      <c r="L308" s="8" t="str">
        <f>VLOOKUP($C308,tab_Agências[],10,FALSE)</f>
        <v>mogiguacu@cetesbnet.sp.gov.br</v>
      </c>
    </row>
    <row r="309" spans="1:12" x14ac:dyDescent="0.25">
      <c r="A309" s="8">
        <v>3527108</v>
      </c>
      <c r="B309" s="8" t="s">
        <v>1247</v>
      </c>
      <c r="C309" s="9">
        <v>23</v>
      </c>
      <c r="D309" s="10" t="str">
        <f>VLOOKUP($C309,tab_Agências[],2,FALSE)</f>
        <v>Agência Ambiental de Marília</v>
      </c>
      <c r="E309" s="8" t="str">
        <f>VLOOKUP($C309,tab_Agências[],3,FALSE)</f>
        <v>Rua Santa Helena, 436</v>
      </c>
      <c r="F309" s="8" t="str">
        <f>VLOOKUP($C309,tab_Agências[],4,FALSE)</f>
        <v>Jardim Alvorada</v>
      </c>
      <c r="G309" s="8" t="str">
        <f>VLOOKUP($C309,tab_Agências[],5,FALSE)</f>
        <v>17513-322</v>
      </c>
      <c r="H309" s="8" t="str">
        <f>VLOOKUP($C309,tab_Agências[],6,FALSE)</f>
        <v>Marília</v>
      </c>
      <c r="I309" s="8" t="str">
        <f>VLOOKUP($C309,tab_Agências[],7,FALSE)</f>
        <v>Rua Santa Helena, 436 - Jardim Alvorada, Marília, 17513-322</v>
      </c>
      <c r="J309" s="8" t="str">
        <f>VLOOKUP($C309,tab_Agências[],8,FALSE)</f>
        <v>(14) 3422-4666</v>
      </c>
      <c r="K309" s="8" t="str">
        <f>VLOOKUP($C309,tab_Agências[],9,FALSE)</f>
        <v>(14) 3422-4666</v>
      </c>
      <c r="L309" s="8" t="str">
        <f>VLOOKUP($C309,tab_Agências[],10,FALSE)</f>
        <v>marilia@cetesbnet.sp.gov.br</v>
      </c>
    </row>
    <row r="310" spans="1:12" x14ac:dyDescent="0.25">
      <c r="A310" s="8">
        <v>3527207</v>
      </c>
      <c r="B310" s="8" t="s">
        <v>1248</v>
      </c>
      <c r="C310" s="9">
        <v>40</v>
      </c>
      <c r="D310" s="10" t="str">
        <f>VLOOKUP($C310,tab_Agências[],2,FALSE)</f>
        <v>Agência Ambiental de Taubaté</v>
      </c>
      <c r="E310" s="8" t="str">
        <f>VLOOKUP($C310,tab_Agências[],3,FALSE)</f>
        <v>Avenida Itambé, 38</v>
      </c>
      <c r="F310" s="8" t="str">
        <f>VLOOKUP($C310,tab_Agências[],4,FALSE)</f>
        <v>Sta. Luzia</v>
      </c>
      <c r="G310" s="8" t="str">
        <f>VLOOKUP($C310,tab_Agências[],5,FALSE)</f>
        <v>12091-200</v>
      </c>
      <c r="H310" s="8" t="str">
        <f>VLOOKUP($C310,tab_Agências[],6,FALSE)</f>
        <v>Taubaté</v>
      </c>
      <c r="I310" s="8" t="str">
        <f>VLOOKUP($C310,tab_Agências[],7,FALSE)</f>
        <v>Avenida Itambé, 38 - Sta. Luzia, Taubaté, 12091-200</v>
      </c>
      <c r="J310" s="8" t="str">
        <f>VLOOKUP($C310,tab_Agências[],8,FALSE)</f>
        <v>(12) 3634-8222</v>
      </c>
      <c r="K310" s="8" t="str">
        <f>VLOOKUP($C310,tab_Agências[],9,FALSE)</f>
        <v>(12) 3634-8234</v>
      </c>
      <c r="L310" s="8" t="str">
        <f>VLOOKUP($C310,tab_Agências[],10,FALSE)</f>
        <v>taubate@cetesbnet.sp.gov.br</v>
      </c>
    </row>
    <row r="311" spans="1:12" x14ac:dyDescent="0.25">
      <c r="A311" s="8">
        <v>3527256</v>
      </c>
      <c r="B311" s="8" t="s">
        <v>1249</v>
      </c>
      <c r="C311" s="9">
        <v>2</v>
      </c>
      <c r="D311" s="10" t="str">
        <f>VLOOKUP($C311,tab_Agências[],2,FALSE)</f>
        <v>Agência Ambiental de Araçatuba</v>
      </c>
      <c r="E311" s="8" t="str">
        <f>VLOOKUP($C311,tab_Agências[],3,FALSE)</f>
        <v>Rua Ten. Alcides Teodoro dos Santos, 260</v>
      </c>
      <c r="F311" s="8" t="str">
        <f>VLOOKUP($C311,tab_Agências[],4,FALSE)</f>
        <v>Aviação</v>
      </c>
      <c r="G311" s="8" t="str">
        <f>VLOOKUP($C311,tab_Agências[],5,FALSE)</f>
        <v>16055-557</v>
      </c>
      <c r="H311" s="8" t="str">
        <f>VLOOKUP($C311,tab_Agências[],6,FALSE)</f>
        <v>Araçatuba</v>
      </c>
      <c r="I311" s="8" t="str">
        <f>VLOOKUP($C311,tab_Agências[],7,FALSE)</f>
        <v>Rua Ten. Alcides Teodoro dos Santos, 260 - Aviação, Araçatuba, 16055-557</v>
      </c>
      <c r="J311" s="8" t="str">
        <f>VLOOKUP($C311,tab_Agências[],8,FALSE)</f>
        <v>(18) 3608-8053</v>
      </c>
      <c r="K311" s="8" t="str">
        <f>VLOOKUP($C311,tab_Agências[],9,FALSE)</f>
        <v>(18) 3608-7197</v>
      </c>
      <c r="L311" s="8" t="str">
        <f>VLOOKUP($C311,tab_Agências[],10,FALSE)</f>
        <v>aracatuba@cetesbnet.sp.gov.br</v>
      </c>
    </row>
    <row r="312" spans="1:12" x14ac:dyDescent="0.25">
      <c r="A312" s="8">
        <v>3527306</v>
      </c>
      <c r="B312" s="8" t="s">
        <v>1250</v>
      </c>
      <c r="C312" s="9">
        <v>10</v>
      </c>
      <c r="D312" s="10" t="str">
        <f>VLOOKUP($C312,tab_Agências[],2,FALSE)</f>
        <v>Agência Ambiental de Campinas</v>
      </c>
      <c r="E312" s="8" t="str">
        <f>VLOOKUP($C312,tab_Agências[],3,FALSE)</f>
        <v>Rua São Carlos, 277</v>
      </c>
      <c r="F312" s="8" t="str">
        <f>VLOOKUP($C312,tab_Agências[],4,FALSE)</f>
        <v>Vila Industrial</v>
      </c>
      <c r="G312" s="8" t="str">
        <f>VLOOKUP($C312,tab_Agências[],5,FALSE)</f>
        <v>13035-420</v>
      </c>
      <c r="H312" s="8" t="str">
        <f>VLOOKUP($C312,tab_Agências[],6,FALSE)</f>
        <v>Campinas</v>
      </c>
      <c r="I312" s="8" t="str">
        <f>VLOOKUP($C312,tab_Agências[],7,FALSE)</f>
        <v>Rua São Carlos, 277 - Vila Industrial, Campinas, 13035-420</v>
      </c>
      <c r="J312" s="8" t="str">
        <f>VLOOKUP($C312,tab_Agências[],8,FALSE)</f>
        <v>(19) 3772-6600</v>
      </c>
      <c r="K312" s="8" t="str">
        <f>VLOOKUP($C312,tab_Agências[],9,FALSE)</f>
        <v>(19) 3772-6624</v>
      </c>
      <c r="L312" s="8" t="str">
        <f>VLOOKUP($C312,tab_Agências[],10,FALSE)</f>
        <v>campinasI@cetesbnet.sp.gov.br</v>
      </c>
    </row>
    <row r="313" spans="1:12" x14ac:dyDescent="0.25">
      <c r="A313" s="8">
        <v>3527405</v>
      </c>
      <c r="B313" s="8" t="s">
        <v>1251</v>
      </c>
      <c r="C313" s="9">
        <v>13</v>
      </c>
      <c r="D313" s="10" t="str">
        <f>VLOOKUP($C313,tab_Agências[],2,FALSE)</f>
        <v>Agência Ambiental de Dracena</v>
      </c>
      <c r="E313" s="8" t="str">
        <f>VLOOKUP($C313,tab_Agências[],3,FALSE)</f>
        <v>Rua Tomé de Souza, 438</v>
      </c>
      <c r="F313" s="8" t="str">
        <f>VLOOKUP($C313,tab_Agências[],4,FALSE)</f>
        <v>Centro</v>
      </c>
      <c r="G313" s="8" t="str">
        <f>VLOOKUP($C313,tab_Agências[],5,FALSE)</f>
        <v>17900-000</v>
      </c>
      <c r="H313" s="8" t="str">
        <f>VLOOKUP($C313,tab_Agências[],6,FALSE)</f>
        <v>Dracena</v>
      </c>
      <c r="I313" s="8" t="str">
        <f>VLOOKUP($C313,tab_Agências[],7,FALSE)</f>
        <v>Rua Tomé de Souza, 438 - Centro, Dracena, 17900-000</v>
      </c>
      <c r="J313" s="8" t="str">
        <f>VLOOKUP($C313,tab_Agências[],8,FALSE)</f>
        <v>(18) 3822-3166</v>
      </c>
      <c r="K313" s="8" t="str">
        <f>VLOOKUP($C313,tab_Agências[],9,FALSE)</f>
        <v>(18) 3822-3166</v>
      </c>
      <c r="L313" s="8" t="str">
        <f>VLOOKUP($C313,tab_Agências[],10,FALSE)</f>
        <v>dracena@cetesbnet.sp.gov.br</v>
      </c>
    </row>
    <row r="314" spans="1:12" x14ac:dyDescent="0.25">
      <c r="A314" s="8">
        <v>3527504</v>
      </c>
      <c r="B314" s="8" t="s">
        <v>1252</v>
      </c>
      <c r="C314" s="9">
        <v>8</v>
      </c>
      <c r="D314" s="10" t="str">
        <f>VLOOKUP($C314,tab_Agências[],2,FALSE)</f>
        <v>Agência Ambiental de Bauru</v>
      </c>
      <c r="E314" s="8" t="str">
        <f>VLOOKUP($C314,tab_Agências[],3,FALSE)</f>
        <v>Avenida Rodrigues Alves, 138</v>
      </c>
      <c r="F314" s="8" t="str">
        <f>VLOOKUP($C314,tab_Agências[],4,FALSE)</f>
        <v>Vila Coralina</v>
      </c>
      <c r="G314" s="8" t="str">
        <f>VLOOKUP($C314,tab_Agências[],5,FALSE)</f>
        <v>17030-000</v>
      </c>
      <c r="H314" s="8" t="str">
        <f>VLOOKUP($C314,tab_Agências[],6,FALSE)</f>
        <v>Bauru</v>
      </c>
      <c r="I314" s="8" t="str">
        <f>VLOOKUP($C314,tab_Agências[],7,FALSE)</f>
        <v>Avenida Rodrigues Alves, 138 - Vila Coralina, Bauru, 17030-000</v>
      </c>
      <c r="J314" s="8" t="str">
        <f>VLOOKUP($C314,tab_Agências[],8,FALSE)</f>
        <v>(14) 3203-2058</v>
      </c>
      <c r="K314" s="8" t="str">
        <f>VLOOKUP($C314,tab_Agências[],9,FALSE)</f>
        <v>(14) 3203-2344</v>
      </c>
      <c r="L314" s="8" t="str">
        <f>VLOOKUP($C314,tab_Agências[],10,FALSE)</f>
        <v>bauru@cetesbnet.sp.gov.br</v>
      </c>
    </row>
    <row r="315" spans="1:12" x14ac:dyDescent="0.25">
      <c r="A315" s="8">
        <v>3527603</v>
      </c>
      <c r="B315" s="8" t="s">
        <v>1253</v>
      </c>
      <c r="C315" s="9">
        <v>19</v>
      </c>
      <c r="D315" s="10" t="str">
        <f>VLOOKUP($C315,tab_Agências[],2,FALSE)</f>
        <v>Agência Ambiental de Jaboticabal</v>
      </c>
      <c r="E315" s="8" t="str">
        <f>VLOOKUP($C315,tab_Agências[],3,FALSE)</f>
        <v>Avenida Angelo Morello, 60</v>
      </c>
      <c r="F315" s="8" t="str">
        <f>VLOOKUP($C315,tab_Agências[],4,FALSE)</f>
        <v>Jardim Santa Rosa</v>
      </c>
      <c r="G315" s="8" t="str">
        <f>VLOOKUP($C315,tab_Agências[],5,FALSE)</f>
        <v>14875-290</v>
      </c>
      <c r="H315" s="8" t="str">
        <f>VLOOKUP($C315,tab_Agências[],6,FALSE)</f>
        <v>Jaboticabal</v>
      </c>
      <c r="I315" s="8" t="str">
        <f>VLOOKUP($C315,tab_Agências[],7,FALSE)</f>
        <v>Avenida Angelo Morello, 60 - Jardim Santa Rosa, Jaboticabal, 14875-290</v>
      </c>
      <c r="J315" s="8" t="str">
        <f>VLOOKUP($C315,tab_Agências[],8,FALSE)</f>
        <v>(16) 3203-9400</v>
      </c>
      <c r="K315" s="8" t="str">
        <f>VLOOKUP($C315,tab_Agências[],9,FALSE)</f>
        <v>(16) 3203-9400</v>
      </c>
      <c r="L315" s="8" t="str">
        <f>VLOOKUP($C315,tab_Agências[],10,FALSE)</f>
        <v>jaboticabal@cetesbnet.sp.gov.br</v>
      </c>
    </row>
    <row r="316" spans="1:12" x14ac:dyDescent="0.25">
      <c r="A316" s="8">
        <v>3527702</v>
      </c>
      <c r="B316" s="8" t="s">
        <v>1254</v>
      </c>
      <c r="C316" s="9">
        <v>2</v>
      </c>
      <c r="D316" s="10" t="str">
        <f>VLOOKUP($C316,tab_Agências[],2,FALSE)</f>
        <v>Agência Ambiental de Araçatuba</v>
      </c>
      <c r="E316" s="8" t="str">
        <f>VLOOKUP($C316,tab_Agências[],3,FALSE)</f>
        <v>Rua Ten. Alcides Teodoro dos Santos, 260</v>
      </c>
      <c r="F316" s="8" t="str">
        <f>VLOOKUP($C316,tab_Agências[],4,FALSE)</f>
        <v>Aviação</v>
      </c>
      <c r="G316" s="8" t="str">
        <f>VLOOKUP($C316,tab_Agências[],5,FALSE)</f>
        <v>16055-557</v>
      </c>
      <c r="H316" s="8" t="str">
        <f>VLOOKUP($C316,tab_Agências[],6,FALSE)</f>
        <v>Araçatuba</v>
      </c>
      <c r="I316" s="8" t="str">
        <f>VLOOKUP($C316,tab_Agências[],7,FALSE)</f>
        <v>Rua Ten. Alcides Teodoro dos Santos, 260 - Aviação, Araçatuba, 16055-557</v>
      </c>
      <c r="J316" s="8" t="str">
        <f>VLOOKUP($C316,tab_Agências[],8,FALSE)</f>
        <v>(18) 3608-8053</v>
      </c>
      <c r="K316" s="8" t="str">
        <f>VLOOKUP($C316,tab_Agências[],9,FALSE)</f>
        <v>(18) 3608-7197</v>
      </c>
      <c r="L316" s="8" t="str">
        <f>VLOOKUP($C316,tab_Agências[],10,FALSE)</f>
        <v>aracatuba@cetesbnet.sp.gov.br</v>
      </c>
    </row>
    <row r="317" spans="1:12" x14ac:dyDescent="0.25">
      <c r="A317" s="8">
        <v>3527801</v>
      </c>
      <c r="B317" s="8" t="s">
        <v>1255</v>
      </c>
      <c r="C317" s="9">
        <v>23</v>
      </c>
      <c r="D317" s="10" t="str">
        <f>VLOOKUP($C317,tab_Agências[],2,FALSE)</f>
        <v>Agência Ambiental de Marília</v>
      </c>
      <c r="E317" s="8" t="str">
        <f>VLOOKUP($C317,tab_Agências[],3,FALSE)</f>
        <v>Rua Santa Helena, 436</v>
      </c>
      <c r="F317" s="8" t="str">
        <f>VLOOKUP($C317,tab_Agências[],4,FALSE)</f>
        <v>Jardim Alvorada</v>
      </c>
      <c r="G317" s="8" t="str">
        <f>VLOOKUP($C317,tab_Agências[],5,FALSE)</f>
        <v>17513-322</v>
      </c>
      <c r="H317" s="8" t="str">
        <f>VLOOKUP($C317,tab_Agências[],6,FALSE)</f>
        <v>Marília</v>
      </c>
      <c r="I317" s="8" t="str">
        <f>VLOOKUP($C317,tab_Agências[],7,FALSE)</f>
        <v>Rua Santa Helena, 436 - Jardim Alvorada, Marília, 17513-322</v>
      </c>
      <c r="J317" s="8" t="str">
        <f>VLOOKUP($C317,tab_Agências[],8,FALSE)</f>
        <v>(14) 3422-4666</v>
      </c>
      <c r="K317" s="8" t="str">
        <f>VLOOKUP($C317,tab_Agências[],9,FALSE)</f>
        <v>(14) 3422-4666</v>
      </c>
      <c r="L317" s="8" t="str">
        <f>VLOOKUP($C317,tab_Agências[],10,FALSE)</f>
        <v>marilia@cetesbnet.sp.gov.br</v>
      </c>
    </row>
    <row r="318" spans="1:12" x14ac:dyDescent="0.25">
      <c r="A318" s="8">
        <v>3527900</v>
      </c>
      <c r="B318" s="8" t="s">
        <v>1256</v>
      </c>
      <c r="C318" s="9">
        <v>4</v>
      </c>
      <c r="D318" s="10" t="str">
        <f>VLOOKUP($C318,tab_Agências[],2,FALSE)</f>
        <v>Agência Ambiental de Assis</v>
      </c>
      <c r="E318" s="8" t="str">
        <f>VLOOKUP($C318,tab_Agências[],3,FALSE)</f>
        <v>Via Chico Mendes, 75</v>
      </c>
      <c r="F318" s="8" t="str">
        <f>VLOOKUP($C318,tab_Agências[],4,FALSE)</f>
        <v>Quinta dos Flamboyants</v>
      </c>
      <c r="G318" s="8" t="str">
        <f>VLOOKUP($C318,tab_Agências[],5,FALSE)</f>
        <v>19810-005</v>
      </c>
      <c r="H318" s="8" t="str">
        <f>VLOOKUP($C318,tab_Agências[],6,FALSE)</f>
        <v>Assis</v>
      </c>
      <c r="I318" s="8" t="str">
        <f>VLOOKUP($C318,tab_Agências[],7,FALSE)</f>
        <v>Via Chico Mendes, 75 - Quinta dos Flamboyants, Assis, 19810-005</v>
      </c>
      <c r="J318" s="8" t="str">
        <f>VLOOKUP($C318,tab_Agências[],8,FALSE)</f>
        <v>(18) 3324-4177</v>
      </c>
      <c r="K318" s="8" t="str">
        <f>VLOOKUP($C318,tab_Agências[],9,FALSE)</f>
        <v>(18) 3324-4177</v>
      </c>
      <c r="L318" s="8" t="str">
        <f>VLOOKUP($C318,tab_Agências[],10,FALSE)</f>
        <v>assis@cetesbnet.sp.gov.br</v>
      </c>
    </row>
    <row r="319" spans="1:12" x14ac:dyDescent="0.25">
      <c r="A319" s="8">
        <v>3528007</v>
      </c>
      <c r="B319" s="8" t="s">
        <v>1257</v>
      </c>
      <c r="C319" s="9">
        <v>8</v>
      </c>
      <c r="D319" s="10" t="str">
        <f>VLOOKUP($C319,tab_Agências[],2,FALSE)</f>
        <v>Agência Ambiental de Bauru</v>
      </c>
      <c r="E319" s="8" t="str">
        <f>VLOOKUP($C319,tab_Agências[],3,FALSE)</f>
        <v>Avenida Rodrigues Alves, 138</v>
      </c>
      <c r="F319" s="8" t="str">
        <f>VLOOKUP($C319,tab_Agências[],4,FALSE)</f>
        <v>Vila Coralina</v>
      </c>
      <c r="G319" s="8" t="str">
        <f>VLOOKUP($C319,tab_Agências[],5,FALSE)</f>
        <v>17030-000</v>
      </c>
      <c r="H319" s="8" t="str">
        <f>VLOOKUP($C319,tab_Agências[],6,FALSE)</f>
        <v>Bauru</v>
      </c>
      <c r="I319" s="8" t="str">
        <f>VLOOKUP($C319,tab_Agências[],7,FALSE)</f>
        <v>Avenida Rodrigues Alves, 138 - Vila Coralina, Bauru, 17030-000</v>
      </c>
      <c r="J319" s="8" t="str">
        <f>VLOOKUP($C319,tab_Agências[],8,FALSE)</f>
        <v>(14) 3203-2058</v>
      </c>
      <c r="K319" s="8" t="str">
        <f>VLOOKUP($C319,tab_Agências[],9,FALSE)</f>
        <v>(14) 3203-2344</v>
      </c>
      <c r="L319" s="8" t="str">
        <f>VLOOKUP($C319,tab_Agências[],10,FALSE)</f>
        <v>bauru@cetesbnet.sp.gov.br</v>
      </c>
    </row>
    <row r="320" spans="1:12" x14ac:dyDescent="0.25">
      <c r="A320" s="8">
        <v>3528106</v>
      </c>
      <c r="B320" s="8" t="s">
        <v>1258</v>
      </c>
      <c r="C320" s="9">
        <v>41</v>
      </c>
      <c r="D320" s="10" t="str">
        <f>VLOOKUP($C320,tab_Agências[],2,FALSE)</f>
        <v>Agência Ambiental de Votuporanga</v>
      </c>
      <c r="E320" s="8" t="str">
        <f>VLOOKUP($C320,tab_Agências[],3,FALSE)</f>
        <v>Avenida Deputado Aureo Ferreira, 1724</v>
      </c>
      <c r="F320" s="8" t="str">
        <f>VLOOKUP($C320,tab_Agências[],4,FALSE)</f>
        <v>Vila Paes</v>
      </c>
      <c r="G320" s="8" t="str">
        <f>VLOOKUP($C320,tab_Agências[],5,FALSE)</f>
        <v>15500-112</v>
      </c>
      <c r="H320" s="8" t="str">
        <f>VLOOKUP($C320,tab_Agências[],6,FALSE)</f>
        <v>Votuporanga</v>
      </c>
      <c r="I320" s="8" t="str">
        <f>VLOOKUP($C320,tab_Agências[],7,FALSE)</f>
        <v>Avenida Deputado Aureo Ferreira, 1724 - Vila Paes, Votuporanga, 15500-112</v>
      </c>
      <c r="J320" s="8" t="str">
        <f>VLOOKUP($C320,tab_Agências[],8,FALSE)</f>
        <v>(17) 3421-4004</v>
      </c>
      <c r="K320" s="8" t="str">
        <f>VLOOKUP($C320,tab_Agências[],9,FALSE)</f>
        <v>(17) 3421-4004</v>
      </c>
      <c r="L320" s="8" t="str">
        <f>VLOOKUP($C320,tab_Agências[],10,FALSE)</f>
        <v>votuporanga@cetesbnet.sp.gov.br</v>
      </c>
    </row>
    <row r="321" spans="1:12" x14ac:dyDescent="0.25">
      <c r="A321" s="8">
        <v>3528205</v>
      </c>
      <c r="B321" s="8" t="s">
        <v>1259</v>
      </c>
      <c r="C321" s="9">
        <v>41</v>
      </c>
      <c r="D321" s="10" t="str">
        <f>VLOOKUP($C321,tab_Agências[],2,FALSE)</f>
        <v>Agência Ambiental de Votuporanga</v>
      </c>
      <c r="E321" s="8" t="str">
        <f>VLOOKUP($C321,tab_Agências[],3,FALSE)</f>
        <v>Avenida Deputado Aureo Ferreira, 1724</v>
      </c>
      <c r="F321" s="8" t="str">
        <f>VLOOKUP($C321,tab_Agências[],4,FALSE)</f>
        <v>Vila Paes</v>
      </c>
      <c r="G321" s="8" t="str">
        <f>VLOOKUP($C321,tab_Agências[],5,FALSE)</f>
        <v>15500-112</v>
      </c>
      <c r="H321" s="8" t="str">
        <f>VLOOKUP($C321,tab_Agências[],6,FALSE)</f>
        <v>Votuporanga</v>
      </c>
      <c r="I321" s="8" t="str">
        <f>VLOOKUP($C321,tab_Agências[],7,FALSE)</f>
        <v>Avenida Deputado Aureo Ferreira, 1724 - Vila Paes, Votuporanga, 15500-112</v>
      </c>
      <c r="J321" s="8" t="str">
        <f>VLOOKUP($C321,tab_Agências[],8,FALSE)</f>
        <v>(17) 3421-4004</v>
      </c>
      <c r="K321" s="8" t="str">
        <f>VLOOKUP($C321,tab_Agências[],9,FALSE)</f>
        <v>(17) 3421-4004</v>
      </c>
      <c r="L321" s="8" t="str">
        <f>VLOOKUP($C321,tab_Agências[],10,FALSE)</f>
        <v>votuporanga@cetesbnet.sp.gov.br</v>
      </c>
    </row>
    <row r="322" spans="1:12" x14ac:dyDescent="0.25">
      <c r="A322" s="8">
        <v>3528304</v>
      </c>
      <c r="B322" s="8" t="s">
        <v>1260</v>
      </c>
      <c r="C322" s="9">
        <v>41</v>
      </c>
      <c r="D322" s="10" t="str">
        <f>VLOOKUP($C322,tab_Agências[],2,FALSE)</f>
        <v>Agência Ambiental de Votuporanga</v>
      </c>
      <c r="E322" s="8" t="str">
        <f>VLOOKUP($C322,tab_Agências[],3,FALSE)</f>
        <v>Avenida Deputado Aureo Ferreira, 1724</v>
      </c>
      <c r="F322" s="8" t="str">
        <f>VLOOKUP($C322,tab_Agências[],4,FALSE)</f>
        <v>Vila Paes</v>
      </c>
      <c r="G322" s="8" t="str">
        <f>VLOOKUP($C322,tab_Agências[],5,FALSE)</f>
        <v>15500-112</v>
      </c>
      <c r="H322" s="8" t="str">
        <f>VLOOKUP($C322,tab_Agências[],6,FALSE)</f>
        <v>Votuporanga</v>
      </c>
      <c r="I322" s="8" t="str">
        <f>VLOOKUP($C322,tab_Agências[],7,FALSE)</f>
        <v>Avenida Deputado Aureo Ferreira, 1724 - Vila Paes, Votuporanga, 15500-112</v>
      </c>
      <c r="J322" s="8" t="str">
        <f>VLOOKUP($C322,tab_Agências[],8,FALSE)</f>
        <v>(17) 3421-4004</v>
      </c>
      <c r="K322" s="8" t="str">
        <f>VLOOKUP($C322,tab_Agências[],9,FALSE)</f>
        <v>(17) 3421-4004</v>
      </c>
      <c r="L322" s="8" t="str">
        <f>VLOOKUP($C322,tab_Agências[],10,FALSE)</f>
        <v>votuporanga@cetesbnet.sp.gov.br</v>
      </c>
    </row>
    <row r="323" spans="1:12" x14ac:dyDescent="0.25">
      <c r="A323" s="8">
        <v>3528403</v>
      </c>
      <c r="B323" s="8" t="s">
        <v>1261</v>
      </c>
      <c r="C323" s="9">
        <v>18</v>
      </c>
      <c r="D323" s="10" t="str">
        <f>VLOOKUP($C323,tab_Agências[],2,FALSE)</f>
        <v>Agência Ambiental de Itu</v>
      </c>
      <c r="E323" s="8" t="str">
        <f>VLOOKUP($C323,tab_Agências[],3,FALSE)</f>
        <v>Rua Santa Rita, 1165</v>
      </c>
      <c r="F323" s="8" t="str">
        <f>VLOOKUP($C323,tab_Agências[],4,FALSE)</f>
        <v>Centro</v>
      </c>
      <c r="G323" s="8" t="str">
        <f>VLOOKUP($C323,tab_Agências[],5,FALSE)</f>
        <v>13300-065</v>
      </c>
      <c r="H323" s="8" t="str">
        <f>VLOOKUP($C323,tab_Agências[],6,FALSE)</f>
        <v>Itu</v>
      </c>
      <c r="I323" s="8" t="str">
        <f>VLOOKUP($C323,tab_Agências[],7,FALSE)</f>
        <v>Rua Santa Rita, 1165 - Centro, Itu, 13300-065</v>
      </c>
      <c r="J323" s="8" t="str">
        <f>VLOOKUP($C323,tab_Agências[],8,FALSE)</f>
        <v>(11) 4013-3419</v>
      </c>
      <c r="K323" s="8" t="str">
        <f>VLOOKUP($C323,tab_Agências[],9,FALSE)</f>
        <v>(11) 4013-3419</v>
      </c>
      <c r="L323" s="8" t="str">
        <f>VLOOKUP($C323,tab_Agências[],10,FALSE)</f>
        <v>itu@cetesbnet.sp.gov.br</v>
      </c>
    </row>
    <row r="324" spans="1:12" x14ac:dyDescent="0.25">
      <c r="A324" s="8">
        <v>3528502</v>
      </c>
      <c r="B324" s="8" t="s">
        <v>1262</v>
      </c>
      <c r="C324" s="9">
        <v>16</v>
      </c>
      <c r="D324" s="10" t="str">
        <f>VLOOKUP($C324,tab_Agências[],2,FALSE)</f>
        <v>Agência Ambiental de Guarulhos</v>
      </c>
      <c r="E324" s="8" t="str">
        <f>VLOOKUP($C324,tab_Agências[],3,FALSE)</f>
        <v>Avenida Emílio Ribas , 1120</v>
      </c>
      <c r="F324" s="8" t="str">
        <f>VLOOKUP($C324,tab_Agências[],4,FALSE)</f>
        <v>Gopouva</v>
      </c>
      <c r="G324" s="8" t="str">
        <f>VLOOKUP($C324,tab_Agências[],5,FALSE)</f>
        <v>07020-010</v>
      </c>
      <c r="H324" s="8" t="str">
        <f>VLOOKUP($C324,tab_Agências[],6,FALSE)</f>
        <v>Guarulhos</v>
      </c>
      <c r="I324" s="8" t="str">
        <f>VLOOKUP($C324,tab_Agências[],7,FALSE)</f>
        <v>Avenida Emílio Ribas , 1120 - Gopouva, Guarulhos, 07020-010</v>
      </c>
      <c r="J324" s="8" t="str">
        <f>VLOOKUP($C324,tab_Agências[],8,FALSE)</f>
        <v>(11) 2229-0031</v>
      </c>
      <c r="K324" s="8" t="str">
        <f>VLOOKUP($C324,tab_Agências[],9,FALSE)</f>
        <v>(11) 2229-0031</v>
      </c>
      <c r="L324" s="8" t="str">
        <f>VLOOKUP($C324,tab_Agências[],10,FALSE)</f>
        <v>guarulhos@cetesbnet.sp.gov.br</v>
      </c>
    </row>
    <row r="325" spans="1:12" x14ac:dyDescent="0.25">
      <c r="A325" s="8">
        <v>3528601</v>
      </c>
      <c r="B325" s="8" t="s">
        <v>1263</v>
      </c>
      <c r="C325" s="9">
        <v>6</v>
      </c>
      <c r="D325" s="10" t="str">
        <f>VLOOKUP($C325,tab_Agências[],2,FALSE)</f>
        <v>Agência Ambiental de Avaré</v>
      </c>
      <c r="E325" s="8" t="str">
        <f>VLOOKUP($C325,tab_Agências[],3,FALSE)</f>
        <v>Avenida Governador Mário Covas, 525</v>
      </c>
      <c r="F325" s="8" t="str">
        <f>VLOOKUP($C325,tab_Agências[],4,FALSE)</f>
        <v>Vila Industrial</v>
      </c>
      <c r="G325" s="8" t="str">
        <f>VLOOKUP($C325,tab_Agências[],5,FALSE)</f>
        <v>18705-851</v>
      </c>
      <c r="H325" s="8" t="str">
        <f>VLOOKUP($C325,tab_Agências[],6,FALSE)</f>
        <v>Avaré</v>
      </c>
      <c r="I325" s="8" t="str">
        <f>VLOOKUP($C325,tab_Agências[],7,FALSE)</f>
        <v>Avenida Governador Mário Covas, 525 - Vila Industrial, Avaré, 18705-851</v>
      </c>
      <c r="J325" s="8" t="str">
        <f>VLOOKUP($C325,tab_Agências[],8,FALSE)</f>
        <v>(14) 3732-4900</v>
      </c>
      <c r="K325" s="8" t="str">
        <f>VLOOKUP($C325,tab_Agências[],9,FALSE)</f>
        <v xml:space="preserve"> </v>
      </c>
      <c r="L325" s="8" t="str">
        <f>VLOOKUP($C325,tab_Agências[],10,FALSE)</f>
        <v>avare@cetesbnet.sp.gov.br</v>
      </c>
    </row>
    <row r="326" spans="1:12" x14ac:dyDescent="0.25">
      <c r="A326" s="8">
        <v>3528700</v>
      </c>
      <c r="B326" s="8" t="s">
        <v>1264</v>
      </c>
      <c r="C326" s="9">
        <v>29</v>
      </c>
      <c r="D326" s="10" t="str">
        <f>VLOOKUP($C326,tab_Agências[],2,FALSE)</f>
        <v>Agência Ambiental de Presidente Prudente</v>
      </c>
      <c r="E326" s="8" t="str">
        <f>VLOOKUP($C326,tab_Agências[],3,FALSE)</f>
        <v>Rua João Gonçalves Foz, 1738</v>
      </c>
      <c r="F326" s="8" t="str">
        <f>VLOOKUP($C326,tab_Agências[],4,FALSE)</f>
        <v>Jardim das Rosas</v>
      </c>
      <c r="G326" s="8" t="str">
        <f>VLOOKUP($C326,tab_Agências[],5,FALSE)</f>
        <v>19060-050</v>
      </c>
      <c r="H326" s="8" t="str">
        <f>VLOOKUP($C326,tab_Agências[],6,FALSE)</f>
        <v>Presidente Prudente</v>
      </c>
      <c r="I326" s="8" t="str">
        <f>VLOOKUP($C326,tab_Agências[],7,FALSE)</f>
        <v>Rua João Gonçalves Foz, 1738 - Jardim das Rosas, Presidente Prudente, 19060-050</v>
      </c>
      <c r="J326" s="8" t="str">
        <f>VLOOKUP($C326,tab_Agências[],8,FALSE)</f>
        <v>(18) 3223-5001</v>
      </c>
      <c r="K326" s="8" t="str">
        <f>VLOOKUP($C326,tab_Agências[],9,FALSE)</f>
        <v xml:space="preserve"> </v>
      </c>
      <c r="L326" s="8" t="str">
        <f>VLOOKUP($C326,tab_Agências[],10,FALSE)</f>
        <v>prudente@cetesbnet.sp.gov.br</v>
      </c>
    </row>
    <row r="327" spans="1:12" x14ac:dyDescent="0.25">
      <c r="A327" s="8">
        <v>3528809</v>
      </c>
      <c r="B327" s="8" t="s">
        <v>1265</v>
      </c>
      <c r="C327" s="9">
        <v>4</v>
      </c>
      <c r="D327" s="10" t="str">
        <f>VLOOKUP($C327,tab_Agências[],2,FALSE)</f>
        <v>Agência Ambiental de Assis</v>
      </c>
      <c r="E327" s="8" t="str">
        <f>VLOOKUP($C327,tab_Agências[],3,FALSE)</f>
        <v>Via Chico Mendes, 75</v>
      </c>
      <c r="F327" s="8" t="str">
        <f>VLOOKUP($C327,tab_Agências[],4,FALSE)</f>
        <v>Quinta dos Flamboyants</v>
      </c>
      <c r="G327" s="8" t="str">
        <f>VLOOKUP($C327,tab_Agências[],5,FALSE)</f>
        <v>19810-005</v>
      </c>
      <c r="H327" s="8" t="str">
        <f>VLOOKUP($C327,tab_Agências[],6,FALSE)</f>
        <v>Assis</v>
      </c>
      <c r="I327" s="8" t="str">
        <f>VLOOKUP($C327,tab_Agências[],7,FALSE)</f>
        <v>Via Chico Mendes, 75 - Quinta dos Flamboyants, Assis, 19810-005</v>
      </c>
      <c r="J327" s="8" t="str">
        <f>VLOOKUP($C327,tab_Agências[],8,FALSE)</f>
        <v>(18) 3324-4177</v>
      </c>
      <c r="K327" s="8" t="str">
        <f>VLOOKUP($C327,tab_Agências[],9,FALSE)</f>
        <v>(18) 3324-4177</v>
      </c>
      <c r="L327" s="8" t="str">
        <f>VLOOKUP($C327,tab_Agências[],10,FALSE)</f>
        <v>assis@cetesbnet.sp.gov.br</v>
      </c>
    </row>
    <row r="328" spans="1:12" x14ac:dyDescent="0.25">
      <c r="A328" s="8">
        <v>3528858</v>
      </c>
      <c r="B328" s="8" t="s">
        <v>1266</v>
      </c>
      <c r="C328" s="9">
        <v>36</v>
      </c>
      <c r="D328" s="10" t="str">
        <f>VLOOKUP($C328,tab_Agências[],2,FALSE)</f>
        <v>Agência Ambiental de São José do Rio Preto</v>
      </c>
      <c r="E328" s="8" t="str">
        <f>VLOOKUP($C328,tab_Agências[],3,FALSE)</f>
        <v>Avenida Mário Andreazza,</v>
      </c>
      <c r="F328" s="8" t="str">
        <f>VLOOKUP($C328,tab_Agências[],4,FALSE)</f>
        <v>Jardim São Marcos</v>
      </c>
      <c r="G328" s="8" t="str">
        <f>VLOOKUP($C328,tab_Agências[],5,FALSE)</f>
        <v>15081-490</v>
      </c>
      <c r="H328" s="8" t="str">
        <f>VLOOKUP($C328,tab_Agências[],6,FALSE)</f>
        <v>São José do Rio Preto</v>
      </c>
      <c r="I328" s="8" t="str">
        <f>VLOOKUP($C328,tab_Agências[],7,FALSE)</f>
        <v>Avenida Mário Andreazza, - Jardim São Marcos, São José do Rio Preto, 15081-490</v>
      </c>
      <c r="J328" s="8" t="str">
        <f>VLOOKUP($C328,tab_Agências[],8,FALSE)</f>
        <v>(17) 3218-4300</v>
      </c>
      <c r="K328" s="8" t="str">
        <f>VLOOKUP($C328,tab_Agências[],9,FALSE)</f>
        <v>(17) 3218-4300</v>
      </c>
      <c r="L328" s="8" t="str">
        <f>VLOOKUP($C328,tab_Agências[],10,FALSE)</f>
        <v>riopreto@cetesbnet.sp.gov.br</v>
      </c>
    </row>
    <row r="329" spans="1:12" x14ac:dyDescent="0.25">
      <c r="A329" s="8">
        <v>3528908</v>
      </c>
      <c r="B329" s="8" t="s">
        <v>1267</v>
      </c>
      <c r="C329" s="9">
        <v>13</v>
      </c>
      <c r="D329" s="10" t="str">
        <f>VLOOKUP($C329,tab_Agências[],2,FALSE)</f>
        <v>Agência Ambiental de Dracena</v>
      </c>
      <c r="E329" s="8" t="str">
        <f>VLOOKUP($C329,tab_Agências[],3,FALSE)</f>
        <v>Rua Tomé de Souza, 438</v>
      </c>
      <c r="F329" s="8" t="str">
        <f>VLOOKUP($C329,tab_Agências[],4,FALSE)</f>
        <v>Centro</v>
      </c>
      <c r="G329" s="8" t="str">
        <f>VLOOKUP($C329,tab_Agências[],5,FALSE)</f>
        <v>17900-000</v>
      </c>
      <c r="H329" s="8" t="str">
        <f>VLOOKUP($C329,tab_Agências[],6,FALSE)</f>
        <v>Dracena</v>
      </c>
      <c r="I329" s="8" t="str">
        <f>VLOOKUP($C329,tab_Agências[],7,FALSE)</f>
        <v>Rua Tomé de Souza, 438 - Centro, Dracena, 17900-000</v>
      </c>
      <c r="J329" s="8" t="str">
        <f>VLOOKUP($C329,tab_Agências[],8,FALSE)</f>
        <v>(18) 3822-3166</v>
      </c>
      <c r="K329" s="8" t="str">
        <f>VLOOKUP($C329,tab_Agências[],9,FALSE)</f>
        <v>(18) 3822-3166</v>
      </c>
      <c r="L329" s="8" t="str">
        <f>VLOOKUP($C329,tab_Agências[],10,FALSE)</f>
        <v>dracena@cetesbnet.sp.gov.br</v>
      </c>
    </row>
    <row r="330" spans="1:12" x14ac:dyDescent="0.25">
      <c r="A330" s="8">
        <v>3529005</v>
      </c>
      <c r="B330" s="8" t="s">
        <v>1268</v>
      </c>
      <c r="C330" s="9">
        <v>23</v>
      </c>
      <c r="D330" s="10" t="str">
        <f>VLOOKUP($C330,tab_Agências[],2,FALSE)</f>
        <v>Agência Ambiental de Marília</v>
      </c>
      <c r="E330" s="8" t="str">
        <f>VLOOKUP($C330,tab_Agências[],3,FALSE)</f>
        <v>Rua Santa Helena, 436</v>
      </c>
      <c r="F330" s="8" t="str">
        <f>VLOOKUP($C330,tab_Agências[],4,FALSE)</f>
        <v>Jardim Alvorada</v>
      </c>
      <c r="G330" s="8" t="str">
        <f>VLOOKUP($C330,tab_Agências[],5,FALSE)</f>
        <v>17513-322</v>
      </c>
      <c r="H330" s="8" t="str">
        <f>VLOOKUP($C330,tab_Agências[],6,FALSE)</f>
        <v>Marília</v>
      </c>
      <c r="I330" s="8" t="str">
        <f>VLOOKUP($C330,tab_Agências[],7,FALSE)</f>
        <v>Rua Santa Helena, 436 - Jardim Alvorada, Marília, 17513-322</v>
      </c>
      <c r="J330" s="8" t="str">
        <f>VLOOKUP($C330,tab_Agências[],8,FALSE)</f>
        <v>(14) 3422-4666</v>
      </c>
      <c r="K330" s="8" t="str">
        <f>VLOOKUP($C330,tab_Agências[],9,FALSE)</f>
        <v>(14) 3422-4666</v>
      </c>
      <c r="L330" s="8" t="str">
        <f>VLOOKUP($C330,tab_Agências[],10,FALSE)</f>
        <v>marilia@cetesbnet.sp.gov.br</v>
      </c>
    </row>
    <row r="331" spans="1:12" x14ac:dyDescent="0.25">
      <c r="A331" s="8">
        <v>3529104</v>
      </c>
      <c r="B331" s="8" t="s">
        <v>1269</v>
      </c>
      <c r="C331" s="9">
        <v>20</v>
      </c>
      <c r="D331" s="10" t="str">
        <f>VLOOKUP($C331,tab_Agências[],2,FALSE)</f>
        <v>Agência Ambiental de Jales</v>
      </c>
      <c r="E331" s="8" t="str">
        <f>VLOOKUP($C331,tab_Agências[],3,FALSE)</f>
        <v>Rua Nova Iorque, 1016</v>
      </c>
      <c r="F331" s="8" t="str">
        <f>VLOOKUP($C331,tab_Agências[],4,FALSE)</f>
        <v>Jardim Monte Rrey</v>
      </c>
      <c r="G331" s="8" t="str">
        <f>VLOOKUP($C331,tab_Agências[],5,FALSE)</f>
        <v>15703-326</v>
      </c>
      <c r="H331" s="8" t="str">
        <f>VLOOKUP($C331,tab_Agências[],6,FALSE)</f>
        <v>Jales</v>
      </c>
      <c r="I331" s="8" t="str">
        <f>VLOOKUP($C331,tab_Agências[],7,FALSE)</f>
        <v>Rua Nova Iorque, 1016 - Jardim Monte Rrey, Jales, 15703-326</v>
      </c>
      <c r="J331" s="8" t="str">
        <f>VLOOKUP($C331,tab_Agências[],8,FALSE)</f>
        <v>(17) 3621-1042</v>
      </c>
      <c r="K331" s="8" t="str">
        <f>VLOOKUP($C331,tab_Agências[],9,FALSE)</f>
        <v>(17) 3621-1042</v>
      </c>
      <c r="L331" s="8" t="str">
        <f>VLOOKUP($C331,tab_Agências[],10,FALSE)</f>
        <v>jales@cetesbnet.sp.gov.br</v>
      </c>
    </row>
    <row r="332" spans="1:12" x14ac:dyDescent="0.25">
      <c r="A332" s="8">
        <v>3529203</v>
      </c>
      <c r="B332" s="8" t="s">
        <v>1270</v>
      </c>
      <c r="C332" s="9">
        <v>29</v>
      </c>
      <c r="D332" s="10" t="str">
        <f>VLOOKUP($C332,tab_Agências[],2,FALSE)</f>
        <v>Agência Ambiental de Presidente Prudente</v>
      </c>
      <c r="E332" s="8" t="str">
        <f>VLOOKUP($C332,tab_Agências[],3,FALSE)</f>
        <v>Rua João Gonçalves Foz, 1738</v>
      </c>
      <c r="F332" s="8" t="str">
        <f>VLOOKUP($C332,tab_Agências[],4,FALSE)</f>
        <v>Jardim das Rosas</v>
      </c>
      <c r="G332" s="8" t="str">
        <f>VLOOKUP($C332,tab_Agências[],5,FALSE)</f>
        <v>19060-050</v>
      </c>
      <c r="H332" s="8" t="str">
        <f>VLOOKUP($C332,tab_Agências[],6,FALSE)</f>
        <v>Presidente Prudente</v>
      </c>
      <c r="I332" s="8" t="str">
        <f>VLOOKUP($C332,tab_Agências[],7,FALSE)</f>
        <v>Rua João Gonçalves Foz, 1738 - Jardim das Rosas, Presidente Prudente, 19060-050</v>
      </c>
      <c r="J332" s="8" t="str">
        <f>VLOOKUP($C332,tab_Agências[],8,FALSE)</f>
        <v>(18) 3223-5001</v>
      </c>
      <c r="K332" s="8" t="str">
        <f>VLOOKUP($C332,tab_Agências[],9,FALSE)</f>
        <v xml:space="preserve"> </v>
      </c>
      <c r="L332" s="8" t="str">
        <f>VLOOKUP($C332,tab_Agências[],10,FALSE)</f>
        <v>prudente@cetesbnet.sp.gov.br</v>
      </c>
    </row>
    <row r="333" spans="1:12" x14ac:dyDescent="0.25">
      <c r="A333" s="8">
        <v>3529302</v>
      </c>
      <c r="B333" s="8" t="s">
        <v>1271</v>
      </c>
      <c r="C333" s="9">
        <v>3</v>
      </c>
      <c r="D333" s="10" t="str">
        <f>VLOOKUP($C333,tab_Agências[],2,FALSE)</f>
        <v>Agência Ambiental de Araraquara</v>
      </c>
      <c r="E333" s="8" t="str">
        <f>VLOOKUP($C333,tab_Agências[],3,FALSE)</f>
        <v>Avenida Castro Alves, 1271</v>
      </c>
      <c r="F333" s="8" t="str">
        <f>VLOOKUP($C333,tab_Agências[],4,FALSE)</f>
        <v>Carmo</v>
      </c>
      <c r="G333" s="8" t="str">
        <f>VLOOKUP($C333,tab_Agências[],5,FALSE)</f>
        <v>14800-140</v>
      </c>
      <c r="H333" s="8" t="str">
        <f>VLOOKUP($C333,tab_Agências[],6,FALSE)</f>
        <v>Araraquara</v>
      </c>
      <c r="I333" s="8" t="str">
        <f>VLOOKUP($C333,tab_Agências[],7,FALSE)</f>
        <v>Avenida Castro Alves, 1271 - Carmo, Araraquara, 14800-140</v>
      </c>
      <c r="J333" s="8" t="str">
        <f>VLOOKUP($C333,tab_Agências[],8,FALSE)</f>
        <v>(16) 3332-2211</v>
      </c>
      <c r="K333" s="8" t="str">
        <f>VLOOKUP($C333,tab_Agências[],9,FALSE)</f>
        <v>(16) 3332-2211</v>
      </c>
      <c r="L333" s="8" t="str">
        <f>VLOOKUP($C333,tab_Agências[],10,FALSE)</f>
        <v>araraquara@cetesbnet.sp.gov.br</v>
      </c>
    </row>
    <row r="334" spans="1:12" x14ac:dyDescent="0.25">
      <c r="A334" s="8">
        <v>3529401</v>
      </c>
      <c r="B334" s="8" t="s">
        <v>1272</v>
      </c>
      <c r="C334" s="9">
        <v>42</v>
      </c>
      <c r="D334" s="10" t="str">
        <f>VLOOKUP($C334,tab_Agências[],2,FALSE)</f>
        <v>Agência Ambiental do ABC I</v>
      </c>
      <c r="E334" s="8" t="str">
        <f>VLOOKUP($C334,tab_Agências[],3,FALSE)</f>
        <v>Rua dos Vianas, 625</v>
      </c>
      <c r="F334" s="8" t="str">
        <f>VLOOKUP($C334,tab_Agências[],4,FALSE)</f>
        <v>Baeta Neves</v>
      </c>
      <c r="G334" s="8" t="str">
        <f>VLOOKUP($C334,tab_Agências[],5,FALSE)</f>
        <v>09760-040</v>
      </c>
      <c r="H334" s="8" t="str">
        <f>VLOOKUP($C334,tab_Agências[],6,FALSE)</f>
        <v>São Bernardo do Campo</v>
      </c>
      <c r="I334" s="8" t="str">
        <f>VLOOKUP($C334,tab_Agências[],7,FALSE)</f>
        <v>Rua dos Vianas, 625 - Baeta Neves, São Bernardo do Campo, 09760-040</v>
      </c>
      <c r="J334" s="8" t="str">
        <f>VLOOKUP($C334,tab_Agências[],8,FALSE)</f>
        <v>(11) 4123-4555</v>
      </c>
      <c r="K334" s="8" t="str">
        <f>VLOOKUP($C334,tab_Agências[],9,FALSE)</f>
        <v>(11) 4123-4555</v>
      </c>
      <c r="L334" s="8" t="str">
        <f>VLOOKUP($C334,tab_Agências[],10,FALSE)</f>
        <v>abc1@cetesbnet.sp.gov.br</v>
      </c>
    </row>
    <row r="335" spans="1:12" x14ac:dyDescent="0.25">
      <c r="A335" s="8">
        <v>3529500</v>
      </c>
      <c r="B335" s="8" t="s">
        <v>1273</v>
      </c>
      <c r="C335" s="9">
        <v>36</v>
      </c>
      <c r="D335" s="10" t="str">
        <f>VLOOKUP($C335,tab_Agências[],2,FALSE)</f>
        <v>Agência Ambiental de São José do Rio Preto</v>
      </c>
      <c r="E335" s="8" t="str">
        <f>VLOOKUP($C335,tab_Agências[],3,FALSE)</f>
        <v>Avenida Mário Andreazza,</v>
      </c>
      <c r="F335" s="8" t="str">
        <f>VLOOKUP($C335,tab_Agências[],4,FALSE)</f>
        <v>Jardim São Marcos</v>
      </c>
      <c r="G335" s="8" t="str">
        <f>VLOOKUP($C335,tab_Agências[],5,FALSE)</f>
        <v>15081-490</v>
      </c>
      <c r="H335" s="8" t="str">
        <f>VLOOKUP($C335,tab_Agências[],6,FALSE)</f>
        <v>São José do Rio Preto</v>
      </c>
      <c r="I335" s="8" t="str">
        <f>VLOOKUP($C335,tab_Agências[],7,FALSE)</f>
        <v>Avenida Mário Andreazza, - Jardim São Marcos, São José do Rio Preto, 15081-490</v>
      </c>
      <c r="J335" s="8" t="str">
        <f>VLOOKUP($C335,tab_Agências[],8,FALSE)</f>
        <v>(17) 3218-4300</v>
      </c>
      <c r="K335" s="8" t="str">
        <f>VLOOKUP($C335,tab_Agências[],9,FALSE)</f>
        <v>(17) 3218-4300</v>
      </c>
      <c r="L335" s="8" t="str">
        <f>VLOOKUP($C335,tab_Agências[],10,FALSE)</f>
        <v>riopreto@cetesbnet.sp.gov.br</v>
      </c>
    </row>
    <row r="336" spans="1:12" x14ac:dyDescent="0.25">
      <c r="A336" s="8">
        <v>3529609</v>
      </c>
      <c r="B336" s="8" t="s">
        <v>1274</v>
      </c>
      <c r="C336" s="9">
        <v>41</v>
      </c>
      <c r="D336" s="10" t="str">
        <f>VLOOKUP($C336,tab_Agências[],2,FALSE)</f>
        <v>Agência Ambiental de Votuporanga</v>
      </c>
      <c r="E336" s="8" t="str">
        <f>VLOOKUP($C336,tab_Agências[],3,FALSE)</f>
        <v>Avenida Deputado Aureo Ferreira, 1724</v>
      </c>
      <c r="F336" s="8" t="str">
        <f>VLOOKUP($C336,tab_Agências[],4,FALSE)</f>
        <v>Vila Paes</v>
      </c>
      <c r="G336" s="8" t="str">
        <f>VLOOKUP($C336,tab_Agências[],5,FALSE)</f>
        <v>15500-112</v>
      </c>
      <c r="H336" s="8" t="str">
        <f>VLOOKUP($C336,tab_Agências[],6,FALSE)</f>
        <v>Votuporanga</v>
      </c>
      <c r="I336" s="8" t="str">
        <f>VLOOKUP($C336,tab_Agências[],7,FALSE)</f>
        <v>Avenida Deputado Aureo Ferreira, 1724 - Vila Paes, Votuporanga, 15500-112</v>
      </c>
      <c r="J336" s="8" t="str">
        <f>VLOOKUP($C336,tab_Agências[],8,FALSE)</f>
        <v>(17) 3421-4004</v>
      </c>
      <c r="K336" s="8" t="str">
        <f>VLOOKUP($C336,tab_Agências[],9,FALSE)</f>
        <v>(17) 3421-4004</v>
      </c>
      <c r="L336" s="8" t="str">
        <f>VLOOKUP($C336,tab_Agências[],10,FALSE)</f>
        <v>votuporanga@cetesbnet.sp.gov.br</v>
      </c>
    </row>
    <row r="337" spans="1:12" x14ac:dyDescent="0.25">
      <c r="A337" s="8">
        <v>3529658</v>
      </c>
      <c r="B337" s="8" t="s">
        <v>1275</v>
      </c>
      <c r="C337" s="9">
        <v>20</v>
      </c>
      <c r="D337" s="10" t="str">
        <f>VLOOKUP($C337,tab_Agências[],2,FALSE)</f>
        <v>Agência Ambiental de Jales</v>
      </c>
      <c r="E337" s="8" t="str">
        <f>VLOOKUP($C337,tab_Agências[],3,FALSE)</f>
        <v>Rua Nova Iorque, 1016</v>
      </c>
      <c r="F337" s="8" t="str">
        <f>VLOOKUP($C337,tab_Agências[],4,FALSE)</f>
        <v>Jardim Monte Rrey</v>
      </c>
      <c r="G337" s="8" t="str">
        <f>VLOOKUP($C337,tab_Agências[],5,FALSE)</f>
        <v>15703-326</v>
      </c>
      <c r="H337" s="8" t="str">
        <f>VLOOKUP($C337,tab_Agências[],6,FALSE)</f>
        <v>Jales</v>
      </c>
      <c r="I337" s="8" t="str">
        <f>VLOOKUP($C337,tab_Agências[],7,FALSE)</f>
        <v>Rua Nova Iorque, 1016 - Jardim Monte Rrey, Jales, 15703-326</v>
      </c>
      <c r="J337" s="8" t="str">
        <f>VLOOKUP($C337,tab_Agências[],8,FALSE)</f>
        <v>(17) 3621-1042</v>
      </c>
      <c r="K337" s="8" t="str">
        <f>VLOOKUP($C337,tab_Agências[],9,FALSE)</f>
        <v>(17) 3621-1042</v>
      </c>
      <c r="L337" s="8" t="str">
        <f>VLOOKUP($C337,tab_Agências[],10,FALSE)</f>
        <v>jales@cetesbnet.sp.gov.br</v>
      </c>
    </row>
    <row r="338" spans="1:12" x14ac:dyDescent="0.25">
      <c r="A338" s="8">
        <v>3529708</v>
      </c>
      <c r="B338" s="8" t="s">
        <v>1276</v>
      </c>
      <c r="C338" s="9">
        <v>7</v>
      </c>
      <c r="D338" s="10" t="str">
        <f>VLOOKUP($C338,tab_Agências[],2,FALSE)</f>
        <v>Agência Ambiental de Barretos</v>
      </c>
      <c r="E338" s="8" t="str">
        <f>VLOOKUP($C338,tab_Agências[],3,FALSE)</f>
        <v>Rua Bolívia, 2255</v>
      </c>
      <c r="F338" s="8" t="str">
        <f>VLOOKUP($C338,tab_Agências[],4,FALSE)</f>
        <v>América</v>
      </c>
      <c r="G338" s="8" t="str">
        <f>VLOOKUP($C338,tab_Agências[],5,FALSE)</f>
        <v>14783-197</v>
      </c>
      <c r="H338" s="8" t="str">
        <f>VLOOKUP($C338,tab_Agências[],6,FALSE)</f>
        <v>Barretos</v>
      </c>
      <c r="I338" s="8" t="str">
        <f>VLOOKUP($C338,tab_Agências[],7,FALSE)</f>
        <v>Rua Bolívia, 2255 - América, Barretos, 14783-197</v>
      </c>
      <c r="J338" s="8" t="str">
        <f>VLOOKUP($C338,tab_Agências[],8,FALSE)</f>
        <v>(17) 3322-2655</v>
      </c>
      <c r="K338" s="8" t="str">
        <f>VLOOKUP($C338,tab_Agências[],9,FALSE)</f>
        <v>(17) 3322-2952</v>
      </c>
      <c r="L338" s="8" t="str">
        <f>VLOOKUP($C338,tab_Agências[],10,FALSE)</f>
        <v>barretos@cetesbnet.sp.gov.br</v>
      </c>
    </row>
    <row r="339" spans="1:12" x14ac:dyDescent="0.25">
      <c r="A339" s="8">
        <v>3529807</v>
      </c>
      <c r="B339" s="8" t="s">
        <v>1277</v>
      </c>
      <c r="C339" s="9">
        <v>8</v>
      </c>
      <c r="D339" s="10" t="str">
        <f>VLOOKUP($C339,tab_Agências[],2,FALSE)</f>
        <v>Agência Ambiental de Bauru</v>
      </c>
      <c r="E339" s="8" t="str">
        <f>VLOOKUP($C339,tab_Agências[],3,FALSE)</f>
        <v>Avenida Rodrigues Alves, 138</v>
      </c>
      <c r="F339" s="8" t="str">
        <f>VLOOKUP($C339,tab_Agências[],4,FALSE)</f>
        <v>Vila Coralina</v>
      </c>
      <c r="G339" s="8" t="str">
        <f>VLOOKUP($C339,tab_Agências[],5,FALSE)</f>
        <v>17030-000</v>
      </c>
      <c r="H339" s="8" t="str">
        <f>VLOOKUP($C339,tab_Agências[],6,FALSE)</f>
        <v>Bauru</v>
      </c>
      <c r="I339" s="8" t="str">
        <f>VLOOKUP($C339,tab_Agências[],7,FALSE)</f>
        <v>Avenida Rodrigues Alves, 138 - Vila Coralina, Bauru, 17030-000</v>
      </c>
      <c r="J339" s="8" t="str">
        <f>VLOOKUP($C339,tab_Agências[],8,FALSE)</f>
        <v>(14) 3203-2058</v>
      </c>
      <c r="K339" s="8" t="str">
        <f>VLOOKUP($C339,tab_Agências[],9,FALSE)</f>
        <v>(14) 3203-2344</v>
      </c>
      <c r="L339" s="8" t="str">
        <f>VLOOKUP($C339,tab_Agências[],10,FALSE)</f>
        <v>bauru@cetesbnet.sp.gov.br</v>
      </c>
    </row>
    <row r="340" spans="1:12" x14ac:dyDescent="0.25">
      <c r="A340" s="8">
        <v>3530003</v>
      </c>
      <c r="B340" s="8" t="s">
        <v>1278</v>
      </c>
      <c r="C340" s="9">
        <v>41</v>
      </c>
      <c r="D340" s="10" t="str">
        <f>VLOOKUP($C340,tab_Agências[],2,FALSE)</f>
        <v>Agência Ambiental de Votuporanga</v>
      </c>
      <c r="E340" s="8" t="str">
        <f>VLOOKUP($C340,tab_Agências[],3,FALSE)</f>
        <v>Avenida Deputado Aureo Ferreira, 1724</v>
      </c>
      <c r="F340" s="8" t="str">
        <f>VLOOKUP($C340,tab_Agências[],4,FALSE)</f>
        <v>Vila Paes</v>
      </c>
      <c r="G340" s="8" t="str">
        <f>VLOOKUP($C340,tab_Agências[],5,FALSE)</f>
        <v>15500-112</v>
      </c>
      <c r="H340" s="8" t="str">
        <f>VLOOKUP($C340,tab_Agências[],6,FALSE)</f>
        <v>Votuporanga</v>
      </c>
      <c r="I340" s="8" t="str">
        <f>VLOOKUP($C340,tab_Agências[],7,FALSE)</f>
        <v>Avenida Deputado Aureo Ferreira, 1724 - Vila Paes, Votuporanga, 15500-112</v>
      </c>
      <c r="J340" s="8" t="str">
        <f>VLOOKUP($C340,tab_Agências[],8,FALSE)</f>
        <v>(17) 3421-4004</v>
      </c>
      <c r="K340" s="8" t="str">
        <f>VLOOKUP($C340,tab_Agências[],9,FALSE)</f>
        <v>(17) 3421-4004</v>
      </c>
      <c r="L340" s="8" t="str">
        <f>VLOOKUP($C340,tab_Agências[],10,FALSE)</f>
        <v>votuporanga@cetesbnet.sp.gov.br</v>
      </c>
    </row>
    <row r="341" spans="1:12" x14ac:dyDescent="0.25">
      <c r="A341" s="8">
        <v>3529906</v>
      </c>
      <c r="B341" s="8" t="s">
        <v>1279</v>
      </c>
      <c r="C341" s="9">
        <v>30</v>
      </c>
      <c r="D341" s="10" t="str">
        <f>VLOOKUP($C341,tab_Agências[],2,FALSE)</f>
        <v>Agência Ambiental de Registro</v>
      </c>
      <c r="E341" s="8" t="str">
        <f>VLOOKUP($C341,tab_Agências[],3,FALSE)</f>
        <v>Rua São Bento, 249</v>
      </c>
      <c r="F341" s="8" t="str">
        <f>VLOOKUP($C341,tab_Agências[],4,FALSE)</f>
        <v>Jardim São Nicolau</v>
      </c>
      <c r="G341" s="8" t="str">
        <f>VLOOKUP($C341,tab_Agências[],5,FALSE)</f>
        <v>11900-000</v>
      </c>
      <c r="H341" s="8" t="str">
        <f>VLOOKUP($C341,tab_Agências[],6,FALSE)</f>
        <v>Registro</v>
      </c>
      <c r="I341" s="8" t="str">
        <f>VLOOKUP($C341,tab_Agências[],7,FALSE)</f>
        <v>Rua São Bento, 249 - Jardim São Nicolau, Registro, 11900-000</v>
      </c>
      <c r="J341" s="8" t="str">
        <f>VLOOKUP($C341,tab_Agências[],8,FALSE)</f>
        <v>(13) 3822-3855</v>
      </c>
      <c r="K341" s="8" t="str">
        <f>VLOOKUP($C341,tab_Agências[],9,FALSE)</f>
        <v>(13) 3822-4437</v>
      </c>
      <c r="L341" s="8" t="str">
        <f>VLOOKUP($C341,tab_Agências[],10,FALSE)</f>
        <v>registro@cetesbnet.sp.gov.br</v>
      </c>
    </row>
    <row r="342" spans="1:12" x14ac:dyDescent="0.25">
      <c r="A342" s="8">
        <v>3530102</v>
      </c>
      <c r="B342" s="8" t="s">
        <v>1280</v>
      </c>
      <c r="C342" s="9">
        <v>2</v>
      </c>
      <c r="D342" s="10" t="str">
        <f>VLOOKUP($C342,tab_Agências[],2,FALSE)</f>
        <v>Agência Ambiental de Araçatuba</v>
      </c>
      <c r="E342" s="8" t="str">
        <f>VLOOKUP($C342,tab_Agências[],3,FALSE)</f>
        <v>Rua Ten. Alcides Teodoro dos Santos, 260</v>
      </c>
      <c r="F342" s="8" t="str">
        <f>VLOOKUP($C342,tab_Agências[],4,FALSE)</f>
        <v>Aviação</v>
      </c>
      <c r="G342" s="8" t="str">
        <f>VLOOKUP($C342,tab_Agências[],5,FALSE)</f>
        <v>16055-557</v>
      </c>
      <c r="H342" s="8" t="str">
        <f>VLOOKUP($C342,tab_Agências[],6,FALSE)</f>
        <v>Araçatuba</v>
      </c>
      <c r="I342" s="8" t="str">
        <f>VLOOKUP($C342,tab_Agências[],7,FALSE)</f>
        <v>Rua Ten. Alcides Teodoro dos Santos, 260 - Aviação, Araçatuba, 16055-557</v>
      </c>
      <c r="J342" s="8" t="str">
        <f>VLOOKUP($C342,tab_Agências[],8,FALSE)</f>
        <v>(18) 3608-8053</v>
      </c>
      <c r="K342" s="8" t="str">
        <f>VLOOKUP($C342,tab_Agências[],9,FALSE)</f>
        <v>(18) 3608-7197</v>
      </c>
      <c r="L342" s="8" t="str">
        <f>VLOOKUP($C342,tab_Agências[],10,FALSE)</f>
        <v>aracatuba@cetesbnet.sp.gov.br</v>
      </c>
    </row>
    <row r="343" spans="1:12" x14ac:dyDescent="0.25">
      <c r="A343" s="8">
        <v>3530201</v>
      </c>
      <c r="B343" s="8" t="s">
        <v>1281</v>
      </c>
      <c r="C343" s="9">
        <v>29</v>
      </c>
      <c r="D343" s="10" t="str">
        <f>VLOOKUP($C343,tab_Agências[],2,FALSE)</f>
        <v>Agência Ambiental de Presidente Prudente</v>
      </c>
      <c r="E343" s="8" t="str">
        <f>VLOOKUP($C343,tab_Agências[],3,FALSE)</f>
        <v>Rua João Gonçalves Foz, 1738</v>
      </c>
      <c r="F343" s="8" t="str">
        <f>VLOOKUP($C343,tab_Agências[],4,FALSE)</f>
        <v>Jardim das Rosas</v>
      </c>
      <c r="G343" s="8" t="str">
        <f>VLOOKUP($C343,tab_Agências[],5,FALSE)</f>
        <v>19060-050</v>
      </c>
      <c r="H343" s="8" t="str">
        <f>VLOOKUP($C343,tab_Agências[],6,FALSE)</f>
        <v>Presidente Prudente</v>
      </c>
      <c r="I343" s="8" t="str">
        <f>VLOOKUP($C343,tab_Agências[],7,FALSE)</f>
        <v>Rua João Gonçalves Foz, 1738 - Jardim das Rosas, Presidente Prudente, 19060-050</v>
      </c>
      <c r="J343" s="8" t="str">
        <f>VLOOKUP($C343,tab_Agências[],8,FALSE)</f>
        <v>(18) 3223-5001</v>
      </c>
      <c r="K343" s="8" t="str">
        <f>VLOOKUP($C343,tab_Agências[],9,FALSE)</f>
        <v xml:space="preserve"> </v>
      </c>
      <c r="L343" s="8" t="str">
        <f>VLOOKUP($C343,tab_Agências[],10,FALSE)</f>
        <v>prudente@cetesbnet.sp.gov.br</v>
      </c>
    </row>
    <row r="344" spans="1:12" x14ac:dyDescent="0.25">
      <c r="A344" s="8">
        <v>3530300</v>
      </c>
      <c r="B344" s="8" t="s">
        <v>1282</v>
      </c>
      <c r="C344" s="9">
        <v>36</v>
      </c>
      <c r="D344" s="10" t="str">
        <f>VLOOKUP($C344,tab_Agências[],2,FALSE)</f>
        <v>Agência Ambiental de São José do Rio Preto</v>
      </c>
      <c r="E344" s="8" t="str">
        <f>VLOOKUP($C344,tab_Agências[],3,FALSE)</f>
        <v>Avenida Mário Andreazza,</v>
      </c>
      <c r="F344" s="8" t="str">
        <f>VLOOKUP($C344,tab_Agências[],4,FALSE)</f>
        <v>Jardim São Marcos</v>
      </c>
      <c r="G344" s="8" t="str">
        <f>VLOOKUP($C344,tab_Agências[],5,FALSE)</f>
        <v>15081-490</v>
      </c>
      <c r="H344" s="8" t="str">
        <f>VLOOKUP($C344,tab_Agências[],6,FALSE)</f>
        <v>São José do Rio Preto</v>
      </c>
      <c r="I344" s="8" t="str">
        <f>VLOOKUP($C344,tab_Agências[],7,FALSE)</f>
        <v>Avenida Mário Andreazza, - Jardim São Marcos, São José do Rio Preto, 15081-490</v>
      </c>
      <c r="J344" s="8" t="str">
        <f>VLOOKUP($C344,tab_Agências[],8,FALSE)</f>
        <v>(17) 3218-4300</v>
      </c>
      <c r="K344" s="8" t="str">
        <f>VLOOKUP($C344,tab_Agências[],9,FALSE)</f>
        <v>(17) 3218-4300</v>
      </c>
      <c r="L344" s="8" t="str">
        <f>VLOOKUP($C344,tab_Agências[],10,FALSE)</f>
        <v>riopreto@cetesbnet.sp.gov.br</v>
      </c>
    </row>
    <row r="345" spans="1:12" x14ac:dyDescent="0.25">
      <c r="A345" s="8">
        <v>3530409</v>
      </c>
      <c r="B345" s="8" t="s">
        <v>1283</v>
      </c>
      <c r="C345" s="9">
        <v>36</v>
      </c>
      <c r="D345" s="10" t="str">
        <f>VLOOKUP($C345,tab_Agências[],2,FALSE)</f>
        <v>Agência Ambiental de São José do Rio Preto</v>
      </c>
      <c r="E345" s="8" t="str">
        <f>VLOOKUP($C345,tab_Agências[],3,FALSE)</f>
        <v>Avenida Mário Andreazza,</v>
      </c>
      <c r="F345" s="8" t="str">
        <f>VLOOKUP($C345,tab_Agências[],4,FALSE)</f>
        <v>Jardim São Marcos</v>
      </c>
      <c r="G345" s="8" t="str">
        <f>VLOOKUP($C345,tab_Agências[],5,FALSE)</f>
        <v>15081-490</v>
      </c>
      <c r="H345" s="8" t="str">
        <f>VLOOKUP($C345,tab_Agências[],6,FALSE)</f>
        <v>São José do Rio Preto</v>
      </c>
      <c r="I345" s="8" t="str">
        <f>VLOOKUP($C345,tab_Agências[],7,FALSE)</f>
        <v>Avenida Mário Andreazza, - Jardim São Marcos, São José do Rio Preto, 15081-490</v>
      </c>
      <c r="J345" s="8" t="str">
        <f>VLOOKUP($C345,tab_Agências[],8,FALSE)</f>
        <v>(17) 3218-4300</v>
      </c>
      <c r="K345" s="8" t="str">
        <f>VLOOKUP($C345,tab_Agências[],9,FALSE)</f>
        <v>(17) 3218-4300</v>
      </c>
      <c r="L345" s="8" t="str">
        <f>VLOOKUP($C345,tab_Agências[],10,FALSE)</f>
        <v>riopreto@cetesbnet.sp.gov.br</v>
      </c>
    </row>
    <row r="346" spans="1:12" x14ac:dyDescent="0.25">
      <c r="A346" s="8">
        <v>3530508</v>
      </c>
      <c r="B346" s="8" t="s">
        <v>1284</v>
      </c>
      <c r="C346" s="9">
        <v>35</v>
      </c>
      <c r="D346" s="10" t="str">
        <f>VLOOKUP($C346,tab_Agências[],2,FALSE)</f>
        <v>Agência Ambiental de São João da Boa Vista</v>
      </c>
      <c r="E346" s="8" t="str">
        <f>VLOOKUP($C346,tab_Agências[],3,FALSE)</f>
        <v>Rua Marechal Deodoro, 345</v>
      </c>
      <c r="F346" s="8" t="str">
        <f>VLOOKUP($C346,tab_Agências[],4,FALSE)</f>
        <v>Centro</v>
      </c>
      <c r="G346" s="8" t="str">
        <f>VLOOKUP($C346,tab_Agências[],5,FALSE)</f>
        <v>13870-223</v>
      </c>
      <c r="H346" s="8" t="str">
        <f>VLOOKUP($C346,tab_Agências[],6,FALSE)</f>
        <v>São João da Boa Vista</v>
      </c>
      <c r="I346" s="8" t="str">
        <f>VLOOKUP($C346,tab_Agências[],7,FALSE)</f>
        <v>Rua Marechal Deodoro, 345 - Centro, São João da Boa Vista, 13870-223</v>
      </c>
      <c r="J346" s="8" t="str">
        <f>VLOOKUP($C346,tab_Agências[],8,FALSE)</f>
        <v>(19) 3633-1510</v>
      </c>
      <c r="K346" s="8" t="str">
        <f>VLOOKUP($C346,tab_Agências[],9,FALSE)</f>
        <v>(19) 3633-1510</v>
      </c>
      <c r="L346" s="8" t="str">
        <f>VLOOKUP($C346,tab_Agências[],10,FALSE)</f>
        <v>sjboavista@cetesbnet.sp.gov.br</v>
      </c>
    </row>
    <row r="347" spans="1:12" x14ac:dyDescent="0.25">
      <c r="A347" s="8">
        <v>3530706</v>
      </c>
      <c r="B347" s="8" t="s">
        <v>1285</v>
      </c>
      <c r="C347" s="9">
        <v>25</v>
      </c>
      <c r="D347" s="10" t="str">
        <f>VLOOKUP($C347,tab_Agências[],2,FALSE)</f>
        <v>Agência Ambiental de Mogi Guaçu</v>
      </c>
      <c r="E347" s="8" t="str">
        <f>VLOOKUP($C347,tab_Agências[],3,FALSE)</f>
        <v>Rua Hugo Pancieira, 400</v>
      </c>
      <c r="F347" s="8" t="str">
        <f>VLOOKUP($C347,tab_Agências[],4,FALSE)</f>
        <v>Pedregulhal</v>
      </c>
      <c r="G347" s="8" t="str">
        <f>VLOOKUP($C347,tab_Agências[],5,FALSE)</f>
        <v>13845-190</v>
      </c>
      <c r="H347" s="8" t="str">
        <f>VLOOKUP($C347,tab_Agências[],6,FALSE)</f>
        <v>Mogi Guaçu</v>
      </c>
      <c r="I347" s="8" t="str">
        <f>VLOOKUP($C347,tab_Agências[],7,FALSE)</f>
        <v>Rua Hugo Pancieira, 400 - Pedregulhal, Mogi Guaçu, 13845-190</v>
      </c>
      <c r="J347" s="8" t="str">
        <f>VLOOKUP($C347,tab_Agências[],8,FALSE)</f>
        <v>(19) 3818-0396</v>
      </c>
      <c r="K347" s="8" t="str">
        <f>VLOOKUP($C347,tab_Agências[],9,FALSE)</f>
        <v>(19) 3818-0396</v>
      </c>
      <c r="L347" s="8" t="str">
        <f>VLOOKUP($C347,tab_Agências[],10,FALSE)</f>
        <v>mogiguacu@cetesbnet.sp.gov.br</v>
      </c>
    </row>
    <row r="348" spans="1:12" x14ac:dyDescent="0.25">
      <c r="A348" s="8">
        <v>3530607</v>
      </c>
      <c r="B348" s="8" t="s">
        <v>1286</v>
      </c>
      <c r="C348" s="9">
        <v>24</v>
      </c>
      <c r="D348" s="10" t="str">
        <f>VLOOKUP($C348,tab_Agências[],2,FALSE)</f>
        <v>Agência Ambiental de Mogi das Cruzes</v>
      </c>
      <c r="E348" s="8" t="str">
        <f>VLOOKUP($C348,tab_Agências[],3,FALSE)</f>
        <v>Avenida João XXIII, 165</v>
      </c>
      <c r="F348" s="8" t="str">
        <f>VLOOKUP($C348,tab_Agências[],4,FALSE)</f>
        <v>Socorro</v>
      </c>
      <c r="G348" s="8" t="str">
        <f>VLOOKUP($C348,tab_Agências[],5,FALSE)</f>
        <v>08830-000</v>
      </c>
      <c r="H348" s="8" t="str">
        <f>VLOOKUP($C348,tab_Agências[],6,FALSE)</f>
        <v>Mogi das Cruzes</v>
      </c>
      <c r="I348" s="8" t="str">
        <f>VLOOKUP($C348,tab_Agências[],7,FALSE)</f>
        <v>Avenida João XXIII, 165 - Socorro, Mogi das Cruzes, 08830-000</v>
      </c>
      <c r="J348" s="8" t="str">
        <f>VLOOKUP($C348,tab_Agências[],8,FALSE)</f>
        <v>(11) 4725-7490</v>
      </c>
      <c r="K348" s="8" t="str">
        <f>VLOOKUP($C348,tab_Agências[],9,FALSE)</f>
        <v xml:space="preserve"> </v>
      </c>
      <c r="L348" s="8" t="str">
        <f>VLOOKUP($C348,tab_Agências[],10,FALSE)</f>
        <v>mogi@cetesbnet.sp.gov.br</v>
      </c>
    </row>
    <row r="349" spans="1:12" x14ac:dyDescent="0.25">
      <c r="A349" s="8">
        <v>3530805</v>
      </c>
      <c r="B349" s="8" t="s">
        <v>1287</v>
      </c>
      <c r="C349" s="9">
        <v>25</v>
      </c>
      <c r="D349" s="10" t="str">
        <f>VLOOKUP($C349,tab_Agências[],2,FALSE)</f>
        <v>Agência Ambiental de Mogi Guaçu</v>
      </c>
      <c r="E349" s="8" t="str">
        <f>VLOOKUP($C349,tab_Agências[],3,FALSE)</f>
        <v>Rua Hugo Pancieira, 400</v>
      </c>
      <c r="F349" s="8" t="str">
        <f>VLOOKUP($C349,tab_Agências[],4,FALSE)</f>
        <v>Pedregulhal</v>
      </c>
      <c r="G349" s="8" t="str">
        <f>VLOOKUP($C349,tab_Agências[],5,FALSE)</f>
        <v>13845-190</v>
      </c>
      <c r="H349" s="8" t="str">
        <f>VLOOKUP($C349,tab_Agências[],6,FALSE)</f>
        <v>Mogi Guaçu</v>
      </c>
      <c r="I349" s="8" t="str">
        <f>VLOOKUP($C349,tab_Agências[],7,FALSE)</f>
        <v>Rua Hugo Pancieira, 400 - Pedregulhal, Mogi Guaçu, 13845-190</v>
      </c>
      <c r="J349" s="8" t="str">
        <f>VLOOKUP($C349,tab_Agências[],8,FALSE)</f>
        <v>(19) 3818-0396</v>
      </c>
      <c r="K349" s="8" t="str">
        <f>VLOOKUP($C349,tab_Agências[],9,FALSE)</f>
        <v>(19) 3818-0396</v>
      </c>
      <c r="L349" s="8" t="str">
        <f>VLOOKUP($C349,tab_Agências[],10,FALSE)</f>
        <v>mogiguacu@cetesbnet.sp.gov.br</v>
      </c>
    </row>
    <row r="350" spans="1:12" x14ac:dyDescent="0.25">
      <c r="A350" s="8">
        <v>3530904</v>
      </c>
      <c r="B350" s="8" t="s">
        <v>1288</v>
      </c>
      <c r="C350" s="9">
        <v>10</v>
      </c>
      <c r="D350" s="10" t="str">
        <f>VLOOKUP($C350,tab_Agências[],2,FALSE)</f>
        <v>Agência Ambiental de Campinas</v>
      </c>
      <c r="E350" s="8" t="str">
        <f>VLOOKUP($C350,tab_Agências[],3,FALSE)</f>
        <v>Rua São Carlos, 277</v>
      </c>
      <c r="F350" s="8" t="str">
        <f>VLOOKUP($C350,tab_Agências[],4,FALSE)</f>
        <v>Vila Industrial</v>
      </c>
      <c r="G350" s="8" t="str">
        <f>VLOOKUP($C350,tab_Agências[],5,FALSE)</f>
        <v>13035-420</v>
      </c>
      <c r="H350" s="8" t="str">
        <f>VLOOKUP($C350,tab_Agências[],6,FALSE)</f>
        <v>Campinas</v>
      </c>
      <c r="I350" s="8" t="str">
        <f>VLOOKUP($C350,tab_Agências[],7,FALSE)</f>
        <v>Rua São Carlos, 277 - Vila Industrial, Campinas, 13035-420</v>
      </c>
      <c r="J350" s="8" t="str">
        <f>VLOOKUP($C350,tab_Agências[],8,FALSE)</f>
        <v>(19) 3772-6600</v>
      </c>
      <c r="K350" s="8" t="str">
        <f>VLOOKUP($C350,tab_Agências[],9,FALSE)</f>
        <v>(19) 3772-6624</v>
      </c>
      <c r="L350" s="8" t="str">
        <f>VLOOKUP($C350,tab_Agências[],10,FALSE)</f>
        <v>campinasI@cetesbnet.sp.gov.br</v>
      </c>
    </row>
    <row r="351" spans="1:12" x14ac:dyDescent="0.25">
      <c r="A351" s="8">
        <v>3531001</v>
      </c>
      <c r="B351" s="8" t="s">
        <v>1289</v>
      </c>
      <c r="C351" s="9">
        <v>41</v>
      </c>
      <c r="D351" s="10" t="str">
        <f>VLOOKUP($C351,tab_Agências[],2,FALSE)</f>
        <v>Agência Ambiental de Votuporanga</v>
      </c>
      <c r="E351" s="8" t="str">
        <f>VLOOKUP($C351,tab_Agências[],3,FALSE)</f>
        <v>Avenida Deputado Aureo Ferreira, 1724</v>
      </c>
      <c r="F351" s="8" t="str">
        <f>VLOOKUP($C351,tab_Agências[],4,FALSE)</f>
        <v>Vila Paes</v>
      </c>
      <c r="G351" s="8" t="str">
        <f>VLOOKUP($C351,tab_Agências[],5,FALSE)</f>
        <v>15500-112</v>
      </c>
      <c r="H351" s="8" t="str">
        <f>VLOOKUP($C351,tab_Agências[],6,FALSE)</f>
        <v>Votuporanga</v>
      </c>
      <c r="I351" s="8" t="str">
        <f>VLOOKUP($C351,tab_Agências[],7,FALSE)</f>
        <v>Avenida Deputado Aureo Ferreira, 1724 - Vila Paes, Votuporanga, 15500-112</v>
      </c>
      <c r="J351" s="8" t="str">
        <f>VLOOKUP($C351,tab_Agências[],8,FALSE)</f>
        <v>(17) 3421-4004</v>
      </c>
      <c r="K351" s="8" t="str">
        <f>VLOOKUP($C351,tab_Agências[],9,FALSE)</f>
        <v>(17) 3421-4004</v>
      </c>
      <c r="L351" s="8" t="str">
        <f>VLOOKUP($C351,tab_Agências[],10,FALSE)</f>
        <v>votuporanga@cetesbnet.sp.gov.br</v>
      </c>
    </row>
    <row r="352" spans="1:12" x14ac:dyDescent="0.25">
      <c r="A352" s="8">
        <v>3531100</v>
      </c>
      <c r="B352" s="8" t="s">
        <v>1290</v>
      </c>
      <c r="C352" s="9">
        <v>33</v>
      </c>
      <c r="D352" s="10" t="str">
        <f>VLOOKUP($C352,tab_Agências[],2,FALSE)</f>
        <v>Agência Ambiental de Santos</v>
      </c>
      <c r="E352" s="8" t="str">
        <f>VLOOKUP($C352,tab_Agências[],3,FALSE)</f>
        <v>Rua Delfim Moreira, 56</v>
      </c>
      <c r="F352" s="8" t="str">
        <f>VLOOKUP($C352,tab_Agências[],4,FALSE)</f>
        <v>Embaré</v>
      </c>
      <c r="G352" s="8" t="str">
        <f>VLOOKUP($C352,tab_Agências[],5,FALSE)</f>
        <v>11040-100</v>
      </c>
      <c r="H352" s="8" t="str">
        <f>VLOOKUP($C352,tab_Agências[],6,FALSE)</f>
        <v>Santos</v>
      </c>
      <c r="I352" s="8" t="str">
        <f>VLOOKUP($C352,tab_Agências[],7,FALSE)</f>
        <v>Rua Delfim Moreira, 56 - Embaré, Santos, 11040-100</v>
      </c>
      <c r="J352" s="8" t="str">
        <f>VLOOKUP($C352,tab_Agências[],8,FALSE)</f>
        <v>(13) 3227-7767</v>
      </c>
      <c r="K352" s="8" t="str">
        <f>VLOOKUP($C352,tab_Agências[],9,FALSE)</f>
        <v>(13) 3227-7767</v>
      </c>
      <c r="L352" s="8" t="str">
        <f>VLOOKUP($C352,tab_Agências[],10,FALSE)</f>
        <v>santos@cetesbnet.sp.gov.br</v>
      </c>
    </row>
    <row r="353" spans="1:12" x14ac:dyDescent="0.25">
      <c r="A353" s="8">
        <v>3531209</v>
      </c>
      <c r="B353" s="8" t="s">
        <v>1291</v>
      </c>
      <c r="C353" s="9">
        <v>27</v>
      </c>
      <c r="D353" s="10" t="str">
        <f>VLOOKUP($C353,tab_Agências[],2,FALSE)</f>
        <v>Agência Ambiental de Paulínia</v>
      </c>
      <c r="E353" s="8" t="str">
        <f>VLOOKUP($C353,tab_Agências[],3,FALSE)</f>
        <v>Rua Angelo Varandas, 550</v>
      </c>
      <c r="F353" s="8" t="str">
        <f>VLOOKUP($C353,tab_Agências[],4,FALSE)</f>
        <v>Jardim Santa Terezinha</v>
      </c>
      <c r="G353" s="8" t="str">
        <f>VLOOKUP($C353,tab_Agências[],5,FALSE)</f>
        <v>13140-802</v>
      </c>
      <c r="H353" s="8" t="str">
        <f>VLOOKUP($C353,tab_Agências[],6,FALSE)</f>
        <v>Paulínia</v>
      </c>
      <c r="I353" s="8" t="str">
        <f>VLOOKUP($C353,tab_Agências[],7,FALSE)</f>
        <v>Rua Angelo Varandas, 550 - Jardim Santa Terezinha, Paulínia, 13140-802</v>
      </c>
      <c r="J353" s="8" t="str">
        <f>VLOOKUP($C353,tab_Agências[],8,FALSE)</f>
        <v>(19) 3844-0466</v>
      </c>
      <c r="K353" s="8" t="str">
        <f>VLOOKUP($C353,tab_Agências[],9,FALSE)</f>
        <v>(19) 3844-0466</v>
      </c>
      <c r="L353" s="8" t="str">
        <f>VLOOKUP($C353,tab_Agências[],10,FALSE)</f>
        <v>paulinia@cetesbnet.sp.gov.br</v>
      </c>
    </row>
    <row r="354" spans="1:12" x14ac:dyDescent="0.25">
      <c r="A354" s="8">
        <v>3531308</v>
      </c>
      <c r="B354" s="8" t="s">
        <v>1292</v>
      </c>
      <c r="C354" s="9">
        <v>19</v>
      </c>
      <c r="D354" s="10" t="str">
        <f>VLOOKUP($C354,tab_Agências[],2,FALSE)</f>
        <v>Agência Ambiental de Jaboticabal</v>
      </c>
      <c r="E354" s="8" t="str">
        <f>VLOOKUP($C354,tab_Agências[],3,FALSE)</f>
        <v>Avenida Angelo Morello, 60</v>
      </c>
      <c r="F354" s="8" t="str">
        <f>VLOOKUP($C354,tab_Agências[],4,FALSE)</f>
        <v>Jardim Santa Rosa</v>
      </c>
      <c r="G354" s="8" t="str">
        <f>VLOOKUP($C354,tab_Agências[],5,FALSE)</f>
        <v>14875-290</v>
      </c>
      <c r="H354" s="8" t="str">
        <f>VLOOKUP($C354,tab_Agências[],6,FALSE)</f>
        <v>Jaboticabal</v>
      </c>
      <c r="I354" s="8" t="str">
        <f>VLOOKUP($C354,tab_Agências[],7,FALSE)</f>
        <v>Avenida Angelo Morello, 60 - Jardim Santa Rosa, Jaboticabal, 14875-290</v>
      </c>
      <c r="J354" s="8" t="str">
        <f>VLOOKUP($C354,tab_Agências[],8,FALSE)</f>
        <v>(16) 3203-9400</v>
      </c>
      <c r="K354" s="8" t="str">
        <f>VLOOKUP($C354,tab_Agências[],9,FALSE)</f>
        <v>(16) 3203-9400</v>
      </c>
      <c r="L354" s="8" t="str">
        <f>VLOOKUP($C354,tab_Agências[],10,FALSE)</f>
        <v>jaboticabal@cetesbnet.sp.gov.br</v>
      </c>
    </row>
    <row r="355" spans="1:12" x14ac:dyDescent="0.25">
      <c r="A355" s="8">
        <v>3531407</v>
      </c>
      <c r="B355" s="8" t="s">
        <v>1293</v>
      </c>
      <c r="C355" s="9">
        <v>41</v>
      </c>
      <c r="D355" s="10" t="str">
        <f>VLOOKUP($C355,tab_Agências[],2,FALSE)</f>
        <v>Agência Ambiental de Votuporanga</v>
      </c>
      <c r="E355" s="8" t="str">
        <f>VLOOKUP($C355,tab_Agências[],3,FALSE)</f>
        <v>Avenida Deputado Aureo Ferreira, 1724</v>
      </c>
      <c r="F355" s="8" t="str">
        <f>VLOOKUP($C355,tab_Agências[],4,FALSE)</f>
        <v>Vila Paes</v>
      </c>
      <c r="G355" s="8" t="str">
        <f>VLOOKUP($C355,tab_Agências[],5,FALSE)</f>
        <v>15500-112</v>
      </c>
      <c r="H355" s="8" t="str">
        <f>VLOOKUP($C355,tab_Agências[],6,FALSE)</f>
        <v>Votuporanga</v>
      </c>
      <c r="I355" s="8" t="str">
        <f>VLOOKUP($C355,tab_Agências[],7,FALSE)</f>
        <v>Avenida Deputado Aureo Ferreira, 1724 - Vila Paes, Votuporanga, 15500-112</v>
      </c>
      <c r="J355" s="8" t="str">
        <f>VLOOKUP($C355,tab_Agências[],8,FALSE)</f>
        <v>(17) 3421-4004</v>
      </c>
      <c r="K355" s="8" t="str">
        <f>VLOOKUP($C355,tab_Agências[],9,FALSE)</f>
        <v>(17) 3421-4004</v>
      </c>
      <c r="L355" s="8" t="str">
        <f>VLOOKUP($C355,tab_Agências[],10,FALSE)</f>
        <v>votuporanga@cetesbnet.sp.gov.br</v>
      </c>
    </row>
    <row r="356" spans="1:12" x14ac:dyDescent="0.25">
      <c r="A356" s="8">
        <v>3531506</v>
      </c>
      <c r="B356" s="8" t="s">
        <v>1294</v>
      </c>
      <c r="C356" s="9">
        <v>7</v>
      </c>
      <c r="D356" s="10" t="str">
        <f>VLOOKUP($C356,tab_Agências[],2,FALSE)</f>
        <v>Agência Ambiental de Barretos</v>
      </c>
      <c r="E356" s="8" t="str">
        <f>VLOOKUP($C356,tab_Agências[],3,FALSE)</f>
        <v>Rua Bolívia, 2255</v>
      </c>
      <c r="F356" s="8" t="str">
        <f>VLOOKUP($C356,tab_Agências[],4,FALSE)</f>
        <v>América</v>
      </c>
      <c r="G356" s="8" t="str">
        <f>VLOOKUP($C356,tab_Agências[],5,FALSE)</f>
        <v>14783-197</v>
      </c>
      <c r="H356" s="8" t="str">
        <f>VLOOKUP($C356,tab_Agências[],6,FALSE)</f>
        <v>Barretos</v>
      </c>
      <c r="I356" s="8" t="str">
        <f>VLOOKUP($C356,tab_Agências[],7,FALSE)</f>
        <v>Rua Bolívia, 2255 - América, Barretos, 14783-197</v>
      </c>
      <c r="J356" s="8" t="str">
        <f>VLOOKUP($C356,tab_Agências[],8,FALSE)</f>
        <v>(17) 3322-2655</v>
      </c>
      <c r="K356" s="8" t="str">
        <f>VLOOKUP($C356,tab_Agências[],9,FALSE)</f>
        <v>(17) 3322-2952</v>
      </c>
      <c r="L356" s="8" t="str">
        <f>VLOOKUP($C356,tab_Agências[],10,FALSE)</f>
        <v>barretos@cetesbnet.sp.gov.br</v>
      </c>
    </row>
    <row r="357" spans="1:12" x14ac:dyDescent="0.25">
      <c r="A357" s="8">
        <v>3531605</v>
      </c>
      <c r="B357" s="8" t="s">
        <v>1295</v>
      </c>
      <c r="C357" s="9">
        <v>13</v>
      </c>
      <c r="D357" s="10" t="str">
        <f>VLOOKUP($C357,tab_Agências[],2,FALSE)</f>
        <v>Agência Ambiental de Dracena</v>
      </c>
      <c r="E357" s="8" t="str">
        <f>VLOOKUP($C357,tab_Agências[],3,FALSE)</f>
        <v>Rua Tomé de Souza, 438</v>
      </c>
      <c r="F357" s="8" t="str">
        <f>VLOOKUP($C357,tab_Agências[],4,FALSE)</f>
        <v>Centro</v>
      </c>
      <c r="G357" s="8" t="str">
        <f>VLOOKUP($C357,tab_Agências[],5,FALSE)</f>
        <v>17900-000</v>
      </c>
      <c r="H357" s="8" t="str">
        <f>VLOOKUP($C357,tab_Agências[],6,FALSE)</f>
        <v>Dracena</v>
      </c>
      <c r="I357" s="8" t="str">
        <f>VLOOKUP($C357,tab_Agências[],7,FALSE)</f>
        <v>Rua Tomé de Souza, 438 - Centro, Dracena, 17900-000</v>
      </c>
      <c r="J357" s="8" t="str">
        <f>VLOOKUP($C357,tab_Agências[],8,FALSE)</f>
        <v>(18) 3822-3166</v>
      </c>
      <c r="K357" s="8" t="str">
        <f>VLOOKUP($C357,tab_Agências[],9,FALSE)</f>
        <v>(18) 3822-3166</v>
      </c>
      <c r="L357" s="8" t="str">
        <f>VLOOKUP($C357,tab_Agências[],10,FALSE)</f>
        <v>dracena@cetesbnet.sp.gov.br</v>
      </c>
    </row>
    <row r="358" spans="1:12" x14ac:dyDescent="0.25">
      <c r="A358" s="8">
        <v>3531803</v>
      </c>
      <c r="B358" s="8" t="s">
        <v>1296</v>
      </c>
      <c r="C358" s="9">
        <v>10</v>
      </c>
      <c r="D358" s="10" t="str">
        <f>VLOOKUP($C358,tab_Agências[],2,FALSE)</f>
        <v>Agência Ambiental de Campinas</v>
      </c>
      <c r="E358" s="8" t="str">
        <f>VLOOKUP($C358,tab_Agências[],3,FALSE)</f>
        <v>Rua São Carlos, 277</v>
      </c>
      <c r="F358" s="8" t="str">
        <f>VLOOKUP($C358,tab_Agências[],4,FALSE)</f>
        <v>Vila Industrial</v>
      </c>
      <c r="G358" s="8" t="str">
        <f>VLOOKUP($C358,tab_Agências[],5,FALSE)</f>
        <v>13035-420</v>
      </c>
      <c r="H358" s="8" t="str">
        <f>VLOOKUP($C358,tab_Agências[],6,FALSE)</f>
        <v>Campinas</v>
      </c>
      <c r="I358" s="8" t="str">
        <f>VLOOKUP($C358,tab_Agências[],7,FALSE)</f>
        <v>Rua São Carlos, 277 - Vila Industrial, Campinas, 13035-420</v>
      </c>
      <c r="J358" s="8" t="str">
        <f>VLOOKUP($C358,tab_Agências[],8,FALSE)</f>
        <v>(19) 3772-6600</v>
      </c>
      <c r="K358" s="8" t="str">
        <f>VLOOKUP($C358,tab_Agências[],9,FALSE)</f>
        <v>(19) 3772-6624</v>
      </c>
      <c r="L358" s="8" t="str">
        <f>VLOOKUP($C358,tab_Agências[],10,FALSE)</f>
        <v>campinasI@cetesbnet.sp.gov.br</v>
      </c>
    </row>
    <row r="359" spans="1:12" x14ac:dyDescent="0.25">
      <c r="A359" s="8">
        <v>3531704</v>
      </c>
      <c r="B359" s="8" t="s">
        <v>1297</v>
      </c>
      <c r="C359" s="9">
        <v>37</v>
      </c>
      <c r="D359" s="10" t="str">
        <f>VLOOKUP($C359,tab_Agências[],2,FALSE)</f>
        <v>Agência Ambiental de São José dos Campos</v>
      </c>
      <c r="E359" s="8" t="str">
        <f>VLOOKUP($C359,tab_Agências[],3,FALSE)</f>
        <v>Avenida Olivo Gomes, 100</v>
      </c>
      <c r="F359" s="8" t="str">
        <f>VLOOKUP($C359,tab_Agências[],4,FALSE)</f>
        <v>Parque da Cidade/Santana</v>
      </c>
      <c r="G359" s="8" t="str">
        <f>VLOOKUP($C359,tab_Agências[],5,FALSE)</f>
        <v>12211-115</v>
      </c>
      <c r="H359" s="8" t="str">
        <f>VLOOKUP($C359,tab_Agências[],6,FALSE)</f>
        <v>São José dos Campos</v>
      </c>
      <c r="I359" s="8" t="str">
        <f>VLOOKUP($C359,tab_Agências[],7,FALSE)</f>
        <v>Avenida Olivo Gomes, 100 - Parque da Cidade/Santana, São José dos Campos, 12211-115</v>
      </c>
      <c r="J359" s="8" t="str">
        <f>VLOOKUP($C359,tab_Agências[],8,FALSE)</f>
        <v>(12) 3911-9536</v>
      </c>
      <c r="K359" s="8" t="str">
        <f>VLOOKUP($C359,tab_Agências[],9,FALSE)</f>
        <v>(12) 3911-9536</v>
      </c>
      <c r="L359" s="8" t="str">
        <f>VLOOKUP($C359,tab_Agências[],10,FALSE)</f>
        <v>sjcampos@cetesbnet.sp.gov.br</v>
      </c>
    </row>
    <row r="360" spans="1:12" x14ac:dyDescent="0.25">
      <c r="A360" s="8">
        <v>3531902</v>
      </c>
      <c r="B360" s="8" t="s">
        <v>1298</v>
      </c>
      <c r="C360" s="9">
        <v>31</v>
      </c>
      <c r="D360" s="10" t="str">
        <f>VLOOKUP($C360,tab_Agências[],2,FALSE)</f>
        <v>Agência Ambiental de Ribeirão Preto</v>
      </c>
      <c r="E360" s="8" t="str">
        <f>VLOOKUP($C360,tab_Agências[],3,FALSE)</f>
        <v>Avenida Presidente Kennedy, 1760</v>
      </c>
      <c r="F360" s="8" t="str">
        <f>VLOOKUP($C360,tab_Agências[],4,FALSE)</f>
        <v>Ribeirânia</v>
      </c>
      <c r="G360" s="8" t="str">
        <f>VLOOKUP($C360,tab_Agências[],5,FALSE)</f>
        <v>14096-350</v>
      </c>
      <c r="H360" s="8" t="str">
        <f>VLOOKUP($C360,tab_Agências[],6,FALSE)</f>
        <v>Ribeirão Preto</v>
      </c>
      <c r="I360" s="8" t="str">
        <f>VLOOKUP($C360,tab_Agências[],7,FALSE)</f>
        <v>Avenida Presidente Kennedy, 1760 - Ribeirânia, Ribeirão Preto, 14096-350</v>
      </c>
      <c r="J360" s="8" t="str">
        <f>VLOOKUP($C360,tab_Agências[],8,FALSE)</f>
        <v>(16) 3617-4700</v>
      </c>
      <c r="K360" s="8" t="str">
        <f>VLOOKUP($C360,tab_Agências[],9,FALSE)</f>
        <v>(16) 3617-4207</v>
      </c>
      <c r="L360" s="8" t="str">
        <f>VLOOKUP($C360,tab_Agências[],10,FALSE)</f>
        <v>ribeirao@cetesbnet.sp.gov.br</v>
      </c>
    </row>
    <row r="361" spans="1:12" x14ac:dyDescent="0.25">
      <c r="A361" s="8">
        <v>3532009</v>
      </c>
      <c r="B361" s="8" t="s">
        <v>1299</v>
      </c>
      <c r="C361" s="9">
        <v>27</v>
      </c>
      <c r="D361" s="10" t="str">
        <f>VLOOKUP($C361,tab_Agências[],2,FALSE)</f>
        <v>Agência Ambiental de Paulínia</v>
      </c>
      <c r="E361" s="8" t="str">
        <f>VLOOKUP($C361,tab_Agências[],3,FALSE)</f>
        <v>Rua Angelo Varandas, 550</v>
      </c>
      <c r="F361" s="8" t="str">
        <f>VLOOKUP($C361,tab_Agências[],4,FALSE)</f>
        <v>Jardim Santa Terezinha</v>
      </c>
      <c r="G361" s="8" t="str">
        <f>VLOOKUP($C361,tab_Agências[],5,FALSE)</f>
        <v>13140-802</v>
      </c>
      <c r="H361" s="8" t="str">
        <f>VLOOKUP($C361,tab_Agências[],6,FALSE)</f>
        <v>Paulínia</v>
      </c>
      <c r="I361" s="8" t="str">
        <f>VLOOKUP($C361,tab_Agências[],7,FALSE)</f>
        <v>Rua Angelo Varandas, 550 - Jardim Santa Terezinha, Paulínia, 13140-802</v>
      </c>
      <c r="J361" s="8" t="str">
        <f>VLOOKUP($C361,tab_Agências[],8,FALSE)</f>
        <v>(19) 3844-0466</v>
      </c>
      <c r="K361" s="8" t="str">
        <f>VLOOKUP($C361,tab_Agências[],9,FALSE)</f>
        <v>(19) 3844-0466</v>
      </c>
      <c r="L361" s="8" t="str">
        <f>VLOOKUP($C361,tab_Agências[],10,FALSE)</f>
        <v>paulinia@cetesbnet.sp.gov.br</v>
      </c>
    </row>
    <row r="362" spans="1:12" x14ac:dyDescent="0.25">
      <c r="A362" s="8">
        <v>3532058</v>
      </c>
      <c r="B362" s="8" t="s">
        <v>1300</v>
      </c>
      <c r="C362" s="9">
        <v>3</v>
      </c>
      <c r="D362" s="10" t="str">
        <f>VLOOKUP($C362,tab_Agências[],2,FALSE)</f>
        <v>Agência Ambiental de Araraquara</v>
      </c>
      <c r="E362" s="8" t="str">
        <f>VLOOKUP($C362,tab_Agências[],3,FALSE)</f>
        <v>Avenida Castro Alves, 1271</v>
      </c>
      <c r="F362" s="8" t="str">
        <f>VLOOKUP($C362,tab_Agências[],4,FALSE)</f>
        <v>Carmo</v>
      </c>
      <c r="G362" s="8" t="str">
        <f>VLOOKUP($C362,tab_Agências[],5,FALSE)</f>
        <v>14800-140</v>
      </c>
      <c r="H362" s="8" t="str">
        <f>VLOOKUP($C362,tab_Agências[],6,FALSE)</f>
        <v>Araraquara</v>
      </c>
      <c r="I362" s="8" t="str">
        <f>VLOOKUP($C362,tab_Agências[],7,FALSE)</f>
        <v>Avenida Castro Alves, 1271 - Carmo, Araraquara, 14800-140</v>
      </c>
      <c r="J362" s="8" t="str">
        <f>VLOOKUP($C362,tab_Agências[],8,FALSE)</f>
        <v>(16) 3332-2211</v>
      </c>
      <c r="K362" s="8" t="str">
        <f>VLOOKUP($C362,tab_Agências[],9,FALSE)</f>
        <v>(16) 3332-2211</v>
      </c>
      <c r="L362" s="8" t="str">
        <f>VLOOKUP($C362,tab_Agências[],10,FALSE)</f>
        <v>araraquara@cetesbnet.sp.gov.br</v>
      </c>
    </row>
    <row r="363" spans="1:12" x14ac:dyDescent="0.25">
      <c r="A363" s="8">
        <v>3532108</v>
      </c>
      <c r="B363" s="8" t="s">
        <v>1301</v>
      </c>
      <c r="C363" s="9">
        <v>13</v>
      </c>
      <c r="D363" s="10" t="str">
        <f>VLOOKUP($C363,tab_Agências[],2,FALSE)</f>
        <v>Agência Ambiental de Dracena</v>
      </c>
      <c r="E363" s="8" t="str">
        <f>VLOOKUP($C363,tab_Agências[],3,FALSE)</f>
        <v>Rua Tomé de Souza, 438</v>
      </c>
      <c r="F363" s="8" t="str">
        <f>VLOOKUP($C363,tab_Agências[],4,FALSE)</f>
        <v>Centro</v>
      </c>
      <c r="G363" s="8" t="str">
        <f>VLOOKUP($C363,tab_Agências[],5,FALSE)</f>
        <v>17900-000</v>
      </c>
      <c r="H363" s="8" t="str">
        <f>VLOOKUP($C363,tab_Agências[],6,FALSE)</f>
        <v>Dracena</v>
      </c>
      <c r="I363" s="8" t="str">
        <f>VLOOKUP($C363,tab_Agências[],7,FALSE)</f>
        <v>Rua Tomé de Souza, 438 - Centro, Dracena, 17900-000</v>
      </c>
      <c r="J363" s="8" t="str">
        <f>VLOOKUP($C363,tab_Agências[],8,FALSE)</f>
        <v>(18) 3822-3166</v>
      </c>
      <c r="K363" s="8" t="str">
        <f>VLOOKUP($C363,tab_Agências[],9,FALSE)</f>
        <v>(18) 3822-3166</v>
      </c>
      <c r="L363" s="8" t="str">
        <f>VLOOKUP($C363,tab_Agências[],10,FALSE)</f>
        <v>dracena@cetesbnet.sp.gov.br</v>
      </c>
    </row>
    <row r="364" spans="1:12" x14ac:dyDescent="0.25">
      <c r="A364" s="8">
        <v>3532157</v>
      </c>
      <c r="B364" s="8" t="s">
        <v>1302</v>
      </c>
      <c r="C364" s="9">
        <v>29</v>
      </c>
      <c r="D364" s="10" t="str">
        <f>VLOOKUP($C364,tab_Agências[],2,FALSE)</f>
        <v>Agência Ambiental de Presidente Prudente</v>
      </c>
      <c r="E364" s="8" t="str">
        <f>VLOOKUP($C364,tab_Agências[],3,FALSE)</f>
        <v>Rua João Gonçalves Foz, 1738</v>
      </c>
      <c r="F364" s="8" t="str">
        <f>VLOOKUP($C364,tab_Agências[],4,FALSE)</f>
        <v>Jardim das Rosas</v>
      </c>
      <c r="G364" s="8" t="str">
        <f>VLOOKUP($C364,tab_Agências[],5,FALSE)</f>
        <v>19060-050</v>
      </c>
      <c r="H364" s="8" t="str">
        <f>VLOOKUP($C364,tab_Agências[],6,FALSE)</f>
        <v>Presidente Prudente</v>
      </c>
      <c r="I364" s="8" t="str">
        <f>VLOOKUP($C364,tab_Agências[],7,FALSE)</f>
        <v>Rua João Gonçalves Foz, 1738 - Jardim das Rosas, Presidente Prudente, 19060-050</v>
      </c>
      <c r="J364" s="8" t="str">
        <f>VLOOKUP($C364,tab_Agências[],8,FALSE)</f>
        <v>(18) 3223-5001</v>
      </c>
      <c r="K364" s="8" t="str">
        <f>VLOOKUP($C364,tab_Agências[],9,FALSE)</f>
        <v xml:space="preserve"> </v>
      </c>
      <c r="L364" s="8" t="str">
        <f>VLOOKUP($C364,tab_Agências[],10,FALSE)</f>
        <v>prudente@cetesbnet.sp.gov.br</v>
      </c>
    </row>
    <row r="365" spans="1:12" x14ac:dyDescent="0.25">
      <c r="A365" s="8">
        <v>3532207</v>
      </c>
      <c r="B365" s="8" t="s">
        <v>1303</v>
      </c>
      <c r="C365" s="9">
        <v>29</v>
      </c>
      <c r="D365" s="10" t="str">
        <f>VLOOKUP($C365,tab_Agências[],2,FALSE)</f>
        <v>Agência Ambiental de Presidente Prudente</v>
      </c>
      <c r="E365" s="8" t="str">
        <f>VLOOKUP($C365,tab_Agências[],3,FALSE)</f>
        <v>Rua João Gonçalves Foz, 1738</v>
      </c>
      <c r="F365" s="8" t="str">
        <f>VLOOKUP($C365,tab_Agências[],4,FALSE)</f>
        <v>Jardim das Rosas</v>
      </c>
      <c r="G365" s="8" t="str">
        <f>VLOOKUP($C365,tab_Agências[],5,FALSE)</f>
        <v>19060-050</v>
      </c>
      <c r="H365" s="8" t="str">
        <f>VLOOKUP($C365,tab_Agências[],6,FALSE)</f>
        <v>Presidente Prudente</v>
      </c>
      <c r="I365" s="8" t="str">
        <f>VLOOKUP($C365,tab_Agências[],7,FALSE)</f>
        <v>Rua João Gonçalves Foz, 1738 - Jardim das Rosas, Presidente Prudente, 19060-050</v>
      </c>
      <c r="J365" s="8" t="str">
        <f>VLOOKUP($C365,tab_Agências[],8,FALSE)</f>
        <v>(18) 3223-5001</v>
      </c>
      <c r="K365" s="8" t="str">
        <f>VLOOKUP($C365,tab_Agências[],9,FALSE)</f>
        <v xml:space="preserve"> </v>
      </c>
      <c r="L365" s="8" t="str">
        <f>VLOOKUP($C365,tab_Agências[],10,FALSE)</f>
        <v>prudente@cetesbnet.sp.gov.br</v>
      </c>
    </row>
    <row r="366" spans="1:12" x14ac:dyDescent="0.25">
      <c r="A366" s="8">
        <v>3532306</v>
      </c>
      <c r="B366" s="8" t="s">
        <v>1304</v>
      </c>
      <c r="C366" s="9">
        <v>40</v>
      </c>
      <c r="D366" s="10" t="str">
        <f>VLOOKUP($C366,tab_Agências[],2,FALSE)</f>
        <v>Agência Ambiental de Taubaté</v>
      </c>
      <c r="E366" s="8" t="str">
        <f>VLOOKUP($C366,tab_Agências[],3,FALSE)</f>
        <v>Avenida Itambé, 38</v>
      </c>
      <c r="F366" s="8" t="str">
        <f>VLOOKUP($C366,tab_Agências[],4,FALSE)</f>
        <v>Sta. Luzia</v>
      </c>
      <c r="G366" s="8" t="str">
        <f>VLOOKUP($C366,tab_Agências[],5,FALSE)</f>
        <v>12091-200</v>
      </c>
      <c r="H366" s="8" t="str">
        <f>VLOOKUP($C366,tab_Agências[],6,FALSE)</f>
        <v>Taubaté</v>
      </c>
      <c r="I366" s="8" t="str">
        <f>VLOOKUP($C366,tab_Agências[],7,FALSE)</f>
        <v>Avenida Itambé, 38 - Sta. Luzia, Taubaté, 12091-200</v>
      </c>
      <c r="J366" s="8" t="str">
        <f>VLOOKUP($C366,tab_Agências[],8,FALSE)</f>
        <v>(12) 3634-8222</v>
      </c>
      <c r="K366" s="8" t="str">
        <f>VLOOKUP($C366,tab_Agências[],9,FALSE)</f>
        <v>(12) 3634-8234</v>
      </c>
      <c r="L366" s="8" t="str">
        <f>VLOOKUP($C366,tab_Agências[],10,FALSE)</f>
        <v>taubate@cetesbnet.sp.gov.br</v>
      </c>
    </row>
    <row r="367" spans="1:12" x14ac:dyDescent="0.25">
      <c r="A367" s="8">
        <v>3532405</v>
      </c>
      <c r="B367" s="8" t="s">
        <v>1305</v>
      </c>
      <c r="C367" s="9">
        <v>5</v>
      </c>
      <c r="D367" s="10" t="str">
        <f>VLOOKUP($C367,tab_Agências[],2,FALSE)</f>
        <v>Agência Ambiental de Atibaia</v>
      </c>
      <c r="E367" s="8" t="str">
        <f>VLOOKUP($C367,tab_Agências[],3,FALSE)</f>
        <v>Avenida Nove de Julho, 266</v>
      </c>
      <c r="F367" s="8" t="str">
        <f>VLOOKUP($C367,tab_Agências[],4,FALSE)</f>
        <v>Centro</v>
      </c>
      <c r="G367" s="8" t="str">
        <f>VLOOKUP($C367,tab_Agências[],5,FALSE)</f>
        <v>12940-580</v>
      </c>
      <c r="H367" s="8" t="str">
        <f>VLOOKUP($C367,tab_Agências[],6,FALSE)</f>
        <v>Atibaia</v>
      </c>
      <c r="I367" s="8" t="str">
        <f>VLOOKUP($C367,tab_Agências[],7,FALSE)</f>
        <v>Avenida Nove de Julho, 266 - Centro, Atibaia, 12940-580</v>
      </c>
      <c r="J367" s="8" t="str">
        <f>VLOOKUP($C367,tab_Agências[],8,FALSE)</f>
        <v>(11) 4411-0662</v>
      </c>
      <c r="K367" s="8" t="str">
        <f>VLOOKUP($C367,tab_Agências[],9,FALSE)</f>
        <v>(11) 4411-0662</v>
      </c>
      <c r="L367" s="8" t="str">
        <f>VLOOKUP($C367,tab_Agências[],10,FALSE)</f>
        <v>atibaia@cetesbnet.sp.gov.br</v>
      </c>
    </row>
    <row r="368" spans="1:12" x14ac:dyDescent="0.25">
      <c r="A368" s="8">
        <v>3532504</v>
      </c>
      <c r="B368" s="8" t="s">
        <v>1306</v>
      </c>
      <c r="C368" s="9">
        <v>36</v>
      </c>
      <c r="D368" s="10" t="str">
        <f>VLOOKUP($C368,tab_Agências[],2,FALSE)</f>
        <v>Agência Ambiental de São José do Rio Preto</v>
      </c>
      <c r="E368" s="8" t="str">
        <f>VLOOKUP($C368,tab_Agências[],3,FALSE)</f>
        <v>Avenida Mário Andreazza,</v>
      </c>
      <c r="F368" s="8" t="str">
        <f>VLOOKUP($C368,tab_Agências[],4,FALSE)</f>
        <v>Jardim São Marcos</v>
      </c>
      <c r="G368" s="8" t="str">
        <f>VLOOKUP($C368,tab_Agências[],5,FALSE)</f>
        <v>15081-490</v>
      </c>
      <c r="H368" s="8" t="str">
        <f>VLOOKUP($C368,tab_Agências[],6,FALSE)</f>
        <v>São José do Rio Preto</v>
      </c>
      <c r="I368" s="8" t="str">
        <f>VLOOKUP($C368,tab_Agências[],7,FALSE)</f>
        <v>Avenida Mário Andreazza, - Jardim São Marcos, São José do Rio Preto, 15081-490</v>
      </c>
      <c r="J368" s="8" t="str">
        <f>VLOOKUP($C368,tab_Agências[],8,FALSE)</f>
        <v>(17) 3218-4300</v>
      </c>
      <c r="K368" s="8" t="str">
        <f>VLOOKUP($C368,tab_Agências[],9,FALSE)</f>
        <v>(17) 3218-4300</v>
      </c>
      <c r="L368" s="8" t="str">
        <f>VLOOKUP($C368,tab_Agências[],10,FALSE)</f>
        <v>riopreto@cetesbnet.sp.gov.br</v>
      </c>
    </row>
    <row r="369" spans="1:12" x14ac:dyDescent="0.25">
      <c r="A369" s="8">
        <v>3532603</v>
      </c>
      <c r="B369" s="8" t="s">
        <v>1307</v>
      </c>
      <c r="C369" s="9">
        <v>41</v>
      </c>
      <c r="D369" s="10" t="str">
        <f>VLOOKUP($C369,tab_Agências[],2,FALSE)</f>
        <v>Agência Ambiental de Votuporanga</v>
      </c>
      <c r="E369" s="8" t="str">
        <f>VLOOKUP($C369,tab_Agências[],3,FALSE)</f>
        <v>Avenida Deputado Aureo Ferreira, 1724</v>
      </c>
      <c r="F369" s="8" t="str">
        <f>VLOOKUP($C369,tab_Agências[],4,FALSE)</f>
        <v>Vila Paes</v>
      </c>
      <c r="G369" s="8" t="str">
        <f>VLOOKUP($C369,tab_Agências[],5,FALSE)</f>
        <v>15500-112</v>
      </c>
      <c r="H369" s="8" t="str">
        <f>VLOOKUP($C369,tab_Agências[],6,FALSE)</f>
        <v>Votuporanga</v>
      </c>
      <c r="I369" s="8" t="str">
        <f>VLOOKUP($C369,tab_Agências[],7,FALSE)</f>
        <v>Avenida Deputado Aureo Ferreira, 1724 - Vila Paes, Votuporanga, 15500-112</v>
      </c>
      <c r="J369" s="8" t="str">
        <f>VLOOKUP($C369,tab_Agências[],8,FALSE)</f>
        <v>(17) 3421-4004</v>
      </c>
      <c r="K369" s="8" t="str">
        <f>VLOOKUP($C369,tab_Agências[],9,FALSE)</f>
        <v>(17) 3421-4004</v>
      </c>
      <c r="L369" s="8" t="str">
        <f>VLOOKUP($C369,tab_Agências[],10,FALSE)</f>
        <v>votuporanga@cetesbnet.sp.gov.br</v>
      </c>
    </row>
    <row r="370" spans="1:12" x14ac:dyDescent="0.25">
      <c r="A370" s="8">
        <v>3532702</v>
      </c>
      <c r="B370" s="8" t="s">
        <v>1308</v>
      </c>
      <c r="C370" s="9">
        <v>36</v>
      </c>
      <c r="D370" s="10" t="str">
        <f>VLOOKUP($C370,tab_Agências[],2,FALSE)</f>
        <v>Agência Ambiental de São José do Rio Preto</v>
      </c>
      <c r="E370" s="8" t="str">
        <f>VLOOKUP($C370,tab_Agências[],3,FALSE)</f>
        <v>Avenida Mário Andreazza,</v>
      </c>
      <c r="F370" s="8" t="str">
        <f>VLOOKUP($C370,tab_Agências[],4,FALSE)</f>
        <v>Jardim São Marcos</v>
      </c>
      <c r="G370" s="8" t="str">
        <f>VLOOKUP($C370,tab_Agências[],5,FALSE)</f>
        <v>15081-490</v>
      </c>
      <c r="H370" s="8" t="str">
        <f>VLOOKUP($C370,tab_Agências[],6,FALSE)</f>
        <v>São José do Rio Preto</v>
      </c>
      <c r="I370" s="8" t="str">
        <f>VLOOKUP($C370,tab_Agências[],7,FALSE)</f>
        <v>Avenida Mário Andreazza, - Jardim São Marcos, São José do Rio Preto, 15081-490</v>
      </c>
      <c r="J370" s="8" t="str">
        <f>VLOOKUP($C370,tab_Agências[],8,FALSE)</f>
        <v>(17) 3218-4300</v>
      </c>
      <c r="K370" s="8" t="str">
        <f>VLOOKUP($C370,tab_Agências[],9,FALSE)</f>
        <v>(17) 3218-4300</v>
      </c>
      <c r="L370" s="8" t="str">
        <f>VLOOKUP($C370,tab_Agências[],10,FALSE)</f>
        <v>riopreto@cetesbnet.sp.gov.br</v>
      </c>
    </row>
    <row r="371" spans="1:12" x14ac:dyDescent="0.25">
      <c r="A371" s="8">
        <v>3532801</v>
      </c>
      <c r="B371" s="8" t="s">
        <v>1309</v>
      </c>
      <c r="C371" s="9">
        <v>36</v>
      </c>
      <c r="D371" s="10" t="str">
        <f>VLOOKUP($C371,tab_Agências[],2,FALSE)</f>
        <v>Agência Ambiental de São José do Rio Preto</v>
      </c>
      <c r="E371" s="8" t="str">
        <f>VLOOKUP($C371,tab_Agências[],3,FALSE)</f>
        <v>Avenida Mário Andreazza,</v>
      </c>
      <c r="F371" s="8" t="str">
        <f>VLOOKUP($C371,tab_Agências[],4,FALSE)</f>
        <v>Jardim São Marcos</v>
      </c>
      <c r="G371" s="8" t="str">
        <f>VLOOKUP($C371,tab_Agências[],5,FALSE)</f>
        <v>15081-490</v>
      </c>
      <c r="H371" s="8" t="str">
        <f>VLOOKUP($C371,tab_Agências[],6,FALSE)</f>
        <v>São José do Rio Preto</v>
      </c>
      <c r="I371" s="8" t="str">
        <f>VLOOKUP($C371,tab_Agências[],7,FALSE)</f>
        <v>Avenida Mário Andreazza, - Jardim São Marcos, São José do Rio Preto, 15081-490</v>
      </c>
      <c r="J371" s="8" t="str">
        <f>VLOOKUP($C371,tab_Agências[],8,FALSE)</f>
        <v>(17) 3218-4300</v>
      </c>
      <c r="K371" s="8" t="str">
        <f>VLOOKUP($C371,tab_Agências[],9,FALSE)</f>
        <v>(17) 3218-4300</v>
      </c>
      <c r="L371" s="8" t="str">
        <f>VLOOKUP($C371,tab_Agências[],10,FALSE)</f>
        <v>riopreto@cetesbnet.sp.gov.br</v>
      </c>
    </row>
    <row r="372" spans="1:12" x14ac:dyDescent="0.25">
      <c r="A372" s="8">
        <v>3532827</v>
      </c>
      <c r="B372" s="8" t="s">
        <v>1310</v>
      </c>
      <c r="C372" s="9">
        <v>11</v>
      </c>
      <c r="D372" s="10" t="str">
        <f>VLOOKUP($C372,tab_Agências[],2,FALSE)</f>
        <v>Agência Ambiental de Capão Bonito</v>
      </c>
      <c r="E372" s="8" t="str">
        <f>VLOOKUP($C372,tab_Agências[],3,FALSE)</f>
        <v>Rua Denise, 131</v>
      </c>
      <c r="F372" s="8" t="str">
        <f>VLOOKUP($C372,tab_Agências[],4,FALSE)</f>
        <v>Terras de Imbirucu</v>
      </c>
      <c r="G372" s="8" t="str">
        <f>VLOOKUP($C372,tab_Agências[],5,FALSE)</f>
        <v>18304-700</v>
      </c>
      <c r="H372" s="8" t="str">
        <f>VLOOKUP($C372,tab_Agências[],6,FALSE)</f>
        <v>Capão Bonito</v>
      </c>
      <c r="I372" s="8" t="str">
        <f>VLOOKUP($C372,tab_Agências[],7,FALSE)</f>
        <v>Rua Denise, 131 - Terras de Imbirucu, Capão Bonito, 18304-700</v>
      </c>
      <c r="J372" s="8" t="str">
        <f>VLOOKUP($C372,tab_Agências[],8,FALSE)</f>
        <v>(15) 3542-3885</v>
      </c>
      <c r="K372" s="8" t="str">
        <f>VLOOKUP($C372,tab_Agências[],9,FALSE)</f>
        <v>(15) 3542-3885</v>
      </c>
      <c r="L372" s="8" t="str">
        <f>VLOOKUP($C372,tab_Agências[],10,FALSE)</f>
        <v>capaobonito@cetesbnet.sp.gov.br</v>
      </c>
    </row>
    <row r="373" spans="1:12" x14ac:dyDescent="0.25">
      <c r="A373" s="8">
        <v>3532843</v>
      </c>
      <c r="B373" s="8" t="s">
        <v>1311</v>
      </c>
      <c r="C373" s="9">
        <v>20</v>
      </c>
      <c r="D373" s="10" t="str">
        <f>VLOOKUP($C373,tab_Agências[],2,FALSE)</f>
        <v>Agência Ambiental de Jales</v>
      </c>
      <c r="E373" s="8" t="str">
        <f>VLOOKUP($C373,tab_Agências[],3,FALSE)</f>
        <v>Rua Nova Iorque, 1016</v>
      </c>
      <c r="F373" s="8" t="str">
        <f>VLOOKUP($C373,tab_Agências[],4,FALSE)</f>
        <v>Jardim Monte Rrey</v>
      </c>
      <c r="G373" s="8" t="str">
        <f>VLOOKUP($C373,tab_Agências[],5,FALSE)</f>
        <v>15703-326</v>
      </c>
      <c r="H373" s="8" t="str">
        <f>VLOOKUP($C373,tab_Agências[],6,FALSE)</f>
        <v>Jales</v>
      </c>
      <c r="I373" s="8" t="str">
        <f>VLOOKUP($C373,tab_Agências[],7,FALSE)</f>
        <v>Rua Nova Iorque, 1016 - Jardim Monte Rrey, Jales, 15703-326</v>
      </c>
      <c r="J373" s="8" t="str">
        <f>VLOOKUP($C373,tab_Agências[],8,FALSE)</f>
        <v>(17) 3621-1042</v>
      </c>
      <c r="K373" s="8" t="str">
        <f>VLOOKUP($C373,tab_Agências[],9,FALSE)</f>
        <v>(17) 3621-1042</v>
      </c>
      <c r="L373" s="8" t="str">
        <f>VLOOKUP($C373,tab_Agências[],10,FALSE)</f>
        <v>jales@cetesbnet.sp.gov.br</v>
      </c>
    </row>
    <row r="374" spans="1:12" x14ac:dyDescent="0.25">
      <c r="A374" s="8">
        <v>3532868</v>
      </c>
      <c r="B374" s="8" t="s">
        <v>1312</v>
      </c>
      <c r="C374" s="9">
        <v>41</v>
      </c>
      <c r="D374" s="10" t="str">
        <f>VLOOKUP($C374,tab_Agências[],2,FALSE)</f>
        <v>Agência Ambiental de Votuporanga</v>
      </c>
      <c r="E374" s="8" t="str">
        <f>VLOOKUP($C374,tab_Agências[],3,FALSE)</f>
        <v>Avenida Deputado Aureo Ferreira, 1724</v>
      </c>
      <c r="F374" s="8" t="str">
        <f>VLOOKUP($C374,tab_Agências[],4,FALSE)</f>
        <v>Vila Paes</v>
      </c>
      <c r="G374" s="8" t="str">
        <f>VLOOKUP($C374,tab_Agências[],5,FALSE)</f>
        <v>15500-112</v>
      </c>
      <c r="H374" s="8" t="str">
        <f>VLOOKUP($C374,tab_Agências[],6,FALSE)</f>
        <v>Votuporanga</v>
      </c>
      <c r="I374" s="8" t="str">
        <f>VLOOKUP($C374,tab_Agências[],7,FALSE)</f>
        <v>Avenida Deputado Aureo Ferreira, 1724 - Vila Paes, Votuporanga, 15500-112</v>
      </c>
      <c r="J374" s="8" t="str">
        <f>VLOOKUP($C374,tab_Agências[],8,FALSE)</f>
        <v>(17) 3421-4004</v>
      </c>
      <c r="K374" s="8" t="str">
        <f>VLOOKUP($C374,tab_Agências[],9,FALSE)</f>
        <v>(17) 3421-4004</v>
      </c>
      <c r="L374" s="8" t="str">
        <f>VLOOKUP($C374,tab_Agências[],10,FALSE)</f>
        <v>votuporanga@cetesbnet.sp.gov.br</v>
      </c>
    </row>
    <row r="375" spans="1:12" x14ac:dyDescent="0.25">
      <c r="A375" s="8">
        <v>3532900</v>
      </c>
      <c r="B375" s="8" t="s">
        <v>1313</v>
      </c>
      <c r="C375" s="9">
        <v>3</v>
      </c>
      <c r="D375" s="10" t="str">
        <f>VLOOKUP($C375,tab_Agências[],2,FALSE)</f>
        <v>Agência Ambiental de Araraquara</v>
      </c>
      <c r="E375" s="8" t="str">
        <f>VLOOKUP($C375,tab_Agências[],3,FALSE)</f>
        <v>Avenida Castro Alves, 1271</v>
      </c>
      <c r="F375" s="8" t="str">
        <f>VLOOKUP($C375,tab_Agências[],4,FALSE)</f>
        <v>Carmo</v>
      </c>
      <c r="G375" s="8" t="str">
        <f>VLOOKUP($C375,tab_Agências[],5,FALSE)</f>
        <v>14800-140</v>
      </c>
      <c r="H375" s="8" t="str">
        <f>VLOOKUP($C375,tab_Agências[],6,FALSE)</f>
        <v>Araraquara</v>
      </c>
      <c r="I375" s="8" t="str">
        <f>VLOOKUP($C375,tab_Agências[],7,FALSE)</f>
        <v>Avenida Castro Alves, 1271 - Carmo, Araraquara, 14800-140</v>
      </c>
      <c r="J375" s="8" t="str">
        <f>VLOOKUP($C375,tab_Agências[],8,FALSE)</f>
        <v>(16) 3332-2211</v>
      </c>
      <c r="K375" s="8" t="str">
        <f>VLOOKUP($C375,tab_Agências[],9,FALSE)</f>
        <v>(16) 3332-2211</v>
      </c>
      <c r="L375" s="8" t="str">
        <f>VLOOKUP($C375,tab_Agências[],10,FALSE)</f>
        <v>araraquara@cetesbnet.sp.gov.br</v>
      </c>
    </row>
    <row r="376" spans="1:12" x14ac:dyDescent="0.25">
      <c r="A376" s="8">
        <v>3533007</v>
      </c>
      <c r="B376" s="8" t="s">
        <v>1314</v>
      </c>
      <c r="C376" s="9">
        <v>36</v>
      </c>
      <c r="D376" s="10" t="str">
        <f>VLOOKUP($C376,tab_Agências[],2,FALSE)</f>
        <v>Agência Ambiental de São José do Rio Preto</v>
      </c>
      <c r="E376" s="8" t="str">
        <f>VLOOKUP($C376,tab_Agências[],3,FALSE)</f>
        <v>Avenida Mário Andreazza,</v>
      </c>
      <c r="F376" s="8" t="str">
        <f>VLOOKUP($C376,tab_Agências[],4,FALSE)</f>
        <v>Jardim São Marcos</v>
      </c>
      <c r="G376" s="8" t="str">
        <f>VLOOKUP($C376,tab_Agências[],5,FALSE)</f>
        <v>15081-490</v>
      </c>
      <c r="H376" s="8" t="str">
        <f>VLOOKUP($C376,tab_Agências[],6,FALSE)</f>
        <v>São José do Rio Preto</v>
      </c>
      <c r="I376" s="8" t="str">
        <f>VLOOKUP($C376,tab_Agências[],7,FALSE)</f>
        <v>Avenida Mário Andreazza, - Jardim São Marcos, São José do Rio Preto, 15081-490</v>
      </c>
      <c r="J376" s="8" t="str">
        <f>VLOOKUP($C376,tab_Agências[],8,FALSE)</f>
        <v>(17) 3218-4300</v>
      </c>
      <c r="K376" s="8" t="str">
        <f>VLOOKUP($C376,tab_Agências[],9,FALSE)</f>
        <v>(17) 3218-4300</v>
      </c>
      <c r="L376" s="8" t="str">
        <f>VLOOKUP($C376,tab_Agências[],10,FALSE)</f>
        <v>riopreto@cetesbnet.sp.gov.br</v>
      </c>
    </row>
    <row r="377" spans="1:12" x14ac:dyDescent="0.25">
      <c r="A377" s="8">
        <v>3533106</v>
      </c>
      <c r="B377" s="8" t="s">
        <v>1315</v>
      </c>
      <c r="C377" s="9">
        <v>13</v>
      </c>
      <c r="D377" s="10" t="str">
        <f>VLOOKUP($C377,tab_Agências[],2,FALSE)</f>
        <v>Agência Ambiental de Dracena</v>
      </c>
      <c r="E377" s="8" t="str">
        <f>VLOOKUP($C377,tab_Agências[],3,FALSE)</f>
        <v>Rua Tomé de Souza, 438</v>
      </c>
      <c r="F377" s="8" t="str">
        <f>VLOOKUP($C377,tab_Agências[],4,FALSE)</f>
        <v>Centro</v>
      </c>
      <c r="G377" s="8" t="str">
        <f>VLOOKUP($C377,tab_Agências[],5,FALSE)</f>
        <v>17900-000</v>
      </c>
      <c r="H377" s="8" t="str">
        <f>VLOOKUP($C377,tab_Agências[],6,FALSE)</f>
        <v>Dracena</v>
      </c>
      <c r="I377" s="8" t="str">
        <f>VLOOKUP($C377,tab_Agências[],7,FALSE)</f>
        <v>Rua Tomé de Souza, 438 - Centro, Dracena, 17900-000</v>
      </c>
      <c r="J377" s="8" t="str">
        <f>VLOOKUP($C377,tab_Agências[],8,FALSE)</f>
        <v>(18) 3822-3166</v>
      </c>
      <c r="K377" s="8" t="str">
        <f>VLOOKUP($C377,tab_Agências[],9,FALSE)</f>
        <v>(18) 3822-3166</v>
      </c>
      <c r="L377" s="8" t="str">
        <f>VLOOKUP($C377,tab_Agências[],10,FALSE)</f>
        <v>dracena@cetesbnet.sp.gov.br</v>
      </c>
    </row>
    <row r="378" spans="1:12" x14ac:dyDescent="0.25">
      <c r="A378" s="8">
        <v>3533205</v>
      </c>
      <c r="B378" s="8" t="s">
        <v>1316</v>
      </c>
      <c r="C378" s="9">
        <v>13</v>
      </c>
      <c r="D378" s="10" t="str">
        <f>VLOOKUP($C378,tab_Agências[],2,FALSE)</f>
        <v>Agência Ambiental de Dracena</v>
      </c>
      <c r="E378" s="8" t="str">
        <f>VLOOKUP($C378,tab_Agências[],3,FALSE)</f>
        <v>Rua Tomé de Souza, 438</v>
      </c>
      <c r="F378" s="8" t="str">
        <f>VLOOKUP($C378,tab_Agências[],4,FALSE)</f>
        <v>Centro</v>
      </c>
      <c r="G378" s="8" t="str">
        <f>VLOOKUP($C378,tab_Agências[],5,FALSE)</f>
        <v>17900-000</v>
      </c>
      <c r="H378" s="8" t="str">
        <f>VLOOKUP($C378,tab_Agências[],6,FALSE)</f>
        <v>Dracena</v>
      </c>
      <c r="I378" s="8" t="str">
        <f>VLOOKUP($C378,tab_Agências[],7,FALSE)</f>
        <v>Rua Tomé de Souza, 438 - Centro, Dracena, 17900-000</v>
      </c>
      <c r="J378" s="8" t="str">
        <f>VLOOKUP($C378,tab_Agências[],8,FALSE)</f>
        <v>(18) 3822-3166</v>
      </c>
      <c r="K378" s="8" t="str">
        <f>VLOOKUP($C378,tab_Agências[],9,FALSE)</f>
        <v>(18) 3822-3166</v>
      </c>
      <c r="L378" s="8" t="str">
        <f>VLOOKUP($C378,tab_Agências[],10,FALSE)</f>
        <v>dracena@cetesbnet.sp.gov.br</v>
      </c>
    </row>
    <row r="379" spans="1:12" x14ac:dyDescent="0.25">
      <c r="A379" s="8">
        <v>3533304</v>
      </c>
      <c r="B379" s="8" t="s">
        <v>1317</v>
      </c>
      <c r="C379" s="9">
        <v>2</v>
      </c>
      <c r="D379" s="10" t="str">
        <f>VLOOKUP($C379,tab_Agências[],2,FALSE)</f>
        <v>Agência Ambiental de Araçatuba</v>
      </c>
      <c r="E379" s="8" t="str">
        <f>VLOOKUP($C379,tab_Agências[],3,FALSE)</f>
        <v>Rua Ten. Alcides Teodoro dos Santos, 260</v>
      </c>
      <c r="F379" s="8" t="str">
        <f>VLOOKUP($C379,tab_Agências[],4,FALSE)</f>
        <v>Aviação</v>
      </c>
      <c r="G379" s="8" t="str">
        <f>VLOOKUP($C379,tab_Agências[],5,FALSE)</f>
        <v>16055-557</v>
      </c>
      <c r="H379" s="8" t="str">
        <f>VLOOKUP($C379,tab_Agências[],6,FALSE)</f>
        <v>Araçatuba</v>
      </c>
      <c r="I379" s="8" t="str">
        <f>VLOOKUP($C379,tab_Agências[],7,FALSE)</f>
        <v>Rua Ten. Alcides Teodoro dos Santos, 260 - Aviação, Araçatuba, 16055-557</v>
      </c>
      <c r="J379" s="8" t="str">
        <f>VLOOKUP($C379,tab_Agências[],8,FALSE)</f>
        <v>(18) 3608-8053</v>
      </c>
      <c r="K379" s="8" t="str">
        <f>VLOOKUP($C379,tab_Agências[],9,FALSE)</f>
        <v>(18) 3608-7197</v>
      </c>
      <c r="L379" s="8" t="str">
        <f>VLOOKUP($C379,tab_Agências[],10,FALSE)</f>
        <v>aracatuba@cetesbnet.sp.gov.br</v>
      </c>
    </row>
    <row r="380" spans="1:12" x14ac:dyDescent="0.25">
      <c r="A380" s="8">
        <v>3533403</v>
      </c>
      <c r="B380" s="8" t="s">
        <v>1318</v>
      </c>
      <c r="C380" s="9">
        <v>1</v>
      </c>
      <c r="D380" s="10" t="str">
        <f>VLOOKUP($C380,tab_Agências[],2,FALSE)</f>
        <v>Agência Ambiental de Americana</v>
      </c>
      <c r="E380" s="8" t="str">
        <f>VLOOKUP($C380,tab_Agências[],3,FALSE)</f>
        <v>Rua Florindo Cibin, 435</v>
      </c>
      <c r="F380" s="8" t="str">
        <f>VLOOKUP($C380,tab_Agências[],4,FALSE)</f>
        <v>Vila Medon</v>
      </c>
      <c r="G380" s="8" t="str">
        <f>VLOOKUP($C380,tab_Agências[],5,FALSE)</f>
        <v>13465-230</v>
      </c>
      <c r="H380" s="8" t="str">
        <f>VLOOKUP($C380,tab_Agências[],6,FALSE)</f>
        <v>Americana</v>
      </c>
      <c r="I380" s="8" t="str">
        <f>VLOOKUP($C380,tab_Agências[],7,FALSE)</f>
        <v>Rua Florindo Cibin, 435 - Vila Medon, Americana, 13465-230</v>
      </c>
      <c r="J380" s="8" t="str">
        <f>VLOOKUP($C380,tab_Agências[],8,FALSE)</f>
        <v>(19) 3461-1550</v>
      </c>
      <c r="K380" s="8" t="str">
        <f>VLOOKUP($C380,tab_Agências[],9,FALSE)</f>
        <v>(19) 3461-1550</v>
      </c>
      <c r="L380" s="8" t="str">
        <f>VLOOKUP($C380,tab_Agências[],10,FALSE)</f>
        <v>americana@cetesbnet.sp.gov.br</v>
      </c>
    </row>
    <row r="381" spans="1:12" x14ac:dyDescent="0.25">
      <c r="A381" s="8">
        <v>3533254</v>
      </c>
      <c r="B381" s="8" t="s">
        <v>1319</v>
      </c>
      <c r="C381" s="9">
        <v>36</v>
      </c>
      <c r="D381" s="10" t="str">
        <f>VLOOKUP($C381,tab_Agências[],2,FALSE)</f>
        <v>Agência Ambiental de São José do Rio Preto</v>
      </c>
      <c r="E381" s="8" t="str">
        <f>VLOOKUP($C381,tab_Agências[],3,FALSE)</f>
        <v>Avenida Mário Andreazza,</v>
      </c>
      <c r="F381" s="8" t="str">
        <f>VLOOKUP($C381,tab_Agências[],4,FALSE)</f>
        <v>Jardim São Marcos</v>
      </c>
      <c r="G381" s="8" t="str">
        <f>VLOOKUP($C381,tab_Agências[],5,FALSE)</f>
        <v>15081-490</v>
      </c>
      <c r="H381" s="8" t="str">
        <f>VLOOKUP($C381,tab_Agências[],6,FALSE)</f>
        <v>São José do Rio Preto</v>
      </c>
      <c r="I381" s="8" t="str">
        <f>VLOOKUP($C381,tab_Agências[],7,FALSE)</f>
        <v>Avenida Mário Andreazza, - Jardim São Marcos, São José do Rio Preto, 15081-490</v>
      </c>
      <c r="J381" s="8" t="str">
        <f>VLOOKUP($C381,tab_Agências[],8,FALSE)</f>
        <v>(17) 3218-4300</v>
      </c>
      <c r="K381" s="8" t="str">
        <f>VLOOKUP($C381,tab_Agências[],9,FALSE)</f>
        <v>(17) 3218-4300</v>
      </c>
      <c r="L381" s="8" t="str">
        <f>VLOOKUP($C381,tab_Agências[],10,FALSE)</f>
        <v>riopreto@cetesbnet.sp.gov.br</v>
      </c>
    </row>
    <row r="382" spans="1:12" x14ac:dyDescent="0.25">
      <c r="A382" s="8">
        <v>3533502</v>
      </c>
      <c r="B382" s="8" t="s">
        <v>1320</v>
      </c>
      <c r="C382" s="9">
        <v>36</v>
      </c>
      <c r="D382" s="10" t="str">
        <f>VLOOKUP($C382,tab_Agências[],2,FALSE)</f>
        <v>Agência Ambiental de São José do Rio Preto</v>
      </c>
      <c r="E382" s="8" t="str">
        <f>VLOOKUP($C382,tab_Agências[],3,FALSE)</f>
        <v>Avenida Mário Andreazza,</v>
      </c>
      <c r="F382" s="8" t="str">
        <f>VLOOKUP($C382,tab_Agências[],4,FALSE)</f>
        <v>Jardim São Marcos</v>
      </c>
      <c r="G382" s="8" t="str">
        <f>VLOOKUP($C382,tab_Agências[],5,FALSE)</f>
        <v>15081-490</v>
      </c>
      <c r="H382" s="8" t="str">
        <f>VLOOKUP($C382,tab_Agências[],6,FALSE)</f>
        <v>São José do Rio Preto</v>
      </c>
      <c r="I382" s="8" t="str">
        <f>VLOOKUP($C382,tab_Agências[],7,FALSE)</f>
        <v>Avenida Mário Andreazza, - Jardim São Marcos, São José do Rio Preto, 15081-490</v>
      </c>
      <c r="J382" s="8" t="str">
        <f>VLOOKUP($C382,tab_Agências[],8,FALSE)</f>
        <v>(17) 3218-4300</v>
      </c>
      <c r="K382" s="8" t="str">
        <f>VLOOKUP($C382,tab_Agências[],9,FALSE)</f>
        <v>(17) 3218-4300</v>
      </c>
      <c r="L382" s="8" t="str">
        <f>VLOOKUP($C382,tab_Agências[],10,FALSE)</f>
        <v>riopreto@cetesbnet.sp.gov.br</v>
      </c>
    </row>
    <row r="383" spans="1:12" x14ac:dyDescent="0.25">
      <c r="A383" s="8">
        <v>3533601</v>
      </c>
      <c r="B383" s="8" t="s">
        <v>1321</v>
      </c>
      <c r="C383" s="9">
        <v>31</v>
      </c>
      <c r="D383" s="10" t="str">
        <f>VLOOKUP($C383,tab_Agências[],2,FALSE)</f>
        <v>Agência Ambiental de Ribeirão Preto</v>
      </c>
      <c r="E383" s="8" t="str">
        <f>VLOOKUP($C383,tab_Agências[],3,FALSE)</f>
        <v>Avenida Presidente Kennedy, 1760</v>
      </c>
      <c r="F383" s="8" t="str">
        <f>VLOOKUP($C383,tab_Agências[],4,FALSE)</f>
        <v>Ribeirânia</v>
      </c>
      <c r="G383" s="8" t="str">
        <f>VLOOKUP($C383,tab_Agências[],5,FALSE)</f>
        <v>14096-350</v>
      </c>
      <c r="H383" s="8" t="str">
        <f>VLOOKUP($C383,tab_Agências[],6,FALSE)</f>
        <v>Ribeirão Preto</v>
      </c>
      <c r="I383" s="8" t="str">
        <f>VLOOKUP($C383,tab_Agências[],7,FALSE)</f>
        <v>Avenida Presidente Kennedy, 1760 - Ribeirânia, Ribeirão Preto, 14096-350</v>
      </c>
      <c r="J383" s="8" t="str">
        <f>VLOOKUP($C383,tab_Agências[],8,FALSE)</f>
        <v>(16) 3617-4700</v>
      </c>
      <c r="K383" s="8" t="str">
        <f>VLOOKUP($C383,tab_Agências[],9,FALSE)</f>
        <v>(16) 3617-4207</v>
      </c>
      <c r="L383" s="8" t="str">
        <f>VLOOKUP($C383,tab_Agências[],10,FALSE)</f>
        <v>ribeirao@cetesbnet.sp.gov.br</v>
      </c>
    </row>
    <row r="384" spans="1:12" x14ac:dyDescent="0.25">
      <c r="A384" s="8">
        <v>3533700</v>
      </c>
      <c r="B384" s="8" t="s">
        <v>1322</v>
      </c>
      <c r="C384" s="9">
        <v>4</v>
      </c>
      <c r="D384" s="10" t="str">
        <f>VLOOKUP($C384,tab_Agências[],2,FALSE)</f>
        <v>Agência Ambiental de Assis</v>
      </c>
      <c r="E384" s="8" t="str">
        <f>VLOOKUP($C384,tab_Agências[],3,FALSE)</f>
        <v>Via Chico Mendes, 75</v>
      </c>
      <c r="F384" s="8" t="str">
        <f>VLOOKUP($C384,tab_Agências[],4,FALSE)</f>
        <v>Quinta dos Flamboyants</v>
      </c>
      <c r="G384" s="8" t="str">
        <f>VLOOKUP($C384,tab_Agências[],5,FALSE)</f>
        <v>19810-005</v>
      </c>
      <c r="H384" s="8" t="str">
        <f>VLOOKUP($C384,tab_Agências[],6,FALSE)</f>
        <v>Assis</v>
      </c>
      <c r="I384" s="8" t="str">
        <f>VLOOKUP($C384,tab_Agências[],7,FALSE)</f>
        <v>Via Chico Mendes, 75 - Quinta dos Flamboyants, Assis, 19810-005</v>
      </c>
      <c r="J384" s="8" t="str">
        <f>VLOOKUP($C384,tab_Agências[],8,FALSE)</f>
        <v>(18) 3324-4177</v>
      </c>
      <c r="K384" s="8" t="str">
        <f>VLOOKUP($C384,tab_Agências[],9,FALSE)</f>
        <v>(18) 3324-4177</v>
      </c>
      <c r="L384" s="8" t="str">
        <f>VLOOKUP($C384,tab_Agências[],10,FALSE)</f>
        <v>assis@cetesbnet.sp.gov.br</v>
      </c>
    </row>
    <row r="385" spans="1:12" x14ac:dyDescent="0.25">
      <c r="A385" s="8">
        <v>3533809</v>
      </c>
      <c r="B385" s="8" t="s">
        <v>1323</v>
      </c>
      <c r="C385" s="9">
        <v>4</v>
      </c>
      <c r="D385" s="10" t="str">
        <f>VLOOKUP($C385,tab_Agências[],2,FALSE)</f>
        <v>Agência Ambiental de Assis</v>
      </c>
      <c r="E385" s="8" t="str">
        <f>VLOOKUP($C385,tab_Agências[],3,FALSE)</f>
        <v>Via Chico Mendes, 75</v>
      </c>
      <c r="F385" s="8" t="str">
        <f>VLOOKUP($C385,tab_Agências[],4,FALSE)</f>
        <v>Quinta dos Flamboyants</v>
      </c>
      <c r="G385" s="8" t="str">
        <f>VLOOKUP($C385,tab_Agências[],5,FALSE)</f>
        <v>19810-005</v>
      </c>
      <c r="H385" s="8" t="str">
        <f>VLOOKUP($C385,tab_Agências[],6,FALSE)</f>
        <v>Assis</v>
      </c>
      <c r="I385" s="8" t="str">
        <f>VLOOKUP($C385,tab_Agências[],7,FALSE)</f>
        <v>Via Chico Mendes, 75 - Quinta dos Flamboyants, Assis, 19810-005</v>
      </c>
      <c r="J385" s="8" t="str">
        <f>VLOOKUP($C385,tab_Agências[],8,FALSE)</f>
        <v>(18) 3324-4177</v>
      </c>
      <c r="K385" s="8" t="str">
        <f>VLOOKUP($C385,tab_Agências[],9,FALSE)</f>
        <v>(18) 3324-4177</v>
      </c>
      <c r="L385" s="8" t="str">
        <f>VLOOKUP($C385,tab_Agências[],10,FALSE)</f>
        <v>assis@cetesbnet.sp.gov.br</v>
      </c>
    </row>
    <row r="386" spans="1:12" x14ac:dyDescent="0.25">
      <c r="A386" s="8">
        <v>3533908</v>
      </c>
      <c r="B386" s="8" t="s">
        <v>1324</v>
      </c>
      <c r="C386" s="9">
        <v>7</v>
      </c>
      <c r="D386" s="10" t="str">
        <f>VLOOKUP($C386,tab_Agências[],2,FALSE)</f>
        <v>Agência Ambiental de Barretos</v>
      </c>
      <c r="E386" s="8" t="str">
        <f>VLOOKUP($C386,tab_Agências[],3,FALSE)</f>
        <v>Rua Bolívia, 2255</v>
      </c>
      <c r="F386" s="8" t="str">
        <f>VLOOKUP($C386,tab_Agências[],4,FALSE)</f>
        <v>América</v>
      </c>
      <c r="G386" s="8" t="str">
        <f>VLOOKUP($C386,tab_Agências[],5,FALSE)</f>
        <v>14783-197</v>
      </c>
      <c r="H386" s="8" t="str">
        <f>VLOOKUP($C386,tab_Agências[],6,FALSE)</f>
        <v>Barretos</v>
      </c>
      <c r="I386" s="8" t="str">
        <f>VLOOKUP($C386,tab_Agências[],7,FALSE)</f>
        <v>Rua Bolívia, 2255 - América, Barretos, 14783-197</v>
      </c>
      <c r="J386" s="8" t="str">
        <f>VLOOKUP($C386,tab_Agências[],8,FALSE)</f>
        <v>(17) 3322-2655</v>
      </c>
      <c r="K386" s="8" t="str">
        <f>VLOOKUP($C386,tab_Agências[],9,FALSE)</f>
        <v>(17) 3322-2952</v>
      </c>
      <c r="L386" s="8" t="str">
        <f>VLOOKUP($C386,tab_Agências[],10,FALSE)</f>
        <v>barretos@cetesbnet.sp.gov.br</v>
      </c>
    </row>
    <row r="387" spans="1:12" x14ac:dyDescent="0.25">
      <c r="A387" s="8">
        <v>3534005</v>
      </c>
      <c r="B387" s="8" t="s">
        <v>1325</v>
      </c>
      <c r="C387" s="9">
        <v>36</v>
      </c>
      <c r="D387" s="10" t="str">
        <f>VLOOKUP($C387,tab_Agências[],2,FALSE)</f>
        <v>Agência Ambiental de São José do Rio Preto</v>
      </c>
      <c r="E387" s="8" t="str">
        <f>VLOOKUP($C387,tab_Agências[],3,FALSE)</f>
        <v>Avenida Mário Andreazza,</v>
      </c>
      <c r="F387" s="8" t="str">
        <f>VLOOKUP($C387,tab_Agências[],4,FALSE)</f>
        <v>Jardim São Marcos</v>
      </c>
      <c r="G387" s="8" t="str">
        <f>VLOOKUP($C387,tab_Agências[],5,FALSE)</f>
        <v>15081-490</v>
      </c>
      <c r="H387" s="8" t="str">
        <f>VLOOKUP($C387,tab_Agências[],6,FALSE)</f>
        <v>São José do Rio Preto</v>
      </c>
      <c r="I387" s="8" t="str">
        <f>VLOOKUP($C387,tab_Agências[],7,FALSE)</f>
        <v>Avenida Mário Andreazza, - Jardim São Marcos, São José do Rio Preto, 15081-490</v>
      </c>
      <c r="J387" s="8" t="str">
        <f>VLOOKUP($C387,tab_Agências[],8,FALSE)</f>
        <v>(17) 3218-4300</v>
      </c>
      <c r="K387" s="8" t="str">
        <f>VLOOKUP($C387,tab_Agências[],9,FALSE)</f>
        <v>(17) 3218-4300</v>
      </c>
      <c r="L387" s="8" t="str">
        <f>VLOOKUP($C387,tab_Agências[],10,FALSE)</f>
        <v>riopreto@cetesbnet.sp.gov.br</v>
      </c>
    </row>
    <row r="388" spans="1:12" x14ac:dyDescent="0.25">
      <c r="A388" s="8">
        <v>3534104</v>
      </c>
      <c r="B388" s="8" t="s">
        <v>1326</v>
      </c>
      <c r="C388" s="9">
        <v>23</v>
      </c>
      <c r="D388" s="10" t="str">
        <f>VLOOKUP($C388,tab_Agências[],2,FALSE)</f>
        <v>Agência Ambiental de Marília</v>
      </c>
      <c r="E388" s="8" t="str">
        <f>VLOOKUP($C388,tab_Agências[],3,FALSE)</f>
        <v>Rua Santa Helena, 436</v>
      </c>
      <c r="F388" s="8" t="str">
        <f>VLOOKUP($C388,tab_Agências[],4,FALSE)</f>
        <v>Jardim Alvorada</v>
      </c>
      <c r="G388" s="8" t="str">
        <f>VLOOKUP($C388,tab_Agências[],5,FALSE)</f>
        <v>17513-322</v>
      </c>
      <c r="H388" s="8" t="str">
        <f>VLOOKUP($C388,tab_Agências[],6,FALSE)</f>
        <v>Marília</v>
      </c>
      <c r="I388" s="8" t="str">
        <f>VLOOKUP($C388,tab_Agências[],7,FALSE)</f>
        <v>Rua Santa Helena, 436 - Jardim Alvorada, Marília, 17513-322</v>
      </c>
      <c r="J388" s="8" t="str">
        <f>VLOOKUP($C388,tab_Agências[],8,FALSE)</f>
        <v>(14) 3422-4666</v>
      </c>
      <c r="K388" s="8" t="str">
        <f>VLOOKUP($C388,tab_Agências[],9,FALSE)</f>
        <v>(14) 3422-4666</v>
      </c>
      <c r="L388" s="8" t="str">
        <f>VLOOKUP($C388,tab_Agências[],10,FALSE)</f>
        <v>marilia@cetesbnet.sp.gov.br</v>
      </c>
    </row>
    <row r="389" spans="1:12" x14ac:dyDescent="0.25">
      <c r="A389" s="8">
        <v>3534203</v>
      </c>
      <c r="B389" s="8" t="s">
        <v>1327</v>
      </c>
      <c r="C389" s="9">
        <v>41</v>
      </c>
      <c r="D389" s="10" t="str">
        <f>VLOOKUP($C389,tab_Agências[],2,FALSE)</f>
        <v>Agência Ambiental de Votuporanga</v>
      </c>
      <c r="E389" s="8" t="str">
        <f>VLOOKUP($C389,tab_Agências[],3,FALSE)</f>
        <v>Avenida Deputado Aureo Ferreira, 1724</v>
      </c>
      <c r="F389" s="8" t="str">
        <f>VLOOKUP($C389,tab_Agências[],4,FALSE)</f>
        <v>Vila Paes</v>
      </c>
      <c r="G389" s="8" t="str">
        <f>VLOOKUP($C389,tab_Agências[],5,FALSE)</f>
        <v>15500-112</v>
      </c>
      <c r="H389" s="8" t="str">
        <f>VLOOKUP($C389,tab_Agências[],6,FALSE)</f>
        <v>Votuporanga</v>
      </c>
      <c r="I389" s="8" t="str">
        <f>VLOOKUP($C389,tab_Agências[],7,FALSE)</f>
        <v>Avenida Deputado Aureo Ferreira, 1724 - Vila Paes, Votuporanga, 15500-112</v>
      </c>
      <c r="J389" s="8" t="str">
        <f>VLOOKUP($C389,tab_Agências[],8,FALSE)</f>
        <v>(17) 3421-4004</v>
      </c>
      <c r="K389" s="8" t="str">
        <f>VLOOKUP($C389,tab_Agências[],9,FALSE)</f>
        <v>(17) 3421-4004</v>
      </c>
      <c r="L389" s="8" t="str">
        <f>VLOOKUP($C389,tab_Agências[],10,FALSE)</f>
        <v>votuporanga@cetesbnet.sp.gov.br</v>
      </c>
    </row>
    <row r="390" spans="1:12" x14ac:dyDescent="0.25">
      <c r="A390" s="8">
        <v>3534302</v>
      </c>
      <c r="B390" s="8" t="s">
        <v>1328</v>
      </c>
      <c r="C390" s="9">
        <v>31</v>
      </c>
      <c r="D390" s="10" t="str">
        <f>VLOOKUP($C390,tab_Agências[],2,FALSE)</f>
        <v>Agência Ambiental de Ribeirão Preto</v>
      </c>
      <c r="E390" s="8" t="str">
        <f>VLOOKUP($C390,tab_Agências[],3,FALSE)</f>
        <v>Avenida Presidente Kennedy, 1760</v>
      </c>
      <c r="F390" s="8" t="str">
        <f>VLOOKUP($C390,tab_Agências[],4,FALSE)</f>
        <v>Ribeirânia</v>
      </c>
      <c r="G390" s="8" t="str">
        <f>VLOOKUP($C390,tab_Agências[],5,FALSE)</f>
        <v>14096-350</v>
      </c>
      <c r="H390" s="8" t="str">
        <f>VLOOKUP($C390,tab_Agências[],6,FALSE)</f>
        <v>Ribeirão Preto</v>
      </c>
      <c r="I390" s="8" t="str">
        <f>VLOOKUP($C390,tab_Agências[],7,FALSE)</f>
        <v>Avenida Presidente Kennedy, 1760 - Ribeirânia, Ribeirão Preto, 14096-350</v>
      </c>
      <c r="J390" s="8" t="str">
        <f>VLOOKUP($C390,tab_Agências[],8,FALSE)</f>
        <v>(16) 3617-4700</v>
      </c>
      <c r="K390" s="8" t="str">
        <f>VLOOKUP($C390,tab_Agências[],9,FALSE)</f>
        <v>(16) 3617-4207</v>
      </c>
      <c r="L390" s="8" t="str">
        <f>VLOOKUP($C390,tab_Agências[],10,FALSE)</f>
        <v>ribeirao@cetesbnet.sp.gov.br</v>
      </c>
    </row>
    <row r="391" spans="1:12" x14ac:dyDescent="0.25">
      <c r="A391" s="8">
        <v>3534401</v>
      </c>
      <c r="B391" s="8" t="s">
        <v>1329</v>
      </c>
      <c r="C391" s="9">
        <v>26</v>
      </c>
      <c r="D391" s="10" t="str">
        <f>VLOOKUP($C391,tab_Agências[],2,FALSE)</f>
        <v>Agência Ambiental de Osasco</v>
      </c>
      <c r="E391" s="8" t="str">
        <f>VLOOKUP($C391,tab_Agências[],3,FALSE)</f>
        <v>Rua Anete Queiroz Lacerda, 80</v>
      </c>
      <c r="F391" s="8" t="str">
        <f>VLOOKUP($C391,tab_Agências[],4,FALSE)</f>
        <v>Butantã</v>
      </c>
      <c r="G391" s="8" t="str">
        <f>VLOOKUP($C391,tab_Agências[],5,FALSE)</f>
        <v>05591-080</v>
      </c>
      <c r="H391" s="8" t="str">
        <f>VLOOKUP($C391,tab_Agências[],6,FALSE)</f>
        <v>São Paulo</v>
      </c>
      <c r="I391" s="8" t="str">
        <f>VLOOKUP($C391,tab_Agências[],7,FALSE)</f>
        <v>Rua Anete Queiroz Lacerda, 80 - Butantã, São Paulo, 05591-080</v>
      </c>
      <c r="J391" s="8" t="str">
        <f>VLOOKUP($C391,tab_Agências[],8,FALSE)</f>
        <v>(11) 3721-9600</v>
      </c>
      <c r="K391" s="8" t="str">
        <f>VLOOKUP($C391,tab_Agências[],9,FALSE)</f>
        <v>(11) 3721-9600</v>
      </c>
      <c r="L391" s="8" t="str">
        <f>VLOOKUP($C391,tab_Agências[],10,FALSE)</f>
        <v>osasco@cetesbnet.sp.gov.br</v>
      </c>
    </row>
    <row r="392" spans="1:12" x14ac:dyDescent="0.25">
      <c r="A392" s="8">
        <v>3534500</v>
      </c>
      <c r="B392" s="8" t="s">
        <v>1330</v>
      </c>
      <c r="C392" s="9">
        <v>4</v>
      </c>
      <c r="D392" s="10" t="str">
        <f>VLOOKUP($C392,tab_Agências[],2,FALSE)</f>
        <v>Agência Ambiental de Assis</v>
      </c>
      <c r="E392" s="8" t="str">
        <f>VLOOKUP($C392,tab_Agências[],3,FALSE)</f>
        <v>Via Chico Mendes, 75</v>
      </c>
      <c r="F392" s="8" t="str">
        <f>VLOOKUP($C392,tab_Agências[],4,FALSE)</f>
        <v>Quinta dos Flamboyants</v>
      </c>
      <c r="G392" s="8" t="str">
        <f>VLOOKUP($C392,tab_Agências[],5,FALSE)</f>
        <v>19810-005</v>
      </c>
      <c r="H392" s="8" t="str">
        <f>VLOOKUP($C392,tab_Agências[],6,FALSE)</f>
        <v>Assis</v>
      </c>
      <c r="I392" s="8" t="str">
        <f>VLOOKUP($C392,tab_Agências[],7,FALSE)</f>
        <v>Via Chico Mendes, 75 - Quinta dos Flamboyants, Assis, 19810-005</v>
      </c>
      <c r="J392" s="8" t="str">
        <f>VLOOKUP($C392,tab_Agências[],8,FALSE)</f>
        <v>(18) 3324-4177</v>
      </c>
      <c r="K392" s="8" t="str">
        <f>VLOOKUP($C392,tab_Agências[],9,FALSE)</f>
        <v>(18) 3324-4177</v>
      </c>
      <c r="L392" s="8" t="str">
        <f>VLOOKUP($C392,tab_Agências[],10,FALSE)</f>
        <v>assis@cetesbnet.sp.gov.br</v>
      </c>
    </row>
    <row r="393" spans="1:12" x14ac:dyDescent="0.25">
      <c r="A393" s="8">
        <v>3534609</v>
      </c>
      <c r="B393" s="8" t="s">
        <v>1331</v>
      </c>
      <c r="C393" s="9">
        <v>13</v>
      </c>
      <c r="D393" s="10" t="str">
        <f>VLOOKUP($C393,tab_Agências[],2,FALSE)</f>
        <v>Agência Ambiental de Dracena</v>
      </c>
      <c r="E393" s="8" t="str">
        <f>VLOOKUP($C393,tab_Agências[],3,FALSE)</f>
        <v>Rua Tomé de Souza, 438</v>
      </c>
      <c r="F393" s="8" t="str">
        <f>VLOOKUP($C393,tab_Agências[],4,FALSE)</f>
        <v>Centro</v>
      </c>
      <c r="G393" s="8" t="str">
        <f>VLOOKUP($C393,tab_Agências[],5,FALSE)</f>
        <v>17900-000</v>
      </c>
      <c r="H393" s="8" t="str">
        <f>VLOOKUP($C393,tab_Agências[],6,FALSE)</f>
        <v>Dracena</v>
      </c>
      <c r="I393" s="8" t="str">
        <f>VLOOKUP($C393,tab_Agências[],7,FALSE)</f>
        <v>Rua Tomé de Souza, 438 - Centro, Dracena, 17900-000</v>
      </c>
      <c r="J393" s="8" t="str">
        <f>VLOOKUP($C393,tab_Agências[],8,FALSE)</f>
        <v>(18) 3822-3166</v>
      </c>
      <c r="K393" s="8" t="str">
        <f>VLOOKUP($C393,tab_Agências[],9,FALSE)</f>
        <v>(18) 3822-3166</v>
      </c>
      <c r="L393" s="8" t="str">
        <f>VLOOKUP($C393,tab_Agências[],10,FALSE)</f>
        <v>dracena@cetesbnet.sp.gov.br</v>
      </c>
    </row>
    <row r="394" spans="1:12" x14ac:dyDescent="0.25">
      <c r="A394" s="8">
        <v>3534708</v>
      </c>
      <c r="B394" s="8" t="s">
        <v>1332</v>
      </c>
      <c r="C394" s="9">
        <v>4</v>
      </c>
      <c r="D394" s="10" t="str">
        <f>VLOOKUP($C394,tab_Agências[],2,FALSE)</f>
        <v>Agência Ambiental de Assis</v>
      </c>
      <c r="E394" s="8" t="str">
        <f>VLOOKUP($C394,tab_Agências[],3,FALSE)</f>
        <v>Via Chico Mendes, 75</v>
      </c>
      <c r="F394" s="8" t="str">
        <f>VLOOKUP($C394,tab_Agências[],4,FALSE)</f>
        <v>Quinta dos Flamboyants</v>
      </c>
      <c r="G394" s="8" t="str">
        <f>VLOOKUP($C394,tab_Agências[],5,FALSE)</f>
        <v>19810-005</v>
      </c>
      <c r="H394" s="8" t="str">
        <f>VLOOKUP($C394,tab_Agências[],6,FALSE)</f>
        <v>Assis</v>
      </c>
      <c r="I394" s="8" t="str">
        <f>VLOOKUP($C394,tab_Agências[],7,FALSE)</f>
        <v>Via Chico Mendes, 75 - Quinta dos Flamboyants, Assis, 19810-005</v>
      </c>
      <c r="J394" s="8" t="str">
        <f>VLOOKUP($C394,tab_Agências[],8,FALSE)</f>
        <v>(18) 3324-4177</v>
      </c>
      <c r="K394" s="8" t="str">
        <f>VLOOKUP($C394,tab_Agências[],9,FALSE)</f>
        <v>(18) 3324-4177</v>
      </c>
      <c r="L394" s="8" t="str">
        <f>VLOOKUP($C394,tab_Agências[],10,FALSE)</f>
        <v>assis@cetesbnet.sp.gov.br</v>
      </c>
    </row>
    <row r="395" spans="1:12" x14ac:dyDescent="0.25">
      <c r="A395" s="8">
        <v>3534807</v>
      </c>
      <c r="B395" s="8" t="s">
        <v>1333</v>
      </c>
      <c r="C395" s="9">
        <v>13</v>
      </c>
      <c r="D395" s="10" t="str">
        <f>VLOOKUP($C395,tab_Agências[],2,FALSE)</f>
        <v>Agência Ambiental de Dracena</v>
      </c>
      <c r="E395" s="8" t="str">
        <f>VLOOKUP($C395,tab_Agências[],3,FALSE)</f>
        <v>Rua Tomé de Souza, 438</v>
      </c>
      <c r="F395" s="8" t="str">
        <f>VLOOKUP($C395,tab_Agências[],4,FALSE)</f>
        <v>Centro</v>
      </c>
      <c r="G395" s="8" t="str">
        <f>VLOOKUP($C395,tab_Agências[],5,FALSE)</f>
        <v>17900-000</v>
      </c>
      <c r="H395" s="8" t="str">
        <f>VLOOKUP($C395,tab_Agências[],6,FALSE)</f>
        <v>Dracena</v>
      </c>
      <c r="I395" s="8" t="str">
        <f>VLOOKUP($C395,tab_Agências[],7,FALSE)</f>
        <v>Rua Tomé de Souza, 438 - Centro, Dracena, 17900-000</v>
      </c>
      <c r="J395" s="8" t="str">
        <f>VLOOKUP($C395,tab_Agências[],8,FALSE)</f>
        <v>(18) 3822-3166</v>
      </c>
      <c r="K395" s="8" t="str">
        <f>VLOOKUP($C395,tab_Agências[],9,FALSE)</f>
        <v>(18) 3822-3166</v>
      </c>
      <c r="L395" s="8" t="str">
        <f>VLOOKUP($C395,tab_Agências[],10,FALSE)</f>
        <v>dracena@cetesbnet.sp.gov.br</v>
      </c>
    </row>
    <row r="396" spans="1:12" x14ac:dyDescent="0.25">
      <c r="A396" s="8">
        <v>3534757</v>
      </c>
      <c r="B396" s="8" t="s">
        <v>1334</v>
      </c>
      <c r="C396" s="9">
        <v>20</v>
      </c>
      <c r="D396" s="10" t="str">
        <f>VLOOKUP($C396,tab_Agências[],2,FALSE)</f>
        <v>Agência Ambiental de Jales</v>
      </c>
      <c r="E396" s="8" t="str">
        <f>VLOOKUP($C396,tab_Agências[],3,FALSE)</f>
        <v>Rua Nova Iorque, 1016</v>
      </c>
      <c r="F396" s="8" t="str">
        <f>VLOOKUP($C396,tab_Agências[],4,FALSE)</f>
        <v>Jardim Monte Rrey</v>
      </c>
      <c r="G396" s="8" t="str">
        <f>VLOOKUP($C396,tab_Agências[],5,FALSE)</f>
        <v>15703-326</v>
      </c>
      <c r="H396" s="8" t="str">
        <f>VLOOKUP($C396,tab_Agências[],6,FALSE)</f>
        <v>Jales</v>
      </c>
      <c r="I396" s="8" t="str">
        <f>VLOOKUP($C396,tab_Agências[],7,FALSE)</f>
        <v>Rua Nova Iorque, 1016 - Jardim Monte Rrey, Jales, 15703-326</v>
      </c>
      <c r="J396" s="8" t="str">
        <f>VLOOKUP($C396,tab_Agências[],8,FALSE)</f>
        <v>(17) 3621-1042</v>
      </c>
      <c r="K396" s="8" t="str">
        <f>VLOOKUP($C396,tab_Agências[],9,FALSE)</f>
        <v>(17) 3621-1042</v>
      </c>
      <c r="L396" s="8" t="str">
        <f>VLOOKUP($C396,tab_Agências[],10,FALSE)</f>
        <v>jales@cetesbnet.sp.gov.br</v>
      </c>
    </row>
    <row r="397" spans="1:12" x14ac:dyDescent="0.25">
      <c r="A397" s="8">
        <v>3534906</v>
      </c>
      <c r="B397" s="8" t="s">
        <v>1335</v>
      </c>
      <c r="C397" s="9">
        <v>13</v>
      </c>
      <c r="D397" s="10" t="str">
        <f>VLOOKUP($C397,tab_Agências[],2,FALSE)</f>
        <v>Agência Ambiental de Dracena</v>
      </c>
      <c r="E397" s="8" t="str">
        <f>VLOOKUP($C397,tab_Agências[],3,FALSE)</f>
        <v>Rua Tomé de Souza, 438</v>
      </c>
      <c r="F397" s="8" t="str">
        <f>VLOOKUP($C397,tab_Agências[],4,FALSE)</f>
        <v>Centro</v>
      </c>
      <c r="G397" s="8" t="str">
        <f>VLOOKUP($C397,tab_Agências[],5,FALSE)</f>
        <v>17900-000</v>
      </c>
      <c r="H397" s="8" t="str">
        <f>VLOOKUP($C397,tab_Agências[],6,FALSE)</f>
        <v>Dracena</v>
      </c>
      <c r="I397" s="8" t="str">
        <f>VLOOKUP($C397,tab_Agências[],7,FALSE)</f>
        <v>Rua Tomé de Souza, 438 - Centro, Dracena, 17900-000</v>
      </c>
      <c r="J397" s="8" t="str">
        <f>VLOOKUP($C397,tab_Agências[],8,FALSE)</f>
        <v>(18) 3822-3166</v>
      </c>
      <c r="K397" s="8" t="str">
        <f>VLOOKUP($C397,tab_Agências[],9,FALSE)</f>
        <v>(18) 3822-3166</v>
      </c>
      <c r="L397" s="8" t="str">
        <f>VLOOKUP($C397,tab_Agências[],10,FALSE)</f>
        <v>dracena@cetesbnet.sp.gov.br</v>
      </c>
    </row>
    <row r="398" spans="1:12" x14ac:dyDescent="0.25">
      <c r="A398" s="8">
        <v>3535002</v>
      </c>
      <c r="B398" s="8" t="s">
        <v>1336</v>
      </c>
      <c r="C398" s="9">
        <v>36</v>
      </c>
      <c r="D398" s="10" t="str">
        <f>VLOOKUP($C398,tab_Agências[],2,FALSE)</f>
        <v>Agência Ambiental de São José do Rio Preto</v>
      </c>
      <c r="E398" s="8" t="str">
        <f>VLOOKUP($C398,tab_Agências[],3,FALSE)</f>
        <v>Avenida Mário Andreazza,</v>
      </c>
      <c r="F398" s="8" t="str">
        <f>VLOOKUP($C398,tab_Agências[],4,FALSE)</f>
        <v>Jardim São Marcos</v>
      </c>
      <c r="G398" s="8" t="str">
        <f>VLOOKUP($C398,tab_Agências[],5,FALSE)</f>
        <v>15081-490</v>
      </c>
      <c r="H398" s="8" t="str">
        <f>VLOOKUP($C398,tab_Agências[],6,FALSE)</f>
        <v>São José do Rio Preto</v>
      </c>
      <c r="I398" s="8" t="str">
        <f>VLOOKUP($C398,tab_Agências[],7,FALSE)</f>
        <v>Avenida Mário Andreazza, - Jardim São Marcos, São José do Rio Preto, 15081-490</v>
      </c>
      <c r="J398" s="8" t="str">
        <f>VLOOKUP($C398,tab_Agências[],8,FALSE)</f>
        <v>(17) 3218-4300</v>
      </c>
      <c r="K398" s="8" t="str">
        <f>VLOOKUP($C398,tab_Agências[],9,FALSE)</f>
        <v>(17) 3218-4300</v>
      </c>
      <c r="L398" s="8" t="str">
        <f>VLOOKUP($C398,tab_Agências[],10,FALSE)</f>
        <v>riopreto@cetesbnet.sp.gov.br</v>
      </c>
    </row>
    <row r="399" spans="1:12" x14ac:dyDescent="0.25">
      <c r="A399" s="8">
        <v>3535101</v>
      </c>
      <c r="B399" s="8" t="s">
        <v>1337</v>
      </c>
      <c r="C399" s="9">
        <v>36</v>
      </c>
      <c r="D399" s="10" t="str">
        <f>VLOOKUP($C399,tab_Agências[],2,FALSE)</f>
        <v>Agência Ambiental de São José do Rio Preto</v>
      </c>
      <c r="E399" s="8" t="str">
        <f>VLOOKUP($C399,tab_Agências[],3,FALSE)</f>
        <v>Avenida Mário Andreazza,</v>
      </c>
      <c r="F399" s="8" t="str">
        <f>VLOOKUP($C399,tab_Agências[],4,FALSE)</f>
        <v>Jardim São Marcos</v>
      </c>
      <c r="G399" s="8" t="str">
        <f>VLOOKUP($C399,tab_Agências[],5,FALSE)</f>
        <v>15081-490</v>
      </c>
      <c r="H399" s="8" t="str">
        <f>VLOOKUP($C399,tab_Agências[],6,FALSE)</f>
        <v>São José do Rio Preto</v>
      </c>
      <c r="I399" s="8" t="str">
        <f>VLOOKUP($C399,tab_Agências[],7,FALSE)</f>
        <v>Avenida Mário Andreazza, - Jardim São Marcos, São José do Rio Preto, 15081-490</v>
      </c>
      <c r="J399" s="8" t="str">
        <f>VLOOKUP($C399,tab_Agências[],8,FALSE)</f>
        <v>(17) 3218-4300</v>
      </c>
      <c r="K399" s="8" t="str">
        <f>VLOOKUP($C399,tab_Agências[],9,FALSE)</f>
        <v>(17) 3218-4300</v>
      </c>
      <c r="L399" s="8" t="str">
        <f>VLOOKUP($C399,tab_Agências[],10,FALSE)</f>
        <v>riopreto@cetesbnet.sp.gov.br</v>
      </c>
    </row>
    <row r="400" spans="1:12" x14ac:dyDescent="0.25">
      <c r="A400" s="8">
        <v>3535200</v>
      </c>
      <c r="B400" s="8" t="s">
        <v>1338</v>
      </c>
      <c r="C400" s="9">
        <v>20</v>
      </c>
      <c r="D400" s="10" t="str">
        <f>VLOOKUP($C400,tab_Agências[],2,FALSE)</f>
        <v>Agência Ambiental de Jales</v>
      </c>
      <c r="E400" s="8" t="str">
        <f>VLOOKUP($C400,tab_Agências[],3,FALSE)</f>
        <v>Rua Nova Iorque, 1016</v>
      </c>
      <c r="F400" s="8" t="str">
        <f>VLOOKUP($C400,tab_Agências[],4,FALSE)</f>
        <v>Jardim Monte Rrey</v>
      </c>
      <c r="G400" s="8" t="str">
        <f>VLOOKUP($C400,tab_Agências[],5,FALSE)</f>
        <v>15703-326</v>
      </c>
      <c r="H400" s="8" t="str">
        <f>VLOOKUP($C400,tab_Agências[],6,FALSE)</f>
        <v>Jales</v>
      </c>
      <c r="I400" s="8" t="str">
        <f>VLOOKUP($C400,tab_Agências[],7,FALSE)</f>
        <v>Rua Nova Iorque, 1016 - Jardim Monte Rrey, Jales, 15703-326</v>
      </c>
      <c r="J400" s="8" t="str">
        <f>VLOOKUP($C400,tab_Agências[],8,FALSE)</f>
        <v>(17) 3621-1042</v>
      </c>
      <c r="K400" s="8" t="str">
        <f>VLOOKUP($C400,tab_Agências[],9,FALSE)</f>
        <v>(17) 3621-1042</v>
      </c>
      <c r="L400" s="8" t="str">
        <f>VLOOKUP($C400,tab_Agências[],10,FALSE)</f>
        <v>jales@cetesbnet.sp.gov.br</v>
      </c>
    </row>
    <row r="401" spans="1:12" x14ac:dyDescent="0.25">
      <c r="A401" s="8">
        <v>3535309</v>
      </c>
      <c r="B401" s="8" t="s">
        <v>1339</v>
      </c>
      <c r="C401" s="9">
        <v>4</v>
      </c>
      <c r="D401" s="10" t="str">
        <f>VLOOKUP($C401,tab_Agências[],2,FALSE)</f>
        <v>Agência Ambiental de Assis</v>
      </c>
      <c r="E401" s="8" t="str">
        <f>VLOOKUP($C401,tab_Agências[],3,FALSE)</f>
        <v>Via Chico Mendes, 75</v>
      </c>
      <c r="F401" s="8" t="str">
        <f>VLOOKUP($C401,tab_Agências[],4,FALSE)</f>
        <v>Quinta dos Flamboyants</v>
      </c>
      <c r="G401" s="8" t="str">
        <f>VLOOKUP($C401,tab_Agências[],5,FALSE)</f>
        <v>19810-005</v>
      </c>
      <c r="H401" s="8" t="str">
        <f>VLOOKUP($C401,tab_Agências[],6,FALSE)</f>
        <v>Assis</v>
      </c>
      <c r="I401" s="8" t="str">
        <f>VLOOKUP($C401,tab_Agências[],7,FALSE)</f>
        <v>Via Chico Mendes, 75 - Quinta dos Flamboyants, Assis, 19810-005</v>
      </c>
      <c r="J401" s="8" t="str">
        <f>VLOOKUP($C401,tab_Agências[],8,FALSE)</f>
        <v>(18) 3324-4177</v>
      </c>
      <c r="K401" s="8" t="str">
        <f>VLOOKUP($C401,tab_Agências[],9,FALSE)</f>
        <v>(18) 3324-4177</v>
      </c>
      <c r="L401" s="8" t="str">
        <f>VLOOKUP($C401,tab_Agências[],10,FALSE)</f>
        <v>assis@cetesbnet.sp.gov.br</v>
      </c>
    </row>
    <row r="402" spans="1:12" x14ac:dyDescent="0.25">
      <c r="A402" s="8">
        <v>3535408</v>
      </c>
      <c r="B402" s="8" t="s">
        <v>1340</v>
      </c>
      <c r="C402" s="9">
        <v>13</v>
      </c>
      <c r="D402" s="10" t="str">
        <f>VLOOKUP($C402,tab_Agências[],2,FALSE)</f>
        <v>Agência Ambiental de Dracena</v>
      </c>
      <c r="E402" s="8" t="str">
        <f>VLOOKUP($C402,tab_Agências[],3,FALSE)</f>
        <v>Rua Tomé de Souza, 438</v>
      </c>
      <c r="F402" s="8" t="str">
        <f>VLOOKUP($C402,tab_Agências[],4,FALSE)</f>
        <v>Centro</v>
      </c>
      <c r="G402" s="8" t="str">
        <f>VLOOKUP($C402,tab_Agências[],5,FALSE)</f>
        <v>17900-000</v>
      </c>
      <c r="H402" s="8" t="str">
        <f>VLOOKUP($C402,tab_Agências[],6,FALSE)</f>
        <v>Dracena</v>
      </c>
      <c r="I402" s="8" t="str">
        <f>VLOOKUP($C402,tab_Agências[],7,FALSE)</f>
        <v>Rua Tomé de Souza, 438 - Centro, Dracena, 17900-000</v>
      </c>
      <c r="J402" s="8" t="str">
        <f>VLOOKUP($C402,tab_Agências[],8,FALSE)</f>
        <v>(18) 3822-3166</v>
      </c>
      <c r="K402" s="8" t="str">
        <f>VLOOKUP($C402,tab_Agências[],9,FALSE)</f>
        <v>(18) 3822-3166</v>
      </c>
      <c r="L402" s="8" t="str">
        <f>VLOOKUP($C402,tab_Agências[],10,FALSE)</f>
        <v>dracena@cetesbnet.sp.gov.br</v>
      </c>
    </row>
    <row r="403" spans="1:12" x14ac:dyDescent="0.25">
      <c r="A403" s="8">
        <v>3535507</v>
      </c>
      <c r="B403" s="8" t="s">
        <v>1341</v>
      </c>
      <c r="C403" s="9">
        <v>4</v>
      </c>
      <c r="D403" s="10" t="str">
        <f>VLOOKUP($C403,tab_Agências[],2,FALSE)</f>
        <v>Agência Ambiental de Assis</v>
      </c>
      <c r="E403" s="8" t="str">
        <f>VLOOKUP($C403,tab_Agências[],3,FALSE)</f>
        <v>Via Chico Mendes, 75</v>
      </c>
      <c r="F403" s="8" t="str">
        <f>VLOOKUP($C403,tab_Agências[],4,FALSE)</f>
        <v>Quinta dos Flamboyants</v>
      </c>
      <c r="G403" s="8" t="str">
        <f>VLOOKUP($C403,tab_Agências[],5,FALSE)</f>
        <v>19810-005</v>
      </c>
      <c r="H403" s="8" t="str">
        <f>VLOOKUP($C403,tab_Agências[],6,FALSE)</f>
        <v>Assis</v>
      </c>
      <c r="I403" s="8" t="str">
        <f>VLOOKUP($C403,tab_Agências[],7,FALSE)</f>
        <v>Via Chico Mendes, 75 - Quinta dos Flamboyants, Assis, 19810-005</v>
      </c>
      <c r="J403" s="8" t="str">
        <f>VLOOKUP($C403,tab_Agências[],8,FALSE)</f>
        <v>(18) 3324-4177</v>
      </c>
      <c r="K403" s="8" t="str">
        <f>VLOOKUP($C403,tab_Agências[],9,FALSE)</f>
        <v>(18) 3324-4177</v>
      </c>
      <c r="L403" s="8" t="str">
        <f>VLOOKUP($C403,tab_Agências[],10,FALSE)</f>
        <v>assis@cetesbnet.sp.gov.br</v>
      </c>
    </row>
    <row r="404" spans="1:12" x14ac:dyDescent="0.25">
      <c r="A404" s="8">
        <v>3535606</v>
      </c>
      <c r="B404" s="8" t="s">
        <v>1342</v>
      </c>
      <c r="C404" s="9">
        <v>37</v>
      </c>
      <c r="D404" s="10" t="str">
        <f>VLOOKUP($C404,tab_Agências[],2,FALSE)</f>
        <v>Agência Ambiental de São José dos Campos</v>
      </c>
      <c r="E404" s="8" t="str">
        <f>VLOOKUP($C404,tab_Agências[],3,FALSE)</f>
        <v>Avenida Olivo Gomes, 100</v>
      </c>
      <c r="F404" s="8" t="str">
        <f>VLOOKUP($C404,tab_Agências[],4,FALSE)</f>
        <v>Parque da Cidade/Santana</v>
      </c>
      <c r="G404" s="8" t="str">
        <f>VLOOKUP($C404,tab_Agências[],5,FALSE)</f>
        <v>12211-115</v>
      </c>
      <c r="H404" s="8" t="str">
        <f>VLOOKUP($C404,tab_Agências[],6,FALSE)</f>
        <v>São José dos Campos</v>
      </c>
      <c r="I404" s="8" t="str">
        <f>VLOOKUP($C404,tab_Agências[],7,FALSE)</f>
        <v>Avenida Olivo Gomes, 100 - Parque da Cidade/Santana, São José dos Campos, 12211-115</v>
      </c>
      <c r="J404" s="8" t="str">
        <f>VLOOKUP($C404,tab_Agências[],8,FALSE)</f>
        <v>(12) 3911-9536</v>
      </c>
      <c r="K404" s="8" t="str">
        <f>VLOOKUP($C404,tab_Agências[],9,FALSE)</f>
        <v>(12) 3911-9536</v>
      </c>
      <c r="L404" s="8" t="str">
        <f>VLOOKUP($C404,tab_Agências[],10,FALSE)</f>
        <v>sjcampos@cetesbnet.sp.gov.br</v>
      </c>
    </row>
    <row r="405" spans="1:12" x14ac:dyDescent="0.25">
      <c r="A405" s="8">
        <v>3535705</v>
      </c>
      <c r="B405" s="8" t="s">
        <v>1343</v>
      </c>
      <c r="C405" s="9">
        <v>36</v>
      </c>
      <c r="D405" s="10" t="str">
        <f>VLOOKUP($C405,tab_Agências[],2,FALSE)</f>
        <v>Agência Ambiental de São José do Rio Preto</v>
      </c>
      <c r="E405" s="8" t="str">
        <f>VLOOKUP($C405,tab_Agências[],3,FALSE)</f>
        <v>Avenida Mário Andreazza,</v>
      </c>
      <c r="F405" s="8" t="str">
        <f>VLOOKUP($C405,tab_Agências[],4,FALSE)</f>
        <v>Jardim São Marcos</v>
      </c>
      <c r="G405" s="8" t="str">
        <f>VLOOKUP($C405,tab_Agências[],5,FALSE)</f>
        <v>15081-490</v>
      </c>
      <c r="H405" s="8" t="str">
        <f>VLOOKUP($C405,tab_Agências[],6,FALSE)</f>
        <v>São José do Rio Preto</v>
      </c>
      <c r="I405" s="8" t="str">
        <f>VLOOKUP($C405,tab_Agências[],7,FALSE)</f>
        <v>Avenida Mário Andreazza, - Jardim São Marcos, São José do Rio Preto, 15081-490</v>
      </c>
      <c r="J405" s="8" t="str">
        <f>VLOOKUP($C405,tab_Agências[],8,FALSE)</f>
        <v>(17) 3218-4300</v>
      </c>
      <c r="K405" s="8" t="str">
        <f>VLOOKUP($C405,tab_Agências[],9,FALSE)</f>
        <v>(17) 3218-4300</v>
      </c>
      <c r="L405" s="8" t="str">
        <f>VLOOKUP($C405,tab_Agências[],10,FALSE)</f>
        <v>riopreto@cetesbnet.sp.gov.br</v>
      </c>
    </row>
    <row r="406" spans="1:12" x14ac:dyDescent="0.25">
      <c r="A406" s="8">
        <v>3535804</v>
      </c>
      <c r="B406" s="8" t="s">
        <v>1344</v>
      </c>
      <c r="C406" s="9">
        <v>6</v>
      </c>
      <c r="D406" s="10" t="str">
        <f>VLOOKUP($C406,tab_Agências[],2,FALSE)</f>
        <v>Agência Ambiental de Avaré</v>
      </c>
      <c r="E406" s="8" t="str">
        <f>VLOOKUP($C406,tab_Agências[],3,FALSE)</f>
        <v>Avenida Governador Mário Covas, 525</v>
      </c>
      <c r="F406" s="8" t="str">
        <f>VLOOKUP($C406,tab_Agências[],4,FALSE)</f>
        <v>Vila Industrial</v>
      </c>
      <c r="G406" s="8" t="str">
        <f>VLOOKUP($C406,tab_Agências[],5,FALSE)</f>
        <v>18705-851</v>
      </c>
      <c r="H406" s="8" t="str">
        <f>VLOOKUP($C406,tab_Agências[],6,FALSE)</f>
        <v>Avaré</v>
      </c>
      <c r="I406" s="8" t="str">
        <f>VLOOKUP($C406,tab_Agências[],7,FALSE)</f>
        <v>Avenida Governador Mário Covas, 525 - Vila Industrial, Avaré, 18705-851</v>
      </c>
      <c r="J406" s="8" t="str">
        <f>VLOOKUP($C406,tab_Agências[],8,FALSE)</f>
        <v>(14) 3732-4900</v>
      </c>
      <c r="K406" s="8" t="str">
        <f>VLOOKUP($C406,tab_Agências[],9,FALSE)</f>
        <v xml:space="preserve"> </v>
      </c>
      <c r="L406" s="8" t="str">
        <f>VLOOKUP($C406,tab_Agências[],10,FALSE)</f>
        <v>avare@cetesbnet.sp.gov.br</v>
      </c>
    </row>
    <row r="407" spans="1:12" x14ac:dyDescent="0.25">
      <c r="A407" s="8">
        <v>3535903</v>
      </c>
      <c r="B407" s="8" t="s">
        <v>1345</v>
      </c>
      <c r="C407" s="9">
        <v>20</v>
      </c>
      <c r="D407" s="10" t="str">
        <f>VLOOKUP($C407,tab_Agências[],2,FALSE)</f>
        <v>Agência Ambiental de Jales</v>
      </c>
      <c r="E407" s="8" t="str">
        <f>VLOOKUP($C407,tab_Agências[],3,FALSE)</f>
        <v>Rua Nova Iorque, 1016</v>
      </c>
      <c r="F407" s="8" t="str">
        <f>VLOOKUP($C407,tab_Agências[],4,FALSE)</f>
        <v>Jardim Monte Rrey</v>
      </c>
      <c r="G407" s="8" t="str">
        <f>VLOOKUP($C407,tab_Agências[],5,FALSE)</f>
        <v>15703-326</v>
      </c>
      <c r="H407" s="8" t="str">
        <f>VLOOKUP($C407,tab_Agências[],6,FALSE)</f>
        <v>Jales</v>
      </c>
      <c r="I407" s="8" t="str">
        <f>VLOOKUP($C407,tab_Agências[],7,FALSE)</f>
        <v>Rua Nova Iorque, 1016 - Jardim Monte Rrey, Jales, 15703-326</v>
      </c>
      <c r="J407" s="8" t="str">
        <f>VLOOKUP($C407,tab_Agências[],8,FALSE)</f>
        <v>(17) 3621-1042</v>
      </c>
      <c r="K407" s="8" t="str">
        <f>VLOOKUP($C407,tab_Agências[],9,FALSE)</f>
        <v>(17) 3621-1042</v>
      </c>
      <c r="L407" s="8" t="str">
        <f>VLOOKUP($C407,tab_Agências[],10,FALSE)</f>
        <v>jales@cetesbnet.sp.gov.br</v>
      </c>
    </row>
    <row r="408" spans="1:12" x14ac:dyDescent="0.25">
      <c r="A408" s="8">
        <v>3536000</v>
      </c>
      <c r="B408" s="8" t="s">
        <v>1346</v>
      </c>
      <c r="C408" s="9">
        <v>23</v>
      </c>
      <c r="D408" s="10" t="str">
        <f>VLOOKUP($C408,tab_Agências[],2,FALSE)</f>
        <v>Agência Ambiental de Marília</v>
      </c>
      <c r="E408" s="8" t="str">
        <f>VLOOKUP($C408,tab_Agências[],3,FALSE)</f>
        <v>Rua Santa Helena, 436</v>
      </c>
      <c r="F408" s="8" t="str">
        <f>VLOOKUP($C408,tab_Agências[],4,FALSE)</f>
        <v>Jardim Alvorada</v>
      </c>
      <c r="G408" s="8" t="str">
        <f>VLOOKUP($C408,tab_Agências[],5,FALSE)</f>
        <v>17513-322</v>
      </c>
      <c r="H408" s="8" t="str">
        <f>VLOOKUP($C408,tab_Agências[],6,FALSE)</f>
        <v>Marília</v>
      </c>
      <c r="I408" s="8" t="str">
        <f>VLOOKUP($C408,tab_Agências[],7,FALSE)</f>
        <v>Rua Santa Helena, 436 - Jardim Alvorada, Marília, 17513-322</v>
      </c>
      <c r="J408" s="8" t="str">
        <f>VLOOKUP($C408,tab_Agências[],8,FALSE)</f>
        <v>(14) 3422-4666</v>
      </c>
      <c r="K408" s="8" t="str">
        <f>VLOOKUP($C408,tab_Agências[],9,FALSE)</f>
        <v>(14) 3422-4666</v>
      </c>
      <c r="L408" s="8" t="str">
        <f>VLOOKUP($C408,tab_Agências[],10,FALSE)</f>
        <v>marilia@cetesbnet.sp.gov.br</v>
      </c>
    </row>
    <row r="409" spans="1:12" x14ac:dyDescent="0.25">
      <c r="A409" s="8">
        <v>3536109</v>
      </c>
      <c r="B409" s="8" t="s">
        <v>1347</v>
      </c>
      <c r="C409" s="9">
        <v>9</v>
      </c>
      <c r="D409" s="10" t="str">
        <f>VLOOKUP($C409,tab_Agências[],2,FALSE)</f>
        <v>Agência Ambiental de Botucatu</v>
      </c>
      <c r="E409" s="8" t="str">
        <f>VLOOKUP($C409,tab_Agências[],3,FALSE)</f>
        <v>Rua João Morato da Conceição, 525</v>
      </c>
      <c r="F409" s="8" t="str">
        <f>VLOOKUP($C409,tab_Agências[],4,FALSE)</f>
        <v>Vila Maria</v>
      </c>
      <c r="G409" s="8" t="str">
        <f>VLOOKUP($C409,tab_Agências[],5,FALSE)</f>
        <v>18611-358</v>
      </c>
      <c r="H409" s="8" t="str">
        <f>VLOOKUP($C409,tab_Agências[],6,FALSE)</f>
        <v>Botucatu</v>
      </c>
      <c r="I409" s="8" t="str">
        <f>VLOOKUP($C409,tab_Agências[],7,FALSE)</f>
        <v>Rua João Morato da Conceição, 525 - Vila Maria, Botucatu, 18611-358</v>
      </c>
      <c r="J409" s="8" t="str">
        <f>VLOOKUP($C409,tab_Agências[],8,FALSE)</f>
        <v>(14) 3882-1134</v>
      </c>
      <c r="K409" s="8" t="str">
        <f>VLOOKUP($C409,tab_Agências[],9,FALSE)</f>
        <v>(14) 3882-1134</v>
      </c>
      <c r="L409" s="8" t="str">
        <f>VLOOKUP($C409,tab_Agências[],10,FALSE)</f>
        <v>botucatu@cetesbnet.sp.gov.br</v>
      </c>
    </row>
    <row r="410" spans="1:12" x14ac:dyDescent="0.25">
      <c r="A410" s="8">
        <v>3536208</v>
      </c>
      <c r="B410" s="8" t="s">
        <v>1348</v>
      </c>
      <c r="C410" s="9">
        <v>30</v>
      </c>
      <c r="D410" s="10" t="str">
        <f>VLOOKUP($C410,tab_Agências[],2,FALSE)</f>
        <v>Agência Ambiental de Registro</v>
      </c>
      <c r="E410" s="8" t="str">
        <f>VLOOKUP($C410,tab_Agências[],3,FALSE)</f>
        <v>Rua São Bento, 249</v>
      </c>
      <c r="F410" s="8" t="str">
        <f>VLOOKUP($C410,tab_Agências[],4,FALSE)</f>
        <v>Jardim São Nicolau</v>
      </c>
      <c r="G410" s="8" t="str">
        <f>VLOOKUP($C410,tab_Agências[],5,FALSE)</f>
        <v>11900-000</v>
      </c>
      <c r="H410" s="8" t="str">
        <f>VLOOKUP($C410,tab_Agências[],6,FALSE)</f>
        <v>Registro</v>
      </c>
      <c r="I410" s="8" t="str">
        <f>VLOOKUP($C410,tab_Agências[],7,FALSE)</f>
        <v>Rua São Bento, 249 - Jardim São Nicolau, Registro, 11900-000</v>
      </c>
      <c r="J410" s="8" t="str">
        <f>VLOOKUP($C410,tab_Agências[],8,FALSE)</f>
        <v>(13) 3822-3855</v>
      </c>
      <c r="K410" s="8" t="str">
        <f>VLOOKUP($C410,tab_Agências[],9,FALSE)</f>
        <v>(13) 3822-4437</v>
      </c>
      <c r="L410" s="8" t="str">
        <f>VLOOKUP($C410,tab_Agências[],10,FALSE)</f>
        <v>registro@cetesbnet.sp.gov.br</v>
      </c>
    </row>
    <row r="411" spans="1:12" x14ac:dyDescent="0.25">
      <c r="A411" s="8">
        <v>3536257</v>
      </c>
      <c r="B411" s="8" t="s">
        <v>1349</v>
      </c>
      <c r="C411" s="9">
        <v>41</v>
      </c>
      <c r="D411" s="10" t="str">
        <f>VLOOKUP($C411,tab_Agências[],2,FALSE)</f>
        <v>Agência Ambiental de Votuporanga</v>
      </c>
      <c r="E411" s="8" t="str">
        <f>VLOOKUP($C411,tab_Agências[],3,FALSE)</f>
        <v>Avenida Deputado Aureo Ferreira, 1724</v>
      </c>
      <c r="F411" s="8" t="str">
        <f>VLOOKUP($C411,tab_Agências[],4,FALSE)</f>
        <v>Vila Paes</v>
      </c>
      <c r="G411" s="8" t="str">
        <f>VLOOKUP($C411,tab_Agências[],5,FALSE)</f>
        <v>15500-112</v>
      </c>
      <c r="H411" s="8" t="str">
        <f>VLOOKUP($C411,tab_Agências[],6,FALSE)</f>
        <v>Votuporanga</v>
      </c>
      <c r="I411" s="8" t="str">
        <f>VLOOKUP($C411,tab_Agências[],7,FALSE)</f>
        <v>Avenida Deputado Aureo Ferreira, 1724 - Vila Paes, Votuporanga, 15500-112</v>
      </c>
      <c r="J411" s="8" t="str">
        <f>VLOOKUP($C411,tab_Agências[],8,FALSE)</f>
        <v>(17) 3421-4004</v>
      </c>
      <c r="K411" s="8" t="str">
        <f>VLOOKUP($C411,tab_Agências[],9,FALSE)</f>
        <v>(17) 3421-4004</v>
      </c>
      <c r="L411" s="8" t="str">
        <f>VLOOKUP($C411,tab_Agências[],10,FALSE)</f>
        <v>votuporanga@cetesbnet.sp.gov.br</v>
      </c>
    </row>
    <row r="412" spans="1:12" x14ac:dyDescent="0.25">
      <c r="A412" s="8">
        <v>3536307</v>
      </c>
      <c r="B412" s="8" t="s">
        <v>1350</v>
      </c>
      <c r="C412" s="9">
        <v>15</v>
      </c>
      <c r="D412" s="10" t="str">
        <f>VLOOKUP($C412,tab_Agências[],2,FALSE)</f>
        <v>Agência Ambiental de Franca</v>
      </c>
      <c r="E412" s="8" t="str">
        <f>VLOOKUP($C412,tab_Agências[],3,FALSE)</f>
        <v>Avenida Dr. Flávio Rocha, 4551</v>
      </c>
      <c r="F412" s="8" t="str">
        <f>VLOOKUP($C412,tab_Agências[],4,FALSE)</f>
        <v>Parque dos Pinhais</v>
      </c>
      <c r="G412" s="8" t="str">
        <f>VLOOKUP($C412,tab_Agências[],5,FALSE)</f>
        <v>14405-600</v>
      </c>
      <c r="H412" s="8" t="str">
        <f>VLOOKUP($C412,tab_Agências[],6,FALSE)</f>
        <v>Franca</v>
      </c>
      <c r="I412" s="8" t="str">
        <f>VLOOKUP($C412,tab_Agências[],7,FALSE)</f>
        <v>Avenida Dr. Flávio Rocha, 4551 - Parque dos Pinhais, Franca, 14405-600</v>
      </c>
      <c r="J412" s="8" t="str">
        <f>VLOOKUP($C412,tab_Agências[],8,FALSE)</f>
        <v>(16) 3724-5922</v>
      </c>
      <c r="K412" s="8" t="str">
        <f>VLOOKUP($C412,tab_Agências[],9,FALSE)</f>
        <v>(16) 3724-5922</v>
      </c>
      <c r="L412" s="8" t="str">
        <f>VLOOKUP($C412,tab_Agências[],10,FALSE)</f>
        <v>franca@cetesbnet.sp.gov.br</v>
      </c>
    </row>
    <row r="413" spans="1:12" x14ac:dyDescent="0.25">
      <c r="A413" s="8">
        <v>3536406</v>
      </c>
      <c r="B413" s="8" t="s">
        <v>1351</v>
      </c>
      <c r="C413" s="9">
        <v>13</v>
      </c>
      <c r="D413" s="10" t="str">
        <f>VLOOKUP($C413,tab_Agências[],2,FALSE)</f>
        <v>Agência Ambiental de Dracena</v>
      </c>
      <c r="E413" s="8" t="str">
        <f>VLOOKUP($C413,tab_Agências[],3,FALSE)</f>
        <v>Rua Tomé de Souza, 438</v>
      </c>
      <c r="F413" s="8" t="str">
        <f>VLOOKUP($C413,tab_Agências[],4,FALSE)</f>
        <v>Centro</v>
      </c>
      <c r="G413" s="8" t="str">
        <f>VLOOKUP($C413,tab_Agências[],5,FALSE)</f>
        <v>17900-000</v>
      </c>
      <c r="H413" s="8" t="str">
        <f>VLOOKUP($C413,tab_Agências[],6,FALSE)</f>
        <v>Dracena</v>
      </c>
      <c r="I413" s="8" t="str">
        <f>VLOOKUP($C413,tab_Agências[],7,FALSE)</f>
        <v>Rua Tomé de Souza, 438 - Centro, Dracena, 17900-000</v>
      </c>
      <c r="J413" s="8" t="str">
        <f>VLOOKUP($C413,tab_Agências[],8,FALSE)</f>
        <v>(18) 3822-3166</v>
      </c>
      <c r="K413" s="8" t="str">
        <f>VLOOKUP($C413,tab_Agências[],9,FALSE)</f>
        <v>(18) 3822-3166</v>
      </c>
      <c r="L413" s="8" t="str">
        <f>VLOOKUP($C413,tab_Agências[],10,FALSE)</f>
        <v>dracena@cetesbnet.sp.gov.br</v>
      </c>
    </row>
    <row r="414" spans="1:12" x14ac:dyDescent="0.25">
      <c r="A414" s="8">
        <v>3536505</v>
      </c>
      <c r="B414" s="8" t="s">
        <v>1352</v>
      </c>
      <c r="C414" s="9">
        <v>27</v>
      </c>
      <c r="D414" s="10" t="str">
        <f>VLOOKUP($C414,tab_Agências[],2,FALSE)</f>
        <v>Agência Ambiental de Paulínia</v>
      </c>
      <c r="E414" s="8" t="str">
        <f>VLOOKUP($C414,tab_Agências[],3,FALSE)</f>
        <v>Rua Angelo Varandas, 550</v>
      </c>
      <c r="F414" s="8" t="str">
        <f>VLOOKUP($C414,tab_Agências[],4,FALSE)</f>
        <v>Jardim Santa Terezinha</v>
      </c>
      <c r="G414" s="8" t="str">
        <f>VLOOKUP($C414,tab_Agências[],5,FALSE)</f>
        <v>13140-802</v>
      </c>
      <c r="H414" s="8" t="str">
        <f>VLOOKUP($C414,tab_Agências[],6,FALSE)</f>
        <v>Paulínia</v>
      </c>
      <c r="I414" s="8" t="str">
        <f>VLOOKUP($C414,tab_Agências[],7,FALSE)</f>
        <v>Rua Angelo Varandas, 550 - Jardim Santa Terezinha, Paulínia, 13140-802</v>
      </c>
      <c r="J414" s="8" t="str">
        <f>VLOOKUP($C414,tab_Agências[],8,FALSE)</f>
        <v>(19) 3844-0466</v>
      </c>
      <c r="K414" s="8" t="str">
        <f>VLOOKUP($C414,tab_Agências[],9,FALSE)</f>
        <v>(19) 3844-0466</v>
      </c>
      <c r="L414" s="8" t="str">
        <f>VLOOKUP($C414,tab_Agências[],10,FALSE)</f>
        <v>paulinia@cetesbnet.sp.gov.br</v>
      </c>
    </row>
    <row r="415" spans="1:12" x14ac:dyDescent="0.25">
      <c r="A415" s="8">
        <v>3536570</v>
      </c>
      <c r="B415" s="8" t="s">
        <v>1353</v>
      </c>
      <c r="C415" s="9">
        <v>8</v>
      </c>
      <c r="D415" s="10" t="str">
        <f>VLOOKUP($C415,tab_Agências[],2,FALSE)</f>
        <v>Agência Ambiental de Bauru</v>
      </c>
      <c r="E415" s="8" t="str">
        <f>VLOOKUP($C415,tab_Agências[],3,FALSE)</f>
        <v>Avenida Rodrigues Alves, 138</v>
      </c>
      <c r="F415" s="8" t="str">
        <f>VLOOKUP($C415,tab_Agências[],4,FALSE)</f>
        <v>Vila Coralina</v>
      </c>
      <c r="G415" s="8" t="str">
        <f>VLOOKUP($C415,tab_Agências[],5,FALSE)</f>
        <v>17030-000</v>
      </c>
      <c r="H415" s="8" t="str">
        <f>VLOOKUP($C415,tab_Agências[],6,FALSE)</f>
        <v>Bauru</v>
      </c>
      <c r="I415" s="8" t="str">
        <f>VLOOKUP($C415,tab_Agências[],7,FALSE)</f>
        <v>Avenida Rodrigues Alves, 138 - Vila Coralina, Bauru, 17030-000</v>
      </c>
      <c r="J415" s="8" t="str">
        <f>VLOOKUP($C415,tab_Agências[],8,FALSE)</f>
        <v>(14) 3203-2058</v>
      </c>
      <c r="K415" s="8" t="str">
        <f>VLOOKUP($C415,tab_Agências[],9,FALSE)</f>
        <v>(14) 3203-2344</v>
      </c>
      <c r="L415" s="8" t="str">
        <f>VLOOKUP($C415,tab_Agências[],10,FALSE)</f>
        <v>bauru@cetesbnet.sp.gov.br</v>
      </c>
    </row>
    <row r="416" spans="1:12" x14ac:dyDescent="0.25">
      <c r="A416" s="8">
        <v>3536604</v>
      </c>
      <c r="B416" s="8" t="s">
        <v>1354</v>
      </c>
      <c r="C416" s="9">
        <v>41</v>
      </c>
      <c r="D416" s="10" t="str">
        <f>VLOOKUP($C416,tab_Agências[],2,FALSE)</f>
        <v>Agência Ambiental de Votuporanga</v>
      </c>
      <c r="E416" s="8" t="str">
        <f>VLOOKUP($C416,tab_Agências[],3,FALSE)</f>
        <v>Avenida Deputado Aureo Ferreira, 1724</v>
      </c>
      <c r="F416" s="8" t="str">
        <f>VLOOKUP($C416,tab_Agências[],4,FALSE)</f>
        <v>Vila Paes</v>
      </c>
      <c r="G416" s="8" t="str">
        <f>VLOOKUP($C416,tab_Agências[],5,FALSE)</f>
        <v>15500-112</v>
      </c>
      <c r="H416" s="8" t="str">
        <f>VLOOKUP($C416,tab_Agências[],6,FALSE)</f>
        <v>Votuporanga</v>
      </c>
      <c r="I416" s="8" t="str">
        <f>VLOOKUP($C416,tab_Agências[],7,FALSE)</f>
        <v>Avenida Deputado Aureo Ferreira, 1724 - Vila Paes, Votuporanga, 15500-112</v>
      </c>
      <c r="J416" s="8" t="str">
        <f>VLOOKUP($C416,tab_Agências[],8,FALSE)</f>
        <v>(17) 3421-4004</v>
      </c>
      <c r="K416" s="8" t="str">
        <f>VLOOKUP($C416,tab_Agências[],9,FALSE)</f>
        <v>(17) 3421-4004</v>
      </c>
      <c r="L416" s="8" t="str">
        <f>VLOOKUP($C416,tab_Agências[],10,FALSE)</f>
        <v>votuporanga@cetesbnet.sp.gov.br</v>
      </c>
    </row>
    <row r="417" spans="1:12" x14ac:dyDescent="0.25">
      <c r="A417" s="8">
        <v>3536703</v>
      </c>
      <c r="B417" s="8" t="s">
        <v>1355</v>
      </c>
      <c r="C417" s="9">
        <v>8</v>
      </c>
      <c r="D417" s="10" t="str">
        <f>VLOOKUP($C417,tab_Agências[],2,FALSE)</f>
        <v>Agência Ambiental de Bauru</v>
      </c>
      <c r="E417" s="8" t="str">
        <f>VLOOKUP($C417,tab_Agências[],3,FALSE)</f>
        <v>Avenida Rodrigues Alves, 138</v>
      </c>
      <c r="F417" s="8" t="str">
        <f>VLOOKUP($C417,tab_Agências[],4,FALSE)</f>
        <v>Vila Coralina</v>
      </c>
      <c r="G417" s="8" t="str">
        <f>VLOOKUP($C417,tab_Agências[],5,FALSE)</f>
        <v>17030-000</v>
      </c>
      <c r="H417" s="8" t="str">
        <f>VLOOKUP($C417,tab_Agências[],6,FALSE)</f>
        <v>Bauru</v>
      </c>
      <c r="I417" s="8" t="str">
        <f>VLOOKUP($C417,tab_Agências[],7,FALSE)</f>
        <v>Avenida Rodrigues Alves, 138 - Vila Coralina, Bauru, 17030-000</v>
      </c>
      <c r="J417" s="8" t="str">
        <f>VLOOKUP($C417,tab_Agências[],8,FALSE)</f>
        <v>(14) 3203-2058</v>
      </c>
      <c r="K417" s="8" t="str">
        <f>VLOOKUP($C417,tab_Agências[],9,FALSE)</f>
        <v>(14) 3203-2344</v>
      </c>
      <c r="L417" s="8" t="str">
        <f>VLOOKUP($C417,tab_Agências[],10,FALSE)</f>
        <v>bauru@cetesbnet.sp.gov.br</v>
      </c>
    </row>
    <row r="418" spans="1:12" x14ac:dyDescent="0.25">
      <c r="A418" s="8">
        <v>3536802</v>
      </c>
      <c r="B418" s="8" t="s">
        <v>1356</v>
      </c>
      <c r="C418" s="9">
        <v>5</v>
      </c>
      <c r="D418" s="10" t="str">
        <f>VLOOKUP($C418,tab_Agências[],2,FALSE)</f>
        <v>Agência Ambiental de Atibaia</v>
      </c>
      <c r="E418" s="8" t="str">
        <f>VLOOKUP($C418,tab_Agências[],3,FALSE)</f>
        <v>Avenida Nove de Julho, 266</v>
      </c>
      <c r="F418" s="8" t="str">
        <f>VLOOKUP($C418,tab_Agências[],4,FALSE)</f>
        <v>Centro</v>
      </c>
      <c r="G418" s="8" t="str">
        <f>VLOOKUP($C418,tab_Agências[],5,FALSE)</f>
        <v>12940-580</v>
      </c>
      <c r="H418" s="8" t="str">
        <f>VLOOKUP($C418,tab_Agências[],6,FALSE)</f>
        <v>Atibaia</v>
      </c>
      <c r="I418" s="8" t="str">
        <f>VLOOKUP($C418,tab_Agências[],7,FALSE)</f>
        <v>Avenida Nove de Julho, 266 - Centro, Atibaia, 12940-580</v>
      </c>
      <c r="J418" s="8" t="str">
        <f>VLOOKUP($C418,tab_Agências[],8,FALSE)</f>
        <v>(11) 4411-0662</v>
      </c>
      <c r="K418" s="8" t="str">
        <f>VLOOKUP($C418,tab_Agências[],9,FALSE)</f>
        <v>(11) 4411-0662</v>
      </c>
      <c r="L418" s="8" t="str">
        <f>VLOOKUP($C418,tab_Agências[],10,FALSE)</f>
        <v>atibaia@cetesbnet.sp.gov.br</v>
      </c>
    </row>
    <row r="419" spans="1:12" x14ac:dyDescent="0.25">
      <c r="A419" s="8">
        <v>3536901</v>
      </c>
      <c r="B419" s="8" t="s">
        <v>1357</v>
      </c>
      <c r="C419" s="9">
        <v>41</v>
      </c>
      <c r="D419" s="10" t="str">
        <f>VLOOKUP($C419,tab_Agências[],2,FALSE)</f>
        <v>Agência Ambiental de Votuporanga</v>
      </c>
      <c r="E419" s="8" t="str">
        <f>VLOOKUP($C419,tab_Agências[],3,FALSE)</f>
        <v>Avenida Deputado Aureo Ferreira, 1724</v>
      </c>
      <c r="F419" s="8" t="str">
        <f>VLOOKUP($C419,tab_Agências[],4,FALSE)</f>
        <v>Vila Paes</v>
      </c>
      <c r="G419" s="8" t="str">
        <f>VLOOKUP($C419,tab_Agências[],5,FALSE)</f>
        <v>15500-112</v>
      </c>
      <c r="H419" s="8" t="str">
        <f>VLOOKUP($C419,tab_Agências[],6,FALSE)</f>
        <v>Votuporanga</v>
      </c>
      <c r="I419" s="8" t="str">
        <f>VLOOKUP($C419,tab_Agências[],7,FALSE)</f>
        <v>Avenida Deputado Aureo Ferreira, 1724 - Vila Paes, Votuporanga, 15500-112</v>
      </c>
      <c r="J419" s="8" t="str">
        <f>VLOOKUP($C419,tab_Agências[],8,FALSE)</f>
        <v>(17) 3421-4004</v>
      </c>
      <c r="K419" s="8" t="str">
        <f>VLOOKUP($C419,tab_Agências[],9,FALSE)</f>
        <v>(17) 3421-4004</v>
      </c>
      <c r="L419" s="8" t="str">
        <f>VLOOKUP($C419,tab_Agências[],10,FALSE)</f>
        <v>votuporanga@cetesbnet.sp.gov.br</v>
      </c>
    </row>
    <row r="420" spans="1:12" x14ac:dyDescent="0.25">
      <c r="A420" s="8">
        <v>3537008</v>
      </c>
      <c r="B420" s="8" t="s">
        <v>1358</v>
      </c>
      <c r="C420" s="9">
        <v>15</v>
      </c>
      <c r="D420" s="10" t="str">
        <f>VLOOKUP($C420,tab_Agências[],2,FALSE)</f>
        <v>Agência Ambiental de Franca</v>
      </c>
      <c r="E420" s="8" t="str">
        <f>VLOOKUP($C420,tab_Agências[],3,FALSE)</f>
        <v>Avenida Dr. Flávio Rocha, 4551</v>
      </c>
      <c r="F420" s="8" t="str">
        <f>VLOOKUP($C420,tab_Agências[],4,FALSE)</f>
        <v>Parque dos Pinhais</v>
      </c>
      <c r="G420" s="8" t="str">
        <f>VLOOKUP($C420,tab_Agências[],5,FALSE)</f>
        <v>14405-600</v>
      </c>
      <c r="H420" s="8" t="str">
        <f>VLOOKUP($C420,tab_Agências[],6,FALSE)</f>
        <v>Franca</v>
      </c>
      <c r="I420" s="8" t="str">
        <f>VLOOKUP($C420,tab_Agências[],7,FALSE)</f>
        <v>Avenida Dr. Flávio Rocha, 4551 - Parque dos Pinhais, Franca, 14405-600</v>
      </c>
      <c r="J420" s="8" t="str">
        <f>VLOOKUP($C420,tab_Agências[],8,FALSE)</f>
        <v>(16) 3724-5922</v>
      </c>
      <c r="K420" s="8" t="str">
        <f>VLOOKUP($C420,tab_Agências[],9,FALSE)</f>
        <v>(16) 3724-5922</v>
      </c>
      <c r="L420" s="8" t="str">
        <f>VLOOKUP($C420,tab_Agências[],10,FALSE)</f>
        <v>franca@cetesbnet.sp.gov.br</v>
      </c>
    </row>
    <row r="421" spans="1:12" x14ac:dyDescent="0.25">
      <c r="A421" s="8">
        <v>3537107</v>
      </c>
      <c r="B421" s="8" t="s">
        <v>1359</v>
      </c>
      <c r="C421" s="9">
        <v>27</v>
      </c>
      <c r="D421" s="10" t="str">
        <f>VLOOKUP($C421,tab_Agências[],2,FALSE)</f>
        <v>Agência Ambiental de Paulínia</v>
      </c>
      <c r="E421" s="8" t="str">
        <f>VLOOKUP($C421,tab_Agências[],3,FALSE)</f>
        <v>Rua Angelo Varandas, 550</v>
      </c>
      <c r="F421" s="8" t="str">
        <f>VLOOKUP($C421,tab_Agências[],4,FALSE)</f>
        <v>Jardim Santa Terezinha</v>
      </c>
      <c r="G421" s="8" t="str">
        <f>VLOOKUP($C421,tab_Agências[],5,FALSE)</f>
        <v>13140-802</v>
      </c>
      <c r="H421" s="8" t="str">
        <f>VLOOKUP($C421,tab_Agências[],6,FALSE)</f>
        <v>Paulínia</v>
      </c>
      <c r="I421" s="8" t="str">
        <f>VLOOKUP($C421,tab_Agências[],7,FALSE)</f>
        <v>Rua Angelo Varandas, 550 - Jardim Santa Terezinha, Paulínia, 13140-802</v>
      </c>
      <c r="J421" s="8" t="str">
        <f>VLOOKUP($C421,tab_Agências[],8,FALSE)</f>
        <v>(19) 3844-0466</v>
      </c>
      <c r="K421" s="8" t="str">
        <f>VLOOKUP($C421,tab_Agências[],9,FALSE)</f>
        <v>(19) 3844-0466</v>
      </c>
      <c r="L421" s="8" t="str">
        <f>VLOOKUP($C421,tab_Agências[],10,FALSE)</f>
        <v>paulinia@cetesbnet.sp.gov.br</v>
      </c>
    </row>
    <row r="422" spans="1:12" x14ac:dyDescent="0.25">
      <c r="A422" s="8">
        <v>3537156</v>
      </c>
      <c r="B422" s="8" t="s">
        <v>1360</v>
      </c>
      <c r="C422" s="9">
        <v>4</v>
      </c>
      <c r="D422" s="10" t="str">
        <f>VLOOKUP($C422,tab_Agências[],2,FALSE)</f>
        <v>Agência Ambiental de Assis</v>
      </c>
      <c r="E422" s="8" t="str">
        <f>VLOOKUP($C422,tab_Agências[],3,FALSE)</f>
        <v>Via Chico Mendes, 75</v>
      </c>
      <c r="F422" s="8" t="str">
        <f>VLOOKUP($C422,tab_Agências[],4,FALSE)</f>
        <v>Quinta dos Flamboyants</v>
      </c>
      <c r="G422" s="8" t="str">
        <f>VLOOKUP($C422,tab_Agências[],5,FALSE)</f>
        <v>19810-005</v>
      </c>
      <c r="H422" s="8" t="str">
        <f>VLOOKUP($C422,tab_Agências[],6,FALSE)</f>
        <v>Assis</v>
      </c>
      <c r="I422" s="8" t="str">
        <f>VLOOKUP($C422,tab_Agências[],7,FALSE)</f>
        <v>Via Chico Mendes, 75 - Quinta dos Flamboyants, Assis, 19810-005</v>
      </c>
      <c r="J422" s="8" t="str">
        <f>VLOOKUP($C422,tab_Agências[],8,FALSE)</f>
        <v>(18) 3324-4177</v>
      </c>
      <c r="K422" s="8" t="str">
        <f>VLOOKUP($C422,tab_Agências[],9,FALSE)</f>
        <v>(18) 3324-4177</v>
      </c>
      <c r="L422" s="8" t="str">
        <f>VLOOKUP($C422,tab_Agências[],10,FALSE)</f>
        <v>assis@cetesbnet.sp.gov.br</v>
      </c>
    </row>
    <row r="423" spans="1:12" x14ac:dyDescent="0.25">
      <c r="A423" s="8">
        <v>3537206</v>
      </c>
      <c r="B423" s="8" t="s">
        <v>1361</v>
      </c>
      <c r="C423" s="9">
        <v>30</v>
      </c>
      <c r="D423" s="10" t="str">
        <f>VLOOKUP($C423,tab_Agências[],2,FALSE)</f>
        <v>Agência Ambiental de Registro</v>
      </c>
      <c r="E423" s="8" t="str">
        <f>VLOOKUP($C423,tab_Agências[],3,FALSE)</f>
        <v>Rua São Bento, 249</v>
      </c>
      <c r="F423" s="8" t="str">
        <f>VLOOKUP($C423,tab_Agências[],4,FALSE)</f>
        <v>Jardim São Nicolau</v>
      </c>
      <c r="G423" s="8" t="str">
        <f>VLOOKUP($C423,tab_Agências[],5,FALSE)</f>
        <v>11900-000</v>
      </c>
      <c r="H423" s="8" t="str">
        <f>VLOOKUP($C423,tab_Agências[],6,FALSE)</f>
        <v>Registro</v>
      </c>
      <c r="I423" s="8" t="str">
        <f>VLOOKUP($C423,tab_Agências[],7,FALSE)</f>
        <v>Rua São Bento, 249 - Jardim São Nicolau, Registro, 11900-000</v>
      </c>
      <c r="J423" s="8" t="str">
        <f>VLOOKUP($C423,tab_Agências[],8,FALSE)</f>
        <v>(13) 3822-3855</v>
      </c>
      <c r="K423" s="8" t="str">
        <f>VLOOKUP($C423,tab_Agências[],9,FALSE)</f>
        <v>(13) 3822-4437</v>
      </c>
      <c r="L423" s="8" t="str">
        <f>VLOOKUP($C423,tab_Agências[],10,FALSE)</f>
        <v>registro@cetesbnet.sp.gov.br</v>
      </c>
    </row>
    <row r="424" spans="1:12" x14ac:dyDescent="0.25">
      <c r="A424" s="8">
        <v>3537305</v>
      </c>
      <c r="B424" s="8" t="s">
        <v>1362</v>
      </c>
      <c r="C424" s="9">
        <v>2</v>
      </c>
      <c r="D424" s="10" t="str">
        <f>VLOOKUP($C424,tab_Agências[],2,FALSE)</f>
        <v>Agência Ambiental de Araçatuba</v>
      </c>
      <c r="E424" s="8" t="str">
        <f>VLOOKUP($C424,tab_Agências[],3,FALSE)</f>
        <v>Rua Ten. Alcides Teodoro dos Santos, 260</v>
      </c>
      <c r="F424" s="8" t="str">
        <f>VLOOKUP($C424,tab_Agências[],4,FALSE)</f>
        <v>Aviação</v>
      </c>
      <c r="G424" s="8" t="str">
        <f>VLOOKUP($C424,tab_Agências[],5,FALSE)</f>
        <v>16055-557</v>
      </c>
      <c r="H424" s="8" t="str">
        <f>VLOOKUP($C424,tab_Agências[],6,FALSE)</f>
        <v>Araçatuba</v>
      </c>
      <c r="I424" s="8" t="str">
        <f>VLOOKUP($C424,tab_Agências[],7,FALSE)</f>
        <v>Rua Ten. Alcides Teodoro dos Santos, 260 - Aviação, Araçatuba, 16055-557</v>
      </c>
      <c r="J424" s="8" t="str">
        <f>VLOOKUP($C424,tab_Agências[],8,FALSE)</f>
        <v>(18) 3608-8053</v>
      </c>
      <c r="K424" s="8" t="str">
        <f>VLOOKUP($C424,tab_Agências[],9,FALSE)</f>
        <v>(18) 3608-7197</v>
      </c>
      <c r="L424" s="8" t="str">
        <f>VLOOKUP($C424,tab_Agências[],10,FALSE)</f>
        <v>aracatuba@cetesbnet.sp.gov.br</v>
      </c>
    </row>
    <row r="425" spans="1:12" x14ac:dyDescent="0.25">
      <c r="A425" s="8">
        <v>3537404</v>
      </c>
      <c r="B425" s="8" t="s">
        <v>1363</v>
      </c>
      <c r="C425" s="9">
        <v>20</v>
      </c>
      <c r="D425" s="10" t="str">
        <f>VLOOKUP($C425,tab_Agências[],2,FALSE)</f>
        <v>Agência Ambiental de Jales</v>
      </c>
      <c r="E425" s="8" t="str">
        <f>VLOOKUP($C425,tab_Agências[],3,FALSE)</f>
        <v>Rua Nova Iorque, 1016</v>
      </c>
      <c r="F425" s="8" t="str">
        <f>VLOOKUP($C425,tab_Agências[],4,FALSE)</f>
        <v>Jardim Monte Rrey</v>
      </c>
      <c r="G425" s="8" t="str">
        <f>VLOOKUP($C425,tab_Agências[],5,FALSE)</f>
        <v>15703-326</v>
      </c>
      <c r="H425" s="8" t="str">
        <f>VLOOKUP($C425,tab_Agências[],6,FALSE)</f>
        <v>Jales</v>
      </c>
      <c r="I425" s="8" t="str">
        <f>VLOOKUP($C425,tab_Agências[],7,FALSE)</f>
        <v>Rua Nova Iorque, 1016 - Jardim Monte Rrey, Jales, 15703-326</v>
      </c>
      <c r="J425" s="8" t="str">
        <f>VLOOKUP($C425,tab_Agências[],8,FALSE)</f>
        <v>(17) 3621-1042</v>
      </c>
      <c r="K425" s="8" t="str">
        <f>VLOOKUP($C425,tab_Agências[],9,FALSE)</f>
        <v>(17) 3621-1042</v>
      </c>
      <c r="L425" s="8" t="str">
        <f>VLOOKUP($C425,tab_Agências[],10,FALSE)</f>
        <v>jales@cetesbnet.sp.gov.br</v>
      </c>
    </row>
    <row r="426" spans="1:12" x14ac:dyDescent="0.25">
      <c r="A426" s="8">
        <v>3537503</v>
      </c>
      <c r="B426" s="8" t="s">
        <v>1364</v>
      </c>
      <c r="C426" s="9">
        <v>9</v>
      </c>
      <c r="D426" s="10" t="str">
        <f>VLOOKUP($C426,tab_Agências[],2,FALSE)</f>
        <v>Agência Ambiental de Botucatu</v>
      </c>
      <c r="E426" s="8" t="str">
        <f>VLOOKUP($C426,tab_Agências[],3,FALSE)</f>
        <v>Rua João Morato da Conceição, 525</v>
      </c>
      <c r="F426" s="8" t="str">
        <f>VLOOKUP($C426,tab_Agências[],4,FALSE)</f>
        <v>Vila Maria</v>
      </c>
      <c r="G426" s="8" t="str">
        <f>VLOOKUP($C426,tab_Agências[],5,FALSE)</f>
        <v>18611-358</v>
      </c>
      <c r="H426" s="8" t="str">
        <f>VLOOKUP($C426,tab_Agências[],6,FALSE)</f>
        <v>Botucatu</v>
      </c>
      <c r="I426" s="8" t="str">
        <f>VLOOKUP($C426,tab_Agências[],7,FALSE)</f>
        <v>Rua João Morato da Conceição, 525 - Vila Maria, Botucatu, 18611-358</v>
      </c>
      <c r="J426" s="8" t="str">
        <f>VLOOKUP($C426,tab_Agências[],8,FALSE)</f>
        <v>(14) 3882-1134</v>
      </c>
      <c r="K426" s="8" t="str">
        <f>VLOOKUP($C426,tab_Agências[],9,FALSE)</f>
        <v>(14) 3882-1134</v>
      </c>
      <c r="L426" s="8" t="str">
        <f>VLOOKUP($C426,tab_Agências[],10,FALSE)</f>
        <v>botucatu@cetesbnet.sp.gov.br</v>
      </c>
    </row>
    <row r="427" spans="1:12" x14ac:dyDescent="0.25">
      <c r="A427" s="8">
        <v>3537602</v>
      </c>
      <c r="B427" s="8" t="s">
        <v>1365</v>
      </c>
      <c r="C427" s="9">
        <v>33</v>
      </c>
      <c r="D427" s="10" t="str">
        <f>VLOOKUP($C427,tab_Agências[],2,FALSE)</f>
        <v>Agência Ambiental de Santos</v>
      </c>
      <c r="E427" s="8" t="str">
        <f>VLOOKUP($C427,tab_Agências[],3,FALSE)</f>
        <v>Rua Delfim Moreira, 56</v>
      </c>
      <c r="F427" s="8" t="str">
        <f>VLOOKUP($C427,tab_Agências[],4,FALSE)</f>
        <v>Embaré</v>
      </c>
      <c r="G427" s="8" t="str">
        <f>VLOOKUP($C427,tab_Agências[],5,FALSE)</f>
        <v>11040-100</v>
      </c>
      <c r="H427" s="8" t="str">
        <f>VLOOKUP($C427,tab_Agências[],6,FALSE)</f>
        <v>Santos</v>
      </c>
      <c r="I427" s="8" t="str">
        <f>VLOOKUP($C427,tab_Agências[],7,FALSE)</f>
        <v>Rua Delfim Moreira, 56 - Embaré, Santos, 11040-100</v>
      </c>
      <c r="J427" s="8" t="str">
        <f>VLOOKUP($C427,tab_Agências[],8,FALSE)</f>
        <v>(13) 3227-7767</v>
      </c>
      <c r="K427" s="8" t="str">
        <f>VLOOKUP($C427,tab_Agências[],9,FALSE)</f>
        <v>(13) 3227-7767</v>
      </c>
      <c r="L427" s="8" t="str">
        <f>VLOOKUP($C427,tab_Agências[],10,FALSE)</f>
        <v>santos@cetesbnet.sp.gov.br</v>
      </c>
    </row>
    <row r="428" spans="1:12" x14ac:dyDescent="0.25">
      <c r="A428" s="8">
        <v>3537701</v>
      </c>
      <c r="B428" s="8" t="s">
        <v>1366</v>
      </c>
      <c r="C428" s="9">
        <v>2</v>
      </c>
      <c r="D428" s="10" t="str">
        <f>VLOOKUP($C428,tab_Agências[],2,FALSE)</f>
        <v>Agência Ambiental de Araçatuba</v>
      </c>
      <c r="E428" s="8" t="str">
        <f>VLOOKUP($C428,tab_Agências[],3,FALSE)</f>
        <v>Rua Ten. Alcides Teodoro dos Santos, 260</v>
      </c>
      <c r="F428" s="8" t="str">
        <f>VLOOKUP($C428,tab_Agências[],4,FALSE)</f>
        <v>Aviação</v>
      </c>
      <c r="G428" s="8" t="str">
        <f>VLOOKUP($C428,tab_Agências[],5,FALSE)</f>
        <v>16055-557</v>
      </c>
      <c r="H428" s="8" t="str">
        <f>VLOOKUP($C428,tab_Agências[],6,FALSE)</f>
        <v>Araçatuba</v>
      </c>
      <c r="I428" s="8" t="str">
        <f>VLOOKUP($C428,tab_Agências[],7,FALSE)</f>
        <v>Rua Ten. Alcides Teodoro dos Santos, 260 - Aviação, Araçatuba, 16055-557</v>
      </c>
      <c r="J428" s="8" t="str">
        <f>VLOOKUP($C428,tab_Agências[],8,FALSE)</f>
        <v>(18) 3608-8053</v>
      </c>
      <c r="K428" s="8" t="str">
        <f>VLOOKUP($C428,tab_Agências[],9,FALSE)</f>
        <v>(18) 3608-7197</v>
      </c>
      <c r="L428" s="8" t="str">
        <f>VLOOKUP($C428,tab_Agências[],10,FALSE)</f>
        <v>aracatuba@cetesbnet.sp.gov.br</v>
      </c>
    </row>
    <row r="429" spans="1:12" x14ac:dyDescent="0.25">
      <c r="A429" s="8">
        <v>3537800</v>
      </c>
      <c r="B429" s="8" t="s">
        <v>1367</v>
      </c>
      <c r="C429" s="9">
        <v>39</v>
      </c>
      <c r="D429" s="10" t="str">
        <f>VLOOKUP($C429,tab_Agências[],2,FALSE)</f>
        <v>Agência Ambiental de Sorocaba</v>
      </c>
      <c r="E429" s="8" t="str">
        <f>VLOOKUP($C429,tab_Agências[],3,FALSE)</f>
        <v>Avenida Américo de Carvalho, 820</v>
      </c>
      <c r="F429" s="8" t="str">
        <f>VLOOKUP($C429,tab_Agências[],4,FALSE)</f>
        <v>Jardim Europa</v>
      </c>
      <c r="G429" s="8" t="str">
        <f>VLOOKUP($C429,tab_Agências[],5,FALSE)</f>
        <v>18045-000</v>
      </c>
      <c r="H429" s="8" t="str">
        <f>VLOOKUP($C429,tab_Agências[],6,FALSE)</f>
        <v>Sorocaba</v>
      </c>
      <c r="I429" s="8" t="str">
        <f>VLOOKUP($C429,tab_Agências[],7,FALSE)</f>
        <v>Avenida Américo de Carvalho, 820 - Jardim Europa, Sorocaba, 18045-000</v>
      </c>
      <c r="J429" s="8" t="str">
        <f>VLOOKUP($C429,tab_Agências[],8,FALSE)</f>
        <v>(15) 3222-2065</v>
      </c>
      <c r="K429" s="8" t="str">
        <f>VLOOKUP($C429,tab_Agências[],9,FALSE)</f>
        <v>(15) 3222-2065</v>
      </c>
      <c r="L429" s="8" t="str">
        <f>VLOOKUP($C429,tab_Agências[],10,FALSE)</f>
        <v>sorocaba@cetesbnet.sp.gov.br</v>
      </c>
    </row>
    <row r="430" spans="1:12" x14ac:dyDescent="0.25">
      <c r="A430" s="8">
        <v>3537909</v>
      </c>
      <c r="B430" s="8" t="s">
        <v>1368</v>
      </c>
      <c r="C430" s="9">
        <v>39</v>
      </c>
      <c r="D430" s="10" t="str">
        <f>VLOOKUP($C430,tab_Agências[],2,FALSE)</f>
        <v>Agência Ambiental de Sorocaba</v>
      </c>
      <c r="E430" s="8" t="str">
        <f>VLOOKUP($C430,tab_Agências[],3,FALSE)</f>
        <v>Avenida Américo de Carvalho, 820</v>
      </c>
      <c r="F430" s="8" t="str">
        <f>VLOOKUP($C430,tab_Agências[],4,FALSE)</f>
        <v>Jardim Europa</v>
      </c>
      <c r="G430" s="8" t="str">
        <f>VLOOKUP($C430,tab_Agências[],5,FALSE)</f>
        <v>18045-000</v>
      </c>
      <c r="H430" s="8" t="str">
        <f>VLOOKUP($C430,tab_Agências[],6,FALSE)</f>
        <v>Sorocaba</v>
      </c>
      <c r="I430" s="8" t="str">
        <f>VLOOKUP($C430,tab_Agências[],7,FALSE)</f>
        <v>Avenida Américo de Carvalho, 820 - Jardim Europa, Sorocaba, 18045-000</v>
      </c>
      <c r="J430" s="8" t="str">
        <f>VLOOKUP($C430,tab_Agências[],8,FALSE)</f>
        <v>(15) 3222-2065</v>
      </c>
      <c r="K430" s="8" t="str">
        <f>VLOOKUP($C430,tab_Agências[],9,FALSE)</f>
        <v>(15) 3222-2065</v>
      </c>
      <c r="L430" s="8" t="str">
        <f>VLOOKUP($C430,tab_Agências[],10,FALSE)</f>
        <v>sorocaba@cetesbnet.sp.gov.br</v>
      </c>
    </row>
    <row r="431" spans="1:12" x14ac:dyDescent="0.25">
      <c r="A431" s="8">
        <v>3538006</v>
      </c>
      <c r="B431" s="8" t="s">
        <v>1369</v>
      </c>
      <c r="C431" s="9">
        <v>40</v>
      </c>
      <c r="D431" s="10" t="str">
        <f>VLOOKUP($C431,tab_Agências[],2,FALSE)</f>
        <v>Agência Ambiental de Taubaté</v>
      </c>
      <c r="E431" s="8" t="str">
        <f>VLOOKUP($C431,tab_Agências[],3,FALSE)</f>
        <v>Avenida Itambé, 38</v>
      </c>
      <c r="F431" s="8" t="str">
        <f>VLOOKUP($C431,tab_Agências[],4,FALSE)</f>
        <v>Sta. Luzia</v>
      </c>
      <c r="G431" s="8" t="str">
        <f>VLOOKUP($C431,tab_Agências[],5,FALSE)</f>
        <v>12091-200</v>
      </c>
      <c r="H431" s="8" t="str">
        <f>VLOOKUP($C431,tab_Agências[],6,FALSE)</f>
        <v>Taubaté</v>
      </c>
      <c r="I431" s="8" t="str">
        <f>VLOOKUP($C431,tab_Agências[],7,FALSE)</f>
        <v>Avenida Itambé, 38 - Sta. Luzia, Taubaté, 12091-200</v>
      </c>
      <c r="J431" s="8" t="str">
        <f>VLOOKUP($C431,tab_Agências[],8,FALSE)</f>
        <v>(12) 3634-8222</v>
      </c>
      <c r="K431" s="8" t="str">
        <f>VLOOKUP($C431,tab_Agências[],9,FALSE)</f>
        <v>(12) 3634-8234</v>
      </c>
      <c r="L431" s="8" t="str">
        <f>VLOOKUP($C431,tab_Agências[],10,FALSE)</f>
        <v>taubate@cetesbnet.sp.gov.br</v>
      </c>
    </row>
    <row r="432" spans="1:12" x14ac:dyDescent="0.25">
      <c r="A432" s="8">
        <v>3538105</v>
      </c>
      <c r="B432" s="8" t="s">
        <v>1370</v>
      </c>
      <c r="C432" s="9">
        <v>36</v>
      </c>
      <c r="D432" s="10" t="str">
        <f>VLOOKUP($C432,tab_Agências[],2,FALSE)</f>
        <v>Agência Ambiental de São José do Rio Preto</v>
      </c>
      <c r="E432" s="8" t="str">
        <f>VLOOKUP($C432,tab_Agências[],3,FALSE)</f>
        <v>Avenida Mário Andreazza,</v>
      </c>
      <c r="F432" s="8" t="str">
        <f>VLOOKUP($C432,tab_Agências[],4,FALSE)</f>
        <v>Jardim São Marcos</v>
      </c>
      <c r="G432" s="8" t="str">
        <f>VLOOKUP($C432,tab_Agências[],5,FALSE)</f>
        <v>15081-490</v>
      </c>
      <c r="H432" s="8" t="str">
        <f>VLOOKUP($C432,tab_Agências[],6,FALSE)</f>
        <v>São José do Rio Preto</v>
      </c>
      <c r="I432" s="8" t="str">
        <f>VLOOKUP($C432,tab_Agências[],7,FALSE)</f>
        <v>Avenida Mário Andreazza, - Jardim São Marcos, São José do Rio Preto, 15081-490</v>
      </c>
      <c r="J432" s="8" t="str">
        <f>VLOOKUP($C432,tab_Agências[],8,FALSE)</f>
        <v>(17) 3218-4300</v>
      </c>
      <c r="K432" s="8" t="str">
        <f>VLOOKUP($C432,tab_Agências[],9,FALSE)</f>
        <v>(17) 3218-4300</v>
      </c>
      <c r="L432" s="8" t="str">
        <f>VLOOKUP($C432,tab_Agências[],10,FALSE)</f>
        <v>riopreto@cetesbnet.sp.gov.br</v>
      </c>
    </row>
    <row r="433" spans="1:12" x14ac:dyDescent="0.25">
      <c r="A433" s="8">
        <v>3538204</v>
      </c>
      <c r="B433" s="8" t="s">
        <v>1371</v>
      </c>
      <c r="C433" s="9">
        <v>5</v>
      </c>
      <c r="D433" s="10" t="str">
        <f>VLOOKUP($C433,tab_Agências[],2,FALSE)</f>
        <v>Agência Ambiental de Atibaia</v>
      </c>
      <c r="E433" s="8" t="str">
        <f>VLOOKUP($C433,tab_Agências[],3,FALSE)</f>
        <v>Avenida Nove de Julho, 266</v>
      </c>
      <c r="F433" s="8" t="str">
        <f>VLOOKUP($C433,tab_Agências[],4,FALSE)</f>
        <v>Centro</v>
      </c>
      <c r="G433" s="8" t="str">
        <f>VLOOKUP($C433,tab_Agências[],5,FALSE)</f>
        <v>12940-580</v>
      </c>
      <c r="H433" s="8" t="str">
        <f>VLOOKUP($C433,tab_Agências[],6,FALSE)</f>
        <v>Atibaia</v>
      </c>
      <c r="I433" s="8" t="str">
        <f>VLOOKUP($C433,tab_Agências[],7,FALSE)</f>
        <v>Avenida Nove de Julho, 266 - Centro, Atibaia, 12940-580</v>
      </c>
      <c r="J433" s="8" t="str">
        <f>VLOOKUP($C433,tab_Agências[],8,FALSE)</f>
        <v>(11) 4411-0662</v>
      </c>
      <c r="K433" s="8" t="str">
        <f>VLOOKUP($C433,tab_Agências[],9,FALSE)</f>
        <v>(11) 4411-0662</v>
      </c>
      <c r="L433" s="8" t="str">
        <f>VLOOKUP($C433,tab_Agências[],10,FALSE)</f>
        <v>atibaia@cetesbnet.sp.gov.br</v>
      </c>
    </row>
    <row r="434" spans="1:12" x14ac:dyDescent="0.25">
      <c r="A434" s="8">
        <v>3538303</v>
      </c>
      <c r="B434" s="8" t="s">
        <v>1372</v>
      </c>
      <c r="C434" s="9">
        <v>29</v>
      </c>
      <c r="D434" s="10" t="str">
        <f>VLOOKUP($C434,tab_Agências[],2,FALSE)</f>
        <v>Agência Ambiental de Presidente Prudente</v>
      </c>
      <c r="E434" s="8" t="str">
        <f>VLOOKUP($C434,tab_Agências[],3,FALSE)</f>
        <v>Rua João Gonçalves Foz, 1738</v>
      </c>
      <c r="F434" s="8" t="str">
        <f>VLOOKUP($C434,tab_Agências[],4,FALSE)</f>
        <v>Jardim das Rosas</v>
      </c>
      <c r="G434" s="8" t="str">
        <f>VLOOKUP($C434,tab_Agências[],5,FALSE)</f>
        <v>19060-050</v>
      </c>
      <c r="H434" s="8" t="str">
        <f>VLOOKUP($C434,tab_Agências[],6,FALSE)</f>
        <v>Presidente Prudente</v>
      </c>
      <c r="I434" s="8" t="str">
        <f>VLOOKUP($C434,tab_Agências[],7,FALSE)</f>
        <v>Rua João Gonçalves Foz, 1738 - Jardim das Rosas, Presidente Prudente, 19060-050</v>
      </c>
      <c r="J434" s="8" t="str">
        <f>VLOOKUP($C434,tab_Agências[],8,FALSE)</f>
        <v>(18) 3223-5001</v>
      </c>
      <c r="K434" s="8" t="str">
        <f>VLOOKUP($C434,tab_Agências[],9,FALSE)</f>
        <v xml:space="preserve"> </v>
      </c>
      <c r="L434" s="8" t="str">
        <f>VLOOKUP($C434,tab_Agências[],10,FALSE)</f>
        <v>prudente@cetesbnet.sp.gov.br</v>
      </c>
    </row>
    <row r="435" spans="1:12" x14ac:dyDescent="0.25">
      <c r="A435" s="8">
        <v>3538501</v>
      </c>
      <c r="B435" s="8" t="s">
        <v>1373</v>
      </c>
      <c r="C435" s="9">
        <v>40</v>
      </c>
      <c r="D435" s="10" t="str">
        <f>VLOOKUP($C435,tab_Agências[],2,FALSE)</f>
        <v>Agência Ambiental de Taubaté</v>
      </c>
      <c r="E435" s="8" t="str">
        <f>VLOOKUP($C435,tab_Agências[],3,FALSE)</f>
        <v>Avenida Itambé, 38</v>
      </c>
      <c r="F435" s="8" t="str">
        <f>VLOOKUP($C435,tab_Agências[],4,FALSE)</f>
        <v>Sta. Luzia</v>
      </c>
      <c r="G435" s="8" t="str">
        <f>VLOOKUP($C435,tab_Agências[],5,FALSE)</f>
        <v>12091-200</v>
      </c>
      <c r="H435" s="8" t="str">
        <f>VLOOKUP($C435,tab_Agências[],6,FALSE)</f>
        <v>Taubaté</v>
      </c>
      <c r="I435" s="8" t="str">
        <f>VLOOKUP($C435,tab_Agências[],7,FALSE)</f>
        <v>Avenida Itambé, 38 - Sta. Luzia, Taubaté, 12091-200</v>
      </c>
      <c r="J435" s="8" t="str">
        <f>VLOOKUP($C435,tab_Agências[],8,FALSE)</f>
        <v>(12) 3634-8222</v>
      </c>
      <c r="K435" s="8" t="str">
        <f>VLOOKUP($C435,tab_Agências[],9,FALSE)</f>
        <v>(12) 3634-8234</v>
      </c>
      <c r="L435" s="8" t="str">
        <f>VLOOKUP($C435,tab_Agências[],10,FALSE)</f>
        <v>taubate@cetesbnet.sp.gov.br</v>
      </c>
    </row>
    <row r="436" spans="1:12" x14ac:dyDescent="0.25">
      <c r="A436" s="8">
        <v>3538600</v>
      </c>
      <c r="B436" s="8" t="s">
        <v>1374</v>
      </c>
      <c r="C436" s="9">
        <v>5</v>
      </c>
      <c r="D436" s="10" t="str">
        <f>VLOOKUP($C436,tab_Agências[],2,FALSE)</f>
        <v>Agência Ambiental de Atibaia</v>
      </c>
      <c r="E436" s="8" t="str">
        <f>VLOOKUP($C436,tab_Agências[],3,FALSE)</f>
        <v>Avenida Nove de Julho, 266</v>
      </c>
      <c r="F436" s="8" t="str">
        <f>VLOOKUP($C436,tab_Agências[],4,FALSE)</f>
        <v>Centro</v>
      </c>
      <c r="G436" s="8" t="str">
        <f>VLOOKUP($C436,tab_Agências[],5,FALSE)</f>
        <v>12940-580</v>
      </c>
      <c r="H436" s="8" t="str">
        <f>VLOOKUP($C436,tab_Agências[],6,FALSE)</f>
        <v>Atibaia</v>
      </c>
      <c r="I436" s="8" t="str">
        <f>VLOOKUP($C436,tab_Agências[],7,FALSE)</f>
        <v>Avenida Nove de Julho, 266 - Centro, Atibaia, 12940-580</v>
      </c>
      <c r="J436" s="8" t="str">
        <f>VLOOKUP($C436,tab_Agências[],8,FALSE)</f>
        <v>(11) 4411-0662</v>
      </c>
      <c r="K436" s="8" t="str">
        <f>VLOOKUP($C436,tab_Agências[],9,FALSE)</f>
        <v>(11) 4411-0662</v>
      </c>
      <c r="L436" s="8" t="str">
        <f>VLOOKUP($C436,tab_Agências[],10,FALSE)</f>
        <v>atibaia@cetesbnet.sp.gov.br</v>
      </c>
    </row>
    <row r="437" spans="1:12" x14ac:dyDescent="0.25">
      <c r="A437" s="8">
        <v>3538709</v>
      </c>
      <c r="B437" s="8" t="s">
        <v>1375</v>
      </c>
      <c r="C437" s="9">
        <v>28</v>
      </c>
      <c r="D437" s="10" t="str">
        <f>VLOOKUP($C437,tab_Agências[],2,FALSE)</f>
        <v>Agência Ambiental de Piracicaba</v>
      </c>
      <c r="E437" s="8" t="str">
        <f>VLOOKUP($C437,tab_Agências[],3,FALSE)</f>
        <v>Rua do Rosário, 566</v>
      </c>
      <c r="F437" s="8" t="str">
        <f>VLOOKUP($C437,tab_Agências[],4,FALSE)</f>
        <v>Centro</v>
      </c>
      <c r="G437" s="8" t="str">
        <f>VLOOKUP($C437,tab_Agências[],5,FALSE)</f>
        <v>13400-183</v>
      </c>
      <c r="H437" s="8" t="str">
        <f>VLOOKUP($C437,tab_Agências[],6,FALSE)</f>
        <v>Piracicaba</v>
      </c>
      <c r="I437" s="8" t="str">
        <f>VLOOKUP($C437,tab_Agências[],7,FALSE)</f>
        <v>Rua do Rosário, 566 - Centro, Piracicaba, 13400-183</v>
      </c>
      <c r="J437" s="8" t="str">
        <f>VLOOKUP($C437,tab_Agências[],8,FALSE)</f>
        <v>(19) 3402-6863</v>
      </c>
      <c r="K437" s="8" t="str">
        <f>VLOOKUP($C437,tab_Agências[],9,FALSE)</f>
        <v>(19) 3402-6863</v>
      </c>
      <c r="L437" s="8" t="str">
        <f>VLOOKUP($C437,tab_Agências[],10,FALSE)</f>
        <v>piracicaba@cetesbnet.sp.gov.br</v>
      </c>
    </row>
    <row r="438" spans="1:12" x14ac:dyDescent="0.25">
      <c r="A438" s="8">
        <v>3538808</v>
      </c>
      <c r="B438" s="8" t="s">
        <v>1376</v>
      </c>
      <c r="C438" s="9">
        <v>6</v>
      </c>
      <c r="D438" s="10" t="str">
        <f>VLOOKUP($C438,tab_Agências[],2,FALSE)</f>
        <v>Agência Ambiental de Avaré</v>
      </c>
      <c r="E438" s="8" t="str">
        <f>VLOOKUP($C438,tab_Agências[],3,FALSE)</f>
        <v>Avenida Governador Mário Covas, 525</v>
      </c>
      <c r="F438" s="8" t="str">
        <f>VLOOKUP($C438,tab_Agências[],4,FALSE)</f>
        <v>Vila Industrial</v>
      </c>
      <c r="G438" s="8" t="str">
        <f>VLOOKUP($C438,tab_Agências[],5,FALSE)</f>
        <v>18705-851</v>
      </c>
      <c r="H438" s="8" t="str">
        <f>VLOOKUP($C438,tab_Agências[],6,FALSE)</f>
        <v>Avaré</v>
      </c>
      <c r="I438" s="8" t="str">
        <f>VLOOKUP($C438,tab_Agências[],7,FALSE)</f>
        <v>Avenida Governador Mário Covas, 525 - Vila Industrial, Avaré, 18705-851</v>
      </c>
      <c r="J438" s="8" t="str">
        <f>VLOOKUP($C438,tab_Agências[],8,FALSE)</f>
        <v>(14) 3732-4900</v>
      </c>
      <c r="K438" s="8" t="str">
        <f>VLOOKUP($C438,tab_Agências[],9,FALSE)</f>
        <v xml:space="preserve"> </v>
      </c>
      <c r="L438" s="8" t="str">
        <f>VLOOKUP($C438,tab_Agências[],10,FALSE)</f>
        <v>avare@cetesbnet.sp.gov.br</v>
      </c>
    </row>
    <row r="439" spans="1:12" x14ac:dyDescent="0.25">
      <c r="A439" s="8">
        <v>3538907</v>
      </c>
      <c r="B439" s="8" t="s">
        <v>1377</v>
      </c>
      <c r="C439" s="9">
        <v>8</v>
      </c>
      <c r="D439" s="10" t="str">
        <f>VLOOKUP($C439,tab_Agências[],2,FALSE)</f>
        <v>Agência Ambiental de Bauru</v>
      </c>
      <c r="E439" s="8" t="str">
        <f>VLOOKUP($C439,tab_Agências[],3,FALSE)</f>
        <v>Avenida Rodrigues Alves, 138</v>
      </c>
      <c r="F439" s="8" t="str">
        <f>VLOOKUP($C439,tab_Agências[],4,FALSE)</f>
        <v>Vila Coralina</v>
      </c>
      <c r="G439" s="8" t="str">
        <f>VLOOKUP($C439,tab_Agências[],5,FALSE)</f>
        <v>17030-000</v>
      </c>
      <c r="H439" s="8" t="str">
        <f>VLOOKUP($C439,tab_Agências[],6,FALSE)</f>
        <v>Bauru</v>
      </c>
      <c r="I439" s="8" t="str">
        <f>VLOOKUP($C439,tab_Agências[],7,FALSE)</f>
        <v>Avenida Rodrigues Alves, 138 - Vila Coralina, Bauru, 17030-000</v>
      </c>
      <c r="J439" s="8" t="str">
        <f>VLOOKUP($C439,tab_Agências[],8,FALSE)</f>
        <v>(14) 3203-2058</v>
      </c>
      <c r="K439" s="8" t="str">
        <f>VLOOKUP($C439,tab_Agências[],9,FALSE)</f>
        <v>(14) 3203-2344</v>
      </c>
      <c r="L439" s="8" t="str">
        <f>VLOOKUP($C439,tab_Agências[],10,FALSE)</f>
        <v>bauru@cetesbnet.sp.gov.br</v>
      </c>
    </row>
    <row r="440" spans="1:12" x14ac:dyDescent="0.25">
      <c r="A440" s="8">
        <v>3539004</v>
      </c>
      <c r="B440" s="8" t="s">
        <v>1378</v>
      </c>
      <c r="C440" s="9">
        <v>7</v>
      </c>
      <c r="D440" s="10" t="str">
        <f>VLOOKUP($C440,tab_Agências[],2,FALSE)</f>
        <v>Agência Ambiental de Barretos</v>
      </c>
      <c r="E440" s="8" t="str">
        <f>VLOOKUP($C440,tab_Agências[],3,FALSE)</f>
        <v>Rua Bolívia, 2255</v>
      </c>
      <c r="F440" s="8" t="str">
        <f>VLOOKUP($C440,tab_Agências[],4,FALSE)</f>
        <v>América</v>
      </c>
      <c r="G440" s="8" t="str">
        <f>VLOOKUP($C440,tab_Agências[],5,FALSE)</f>
        <v>14783-197</v>
      </c>
      <c r="H440" s="8" t="str">
        <f>VLOOKUP($C440,tab_Agências[],6,FALSE)</f>
        <v>Barretos</v>
      </c>
      <c r="I440" s="8" t="str">
        <f>VLOOKUP($C440,tab_Agências[],7,FALSE)</f>
        <v>Rua Bolívia, 2255 - América, Barretos, 14783-197</v>
      </c>
      <c r="J440" s="8" t="str">
        <f>VLOOKUP($C440,tab_Agências[],8,FALSE)</f>
        <v>(17) 3322-2655</v>
      </c>
      <c r="K440" s="8" t="str">
        <f>VLOOKUP($C440,tab_Agências[],9,FALSE)</f>
        <v>(17) 3322-2952</v>
      </c>
      <c r="L440" s="8" t="str">
        <f>VLOOKUP($C440,tab_Agências[],10,FALSE)</f>
        <v>barretos@cetesbnet.sp.gov.br</v>
      </c>
    </row>
    <row r="441" spans="1:12" x14ac:dyDescent="0.25">
      <c r="A441" s="8">
        <v>3539103</v>
      </c>
      <c r="B441" s="8" t="s">
        <v>1379</v>
      </c>
      <c r="C441" s="9">
        <v>26</v>
      </c>
      <c r="D441" s="10" t="str">
        <f>VLOOKUP($C441,tab_Agências[],2,FALSE)</f>
        <v>Agência Ambiental de Osasco</v>
      </c>
      <c r="E441" s="8" t="str">
        <f>VLOOKUP($C441,tab_Agências[],3,FALSE)</f>
        <v>Rua Anete Queiroz Lacerda, 80</v>
      </c>
      <c r="F441" s="8" t="str">
        <f>VLOOKUP($C441,tab_Agências[],4,FALSE)</f>
        <v>Butantã</v>
      </c>
      <c r="G441" s="8" t="str">
        <f>VLOOKUP($C441,tab_Agências[],5,FALSE)</f>
        <v>05591-080</v>
      </c>
      <c r="H441" s="8" t="str">
        <f>VLOOKUP($C441,tab_Agências[],6,FALSE)</f>
        <v>São Paulo</v>
      </c>
      <c r="I441" s="8" t="str">
        <f>VLOOKUP($C441,tab_Agências[],7,FALSE)</f>
        <v>Rua Anete Queiroz Lacerda, 80 - Butantã, São Paulo, 05591-080</v>
      </c>
      <c r="J441" s="8" t="str">
        <f>VLOOKUP($C441,tab_Agências[],8,FALSE)</f>
        <v>(11) 3721-9600</v>
      </c>
      <c r="K441" s="8" t="str">
        <f>VLOOKUP($C441,tab_Agências[],9,FALSE)</f>
        <v>(11) 3721-9600</v>
      </c>
      <c r="L441" s="8" t="str">
        <f>VLOOKUP($C441,tab_Agências[],10,FALSE)</f>
        <v>osasco@cetesbnet.sp.gov.br</v>
      </c>
    </row>
    <row r="442" spans="1:12" x14ac:dyDescent="0.25">
      <c r="A442" s="8">
        <v>3539202</v>
      </c>
      <c r="B442" s="8" t="s">
        <v>1380</v>
      </c>
      <c r="C442" s="9">
        <v>29</v>
      </c>
      <c r="D442" s="10" t="str">
        <f>VLOOKUP($C442,tab_Agências[],2,FALSE)</f>
        <v>Agência Ambiental de Presidente Prudente</v>
      </c>
      <c r="E442" s="8" t="str">
        <f>VLOOKUP($C442,tab_Agências[],3,FALSE)</f>
        <v>Rua João Gonçalves Foz, 1738</v>
      </c>
      <c r="F442" s="8" t="str">
        <f>VLOOKUP($C442,tab_Agências[],4,FALSE)</f>
        <v>Jardim das Rosas</v>
      </c>
      <c r="G442" s="8" t="str">
        <f>VLOOKUP($C442,tab_Agências[],5,FALSE)</f>
        <v>19060-050</v>
      </c>
      <c r="H442" s="8" t="str">
        <f>VLOOKUP($C442,tab_Agências[],6,FALSE)</f>
        <v>Presidente Prudente</v>
      </c>
      <c r="I442" s="8" t="str">
        <f>VLOOKUP($C442,tab_Agências[],7,FALSE)</f>
        <v>Rua João Gonçalves Foz, 1738 - Jardim das Rosas, Presidente Prudente, 19060-050</v>
      </c>
      <c r="J442" s="8" t="str">
        <f>VLOOKUP($C442,tab_Agências[],8,FALSE)</f>
        <v>(18) 3223-5001</v>
      </c>
      <c r="K442" s="8" t="str">
        <f>VLOOKUP($C442,tab_Agências[],9,FALSE)</f>
        <v xml:space="preserve"> </v>
      </c>
      <c r="L442" s="8" t="str">
        <f>VLOOKUP($C442,tab_Agências[],10,FALSE)</f>
        <v>prudente@cetesbnet.sp.gov.br</v>
      </c>
    </row>
    <row r="443" spans="1:12" x14ac:dyDescent="0.25">
      <c r="A443" s="8">
        <v>3539301</v>
      </c>
      <c r="B443" s="8" t="s">
        <v>1381</v>
      </c>
      <c r="C443" s="9">
        <v>25</v>
      </c>
      <c r="D443" s="10" t="str">
        <f>VLOOKUP($C443,tab_Agências[],2,FALSE)</f>
        <v>Agência Ambiental de Mogi Guaçu</v>
      </c>
      <c r="E443" s="8" t="str">
        <f>VLOOKUP($C443,tab_Agências[],3,FALSE)</f>
        <v>Rua Hugo Pancieira, 400</v>
      </c>
      <c r="F443" s="8" t="str">
        <f>VLOOKUP($C443,tab_Agências[],4,FALSE)</f>
        <v>Pedregulhal</v>
      </c>
      <c r="G443" s="8" t="str">
        <f>VLOOKUP($C443,tab_Agências[],5,FALSE)</f>
        <v>13845-190</v>
      </c>
      <c r="H443" s="8" t="str">
        <f>VLOOKUP($C443,tab_Agências[],6,FALSE)</f>
        <v>Mogi Guaçu</v>
      </c>
      <c r="I443" s="8" t="str">
        <f>VLOOKUP($C443,tab_Agências[],7,FALSE)</f>
        <v>Rua Hugo Pancieira, 400 - Pedregulhal, Mogi Guaçu, 13845-190</v>
      </c>
      <c r="J443" s="8" t="str">
        <f>VLOOKUP($C443,tab_Agências[],8,FALSE)</f>
        <v>(19) 3818-0396</v>
      </c>
      <c r="K443" s="8" t="str">
        <f>VLOOKUP($C443,tab_Agências[],9,FALSE)</f>
        <v>(19) 3818-0396</v>
      </c>
      <c r="L443" s="8" t="str">
        <f>VLOOKUP($C443,tab_Agências[],10,FALSE)</f>
        <v>mogiguacu@cetesbnet.sp.gov.br</v>
      </c>
    </row>
    <row r="444" spans="1:12" x14ac:dyDescent="0.25">
      <c r="A444" s="8">
        <v>3539400</v>
      </c>
      <c r="B444" s="8" t="s">
        <v>1382</v>
      </c>
      <c r="C444" s="9">
        <v>8</v>
      </c>
      <c r="D444" s="10" t="str">
        <f>VLOOKUP($C444,tab_Agências[],2,FALSE)</f>
        <v>Agência Ambiental de Bauru</v>
      </c>
      <c r="E444" s="8" t="str">
        <f>VLOOKUP($C444,tab_Agências[],3,FALSE)</f>
        <v>Avenida Rodrigues Alves, 138</v>
      </c>
      <c r="F444" s="8" t="str">
        <f>VLOOKUP($C444,tab_Agências[],4,FALSE)</f>
        <v>Vila Coralina</v>
      </c>
      <c r="G444" s="8" t="str">
        <f>VLOOKUP($C444,tab_Agências[],5,FALSE)</f>
        <v>17030-000</v>
      </c>
      <c r="H444" s="8" t="str">
        <f>VLOOKUP($C444,tab_Agências[],6,FALSE)</f>
        <v>Bauru</v>
      </c>
      <c r="I444" s="8" t="str">
        <f>VLOOKUP($C444,tab_Agências[],7,FALSE)</f>
        <v>Avenida Rodrigues Alves, 138 - Vila Coralina, Bauru, 17030-000</v>
      </c>
      <c r="J444" s="8" t="str">
        <f>VLOOKUP($C444,tab_Agências[],8,FALSE)</f>
        <v>(14) 3203-2058</v>
      </c>
      <c r="K444" s="8" t="str">
        <f>VLOOKUP($C444,tab_Agências[],9,FALSE)</f>
        <v>(14) 3203-2344</v>
      </c>
      <c r="L444" s="8" t="str">
        <f>VLOOKUP($C444,tab_Agências[],10,FALSE)</f>
        <v>bauru@cetesbnet.sp.gov.br</v>
      </c>
    </row>
    <row r="445" spans="1:12" x14ac:dyDescent="0.25">
      <c r="A445" s="8">
        <v>3539509</v>
      </c>
      <c r="B445" s="8" t="s">
        <v>1383</v>
      </c>
      <c r="C445" s="9">
        <v>19</v>
      </c>
      <c r="D445" s="10" t="str">
        <f>VLOOKUP($C445,tab_Agências[],2,FALSE)</f>
        <v>Agência Ambiental de Jaboticabal</v>
      </c>
      <c r="E445" s="8" t="str">
        <f>VLOOKUP($C445,tab_Agências[],3,FALSE)</f>
        <v>Avenida Angelo Morello, 60</v>
      </c>
      <c r="F445" s="8" t="str">
        <f>VLOOKUP($C445,tab_Agências[],4,FALSE)</f>
        <v>Jardim Santa Rosa</v>
      </c>
      <c r="G445" s="8" t="str">
        <f>VLOOKUP($C445,tab_Agências[],5,FALSE)</f>
        <v>14875-290</v>
      </c>
      <c r="H445" s="8" t="str">
        <f>VLOOKUP($C445,tab_Agências[],6,FALSE)</f>
        <v>Jaboticabal</v>
      </c>
      <c r="I445" s="8" t="str">
        <f>VLOOKUP($C445,tab_Agências[],7,FALSE)</f>
        <v>Avenida Angelo Morello, 60 - Jardim Santa Rosa, Jaboticabal, 14875-290</v>
      </c>
      <c r="J445" s="8" t="str">
        <f>VLOOKUP($C445,tab_Agências[],8,FALSE)</f>
        <v>(16) 3203-9400</v>
      </c>
      <c r="K445" s="8" t="str">
        <f>VLOOKUP($C445,tab_Agências[],9,FALSE)</f>
        <v>(16) 3203-9400</v>
      </c>
      <c r="L445" s="8" t="str">
        <f>VLOOKUP($C445,tab_Agências[],10,FALSE)</f>
        <v>jaboticabal@cetesbnet.sp.gov.br</v>
      </c>
    </row>
    <row r="446" spans="1:12" x14ac:dyDescent="0.25">
      <c r="A446" s="8">
        <v>3539608</v>
      </c>
      <c r="B446" s="8" t="s">
        <v>1384</v>
      </c>
      <c r="C446" s="9">
        <v>2</v>
      </c>
      <c r="D446" s="10" t="str">
        <f>VLOOKUP($C446,tab_Agências[],2,FALSE)</f>
        <v>Agência Ambiental de Araçatuba</v>
      </c>
      <c r="E446" s="8" t="str">
        <f>VLOOKUP($C446,tab_Agências[],3,FALSE)</f>
        <v>Rua Ten. Alcides Teodoro dos Santos, 260</v>
      </c>
      <c r="F446" s="8" t="str">
        <f>VLOOKUP($C446,tab_Agências[],4,FALSE)</f>
        <v>Aviação</v>
      </c>
      <c r="G446" s="8" t="str">
        <f>VLOOKUP($C446,tab_Agências[],5,FALSE)</f>
        <v>16055-557</v>
      </c>
      <c r="H446" s="8" t="str">
        <f>VLOOKUP($C446,tab_Agências[],6,FALSE)</f>
        <v>Araçatuba</v>
      </c>
      <c r="I446" s="8" t="str">
        <f>VLOOKUP($C446,tab_Agências[],7,FALSE)</f>
        <v>Rua Ten. Alcides Teodoro dos Santos, 260 - Aviação, Araçatuba, 16055-557</v>
      </c>
      <c r="J446" s="8" t="str">
        <f>VLOOKUP($C446,tab_Agências[],8,FALSE)</f>
        <v>(18) 3608-8053</v>
      </c>
      <c r="K446" s="8" t="str">
        <f>VLOOKUP($C446,tab_Agências[],9,FALSE)</f>
        <v>(18) 3608-7197</v>
      </c>
      <c r="L446" s="8" t="str">
        <f>VLOOKUP($C446,tab_Agências[],10,FALSE)</f>
        <v>aracatuba@cetesbnet.sp.gov.br</v>
      </c>
    </row>
    <row r="447" spans="1:12" x14ac:dyDescent="0.25">
      <c r="A447" s="8">
        <v>3539707</v>
      </c>
      <c r="B447" s="8" t="s">
        <v>1385</v>
      </c>
      <c r="C447" s="9">
        <v>4</v>
      </c>
      <c r="D447" s="10" t="str">
        <f>VLOOKUP($C447,tab_Agências[],2,FALSE)</f>
        <v>Agência Ambiental de Assis</v>
      </c>
      <c r="E447" s="8" t="str">
        <f>VLOOKUP($C447,tab_Agências[],3,FALSE)</f>
        <v>Via Chico Mendes, 75</v>
      </c>
      <c r="F447" s="8" t="str">
        <f>VLOOKUP($C447,tab_Agências[],4,FALSE)</f>
        <v>Quinta dos Flamboyants</v>
      </c>
      <c r="G447" s="8" t="str">
        <f>VLOOKUP($C447,tab_Agências[],5,FALSE)</f>
        <v>19810-005</v>
      </c>
      <c r="H447" s="8" t="str">
        <f>VLOOKUP($C447,tab_Agências[],6,FALSE)</f>
        <v>Assis</v>
      </c>
      <c r="I447" s="8" t="str">
        <f>VLOOKUP($C447,tab_Agências[],7,FALSE)</f>
        <v>Via Chico Mendes, 75 - Quinta dos Flamboyants, Assis, 19810-005</v>
      </c>
      <c r="J447" s="8" t="str">
        <f>VLOOKUP($C447,tab_Agências[],8,FALSE)</f>
        <v>(18) 3324-4177</v>
      </c>
      <c r="K447" s="8" t="str">
        <f>VLOOKUP($C447,tab_Agências[],9,FALSE)</f>
        <v>(18) 3324-4177</v>
      </c>
      <c r="L447" s="8" t="str">
        <f>VLOOKUP($C447,tab_Agências[],10,FALSE)</f>
        <v>assis@cetesbnet.sp.gov.br</v>
      </c>
    </row>
    <row r="448" spans="1:12" x14ac:dyDescent="0.25">
      <c r="A448" s="8">
        <v>3539806</v>
      </c>
      <c r="B448" s="8" t="s">
        <v>1386</v>
      </c>
      <c r="C448" s="9">
        <v>24</v>
      </c>
      <c r="D448" s="10" t="str">
        <f>VLOOKUP($C448,tab_Agências[],2,FALSE)</f>
        <v>Agência Ambiental de Mogi das Cruzes</v>
      </c>
      <c r="E448" s="8" t="str">
        <f>VLOOKUP($C448,tab_Agências[],3,FALSE)</f>
        <v>Avenida João XXIII, 165</v>
      </c>
      <c r="F448" s="8" t="str">
        <f>VLOOKUP($C448,tab_Agências[],4,FALSE)</f>
        <v>Socorro</v>
      </c>
      <c r="G448" s="8" t="str">
        <f>VLOOKUP($C448,tab_Agências[],5,FALSE)</f>
        <v>08830-000</v>
      </c>
      <c r="H448" s="8" t="str">
        <f>VLOOKUP($C448,tab_Agências[],6,FALSE)</f>
        <v>Mogi das Cruzes</v>
      </c>
      <c r="I448" s="8" t="str">
        <f>VLOOKUP($C448,tab_Agências[],7,FALSE)</f>
        <v>Avenida João XXIII, 165 - Socorro, Mogi das Cruzes, 08830-000</v>
      </c>
      <c r="J448" s="8" t="str">
        <f>VLOOKUP($C448,tab_Agências[],8,FALSE)</f>
        <v>(11) 4725-7490</v>
      </c>
      <c r="K448" s="8" t="str">
        <f>VLOOKUP($C448,tab_Agências[],9,FALSE)</f>
        <v xml:space="preserve"> </v>
      </c>
      <c r="L448" s="8" t="str">
        <f>VLOOKUP($C448,tab_Agências[],10,FALSE)</f>
        <v>mogi@cetesbnet.sp.gov.br</v>
      </c>
    </row>
    <row r="449" spans="1:12" x14ac:dyDescent="0.25">
      <c r="A449" s="8">
        <v>3539905</v>
      </c>
      <c r="B449" s="8" t="s">
        <v>1387</v>
      </c>
      <c r="C449" s="9">
        <v>41</v>
      </c>
      <c r="D449" s="10" t="str">
        <f>VLOOKUP($C449,tab_Agências[],2,FALSE)</f>
        <v>Agência Ambiental de Votuporanga</v>
      </c>
      <c r="E449" s="8" t="str">
        <f>VLOOKUP($C449,tab_Agências[],3,FALSE)</f>
        <v>Avenida Deputado Aureo Ferreira, 1724</v>
      </c>
      <c r="F449" s="8" t="str">
        <f>VLOOKUP($C449,tab_Agências[],4,FALSE)</f>
        <v>Vila Paes</v>
      </c>
      <c r="G449" s="8" t="str">
        <f>VLOOKUP($C449,tab_Agências[],5,FALSE)</f>
        <v>15500-112</v>
      </c>
      <c r="H449" s="8" t="str">
        <f>VLOOKUP($C449,tab_Agências[],6,FALSE)</f>
        <v>Votuporanga</v>
      </c>
      <c r="I449" s="8" t="str">
        <f>VLOOKUP($C449,tab_Agências[],7,FALSE)</f>
        <v>Avenida Deputado Aureo Ferreira, 1724 - Vila Paes, Votuporanga, 15500-112</v>
      </c>
      <c r="J449" s="8" t="str">
        <f>VLOOKUP($C449,tab_Agências[],8,FALSE)</f>
        <v>(17) 3421-4004</v>
      </c>
      <c r="K449" s="8" t="str">
        <f>VLOOKUP($C449,tab_Agências[],9,FALSE)</f>
        <v>(17) 3421-4004</v>
      </c>
      <c r="L449" s="8" t="str">
        <f>VLOOKUP($C449,tab_Agências[],10,FALSE)</f>
        <v>votuporanga@cetesbnet.sp.gov.br</v>
      </c>
    </row>
    <row r="450" spans="1:12" x14ac:dyDescent="0.25">
      <c r="A450" s="8">
        <v>3540002</v>
      </c>
      <c r="B450" s="8" t="s">
        <v>1388</v>
      </c>
      <c r="C450" s="9">
        <v>23</v>
      </c>
      <c r="D450" s="10" t="str">
        <f>VLOOKUP($C450,tab_Agências[],2,FALSE)</f>
        <v>Agência Ambiental de Marília</v>
      </c>
      <c r="E450" s="8" t="str">
        <f>VLOOKUP($C450,tab_Agências[],3,FALSE)</f>
        <v>Rua Santa Helena, 436</v>
      </c>
      <c r="F450" s="8" t="str">
        <f>VLOOKUP($C450,tab_Agências[],4,FALSE)</f>
        <v>Jardim Alvorada</v>
      </c>
      <c r="G450" s="8" t="str">
        <f>VLOOKUP($C450,tab_Agências[],5,FALSE)</f>
        <v>17513-322</v>
      </c>
      <c r="H450" s="8" t="str">
        <f>VLOOKUP($C450,tab_Agências[],6,FALSE)</f>
        <v>Marília</v>
      </c>
      <c r="I450" s="8" t="str">
        <f>VLOOKUP($C450,tab_Agências[],7,FALSE)</f>
        <v>Rua Santa Helena, 436 - Jardim Alvorada, Marília, 17513-322</v>
      </c>
      <c r="J450" s="8" t="str">
        <f>VLOOKUP($C450,tab_Agências[],8,FALSE)</f>
        <v>(14) 3422-4666</v>
      </c>
      <c r="K450" s="8" t="str">
        <f>VLOOKUP($C450,tab_Agências[],9,FALSE)</f>
        <v>(14) 3422-4666</v>
      </c>
      <c r="L450" s="8" t="str">
        <f>VLOOKUP($C450,tab_Agências[],10,FALSE)</f>
        <v>marilia@cetesbnet.sp.gov.br</v>
      </c>
    </row>
    <row r="451" spans="1:12" x14ac:dyDescent="0.25">
      <c r="A451" s="8">
        <v>3540101</v>
      </c>
      <c r="B451" s="8" t="s">
        <v>1389</v>
      </c>
      <c r="C451" s="9">
        <v>23</v>
      </c>
      <c r="D451" s="10" t="str">
        <f>VLOOKUP($C451,tab_Agências[],2,FALSE)</f>
        <v>Agência Ambiental de Marília</v>
      </c>
      <c r="E451" s="8" t="str">
        <f>VLOOKUP($C451,tab_Agências[],3,FALSE)</f>
        <v>Rua Santa Helena, 436</v>
      </c>
      <c r="F451" s="8" t="str">
        <f>VLOOKUP($C451,tab_Agências[],4,FALSE)</f>
        <v>Jardim Alvorada</v>
      </c>
      <c r="G451" s="8" t="str">
        <f>VLOOKUP($C451,tab_Agências[],5,FALSE)</f>
        <v>17513-322</v>
      </c>
      <c r="H451" s="8" t="str">
        <f>VLOOKUP($C451,tab_Agências[],6,FALSE)</f>
        <v>Marília</v>
      </c>
      <c r="I451" s="8" t="str">
        <f>VLOOKUP($C451,tab_Agências[],7,FALSE)</f>
        <v>Rua Santa Helena, 436 - Jardim Alvorada, Marília, 17513-322</v>
      </c>
      <c r="J451" s="8" t="str">
        <f>VLOOKUP($C451,tab_Agências[],8,FALSE)</f>
        <v>(14) 3422-4666</v>
      </c>
      <c r="K451" s="8" t="str">
        <f>VLOOKUP($C451,tab_Agências[],9,FALSE)</f>
        <v>(14) 3422-4666</v>
      </c>
      <c r="L451" s="8" t="str">
        <f>VLOOKUP($C451,tab_Agências[],10,FALSE)</f>
        <v>marilia@cetesbnet.sp.gov.br</v>
      </c>
    </row>
    <row r="452" spans="1:12" x14ac:dyDescent="0.25">
      <c r="A452" s="8">
        <v>3540200</v>
      </c>
      <c r="B452" s="8" t="s">
        <v>1390</v>
      </c>
      <c r="C452" s="9">
        <v>31</v>
      </c>
      <c r="D452" s="10" t="str">
        <f>VLOOKUP($C452,tab_Agências[],2,FALSE)</f>
        <v>Agência Ambiental de Ribeirão Preto</v>
      </c>
      <c r="E452" s="8" t="str">
        <f>VLOOKUP($C452,tab_Agências[],3,FALSE)</f>
        <v>Avenida Presidente Kennedy, 1760</v>
      </c>
      <c r="F452" s="8" t="str">
        <f>VLOOKUP($C452,tab_Agências[],4,FALSE)</f>
        <v>Ribeirânia</v>
      </c>
      <c r="G452" s="8" t="str">
        <f>VLOOKUP($C452,tab_Agências[],5,FALSE)</f>
        <v>14096-350</v>
      </c>
      <c r="H452" s="8" t="str">
        <f>VLOOKUP($C452,tab_Agências[],6,FALSE)</f>
        <v>Ribeirão Preto</v>
      </c>
      <c r="I452" s="8" t="str">
        <f>VLOOKUP($C452,tab_Agências[],7,FALSE)</f>
        <v>Avenida Presidente Kennedy, 1760 - Ribeirânia, Ribeirão Preto, 14096-350</v>
      </c>
      <c r="J452" s="8" t="str">
        <f>VLOOKUP($C452,tab_Agências[],8,FALSE)</f>
        <v>(16) 3617-4700</v>
      </c>
      <c r="K452" s="8" t="str">
        <f>VLOOKUP($C452,tab_Agências[],9,FALSE)</f>
        <v>(16) 3617-4207</v>
      </c>
      <c r="L452" s="8" t="str">
        <f>VLOOKUP($C452,tab_Agências[],10,FALSE)</f>
        <v>ribeirao@cetesbnet.sp.gov.br</v>
      </c>
    </row>
    <row r="453" spans="1:12" x14ac:dyDescent="0.25">
      <c r="A453" s="8">
        <v>3540259</v>
      </c>
      <c r="B453" s="8" t="s">
        <v>1391</v>
      </c>
      <c r="C453" s="9">
        <v>20</v>
      </c>
      <c r="D453" s="10" t="str">
        <f>VLOOKUP($C453,tab_Agências[],2,FALSE)</f>
        <v>Agência Ambiental de Jales</v>
      </c>
      <c r="E453" s="8" t="str">
        <f>VLOOKUP($C453,tab_Agências[],3,FALSE)</f>
        <v>Rua Nova Iorque, 1016</v>
      </c>
      <c r="F453" s="8" t="str">
        <f>VLOOKUP($C453,tab_Agências[],4,FALSE)</f>
        <v>Jardim Monte Rrey</v>
      </c>
      <c r="G453" s="8" t="str">
        <f>VLOOKUP($C453,tab_Agências[],5,FALSE)</f>
        <v>15703-326</v>
      </c>
      <c r="H453" s="8" t="str">
        <f>VLOOKUP($C453,tab_Agências[],6,FALSE)</f>
        <v>Jales</v>
      </c>
      <c r="I453" s="8" t="str">
        <f>VLOOKUP($C453,tab_Agências[],7,FALSE)</f>
        <v>Rua Nova Iorque, 1016 - Jardim Monte Rrey, Jales, 15703-326</v>
      </c>
      <c r="J453" s="8" t="str">
        <f>VLOOKUP($C453,tab_Agências[],8,FALSE)</f>
        <v>(17) 3621-1042</v>
      </c>
      <c r="K453" s="8" t="str">
        <f>VLOOKUP($C453,tab_Agências[],9,FALSE)</f>
        <v>(17) 3621-1042</v>
      </c>
      <c r="L453" s="8" t="str">
        <f>VLOOKUP($C453,tab_Agências[],10,FALSE)</f>
        <v>jales@cetesbnet.sp.gov.br</v>
      </c>
    </row>
    <row r="454" spans="1:12" x14ac:dyDescent="0.25">
      <c r="A454" s="8">
        <v>3540309</v>
      </c>
      <c r="B454" s="8" t="s">
        <v>1392</v>
      </c>
      <c r="C454" s="9">
        <v>41</v>
      </c>
      <c r="D454" s="10" t="str">
        <f>VLOOKUP($C454,tab_Agências[],2,FALSE)</f>
        <v>Agência Ambiental de Votuporanga</v>
      </c>
      <c r="E454" s="8" t="str">
        <f>VLOOKUP($C454,tab_Agências[],3,FALSE)</f>
        <v>Avenida Deputado Aureo Ferreira, 1724</v>
      </c>
      <c r="F454" s="8" t="str">
        <f>VLOOKUP($C454,tab_Agências[],4,FALSE)</f>
        <v>Vila Paes</v>
      </c>
      <c r="G454" s="8" t="str">
        <f>VLOOKUP($C454,tab_Agências[],5,FALSE)</f>
        <v>15500-112</v>
      </c>
      <c r="H454" s="8" t="str">
        <f>VLOOKUP($C454,tab_Agências[],6,FALSE)</f>
        <v>Votuporanga</v>
      </c>
      <c r="I454" s="8" t="str">
        <f>VLOOKUP($C454,tab_Agências[],7,FALSE)</f>
        <v>Avenida Deputado Aureo Ferreira, 1724 - Vila Paes, Votuporanga, 15500-112</v>
      </c>
      <c r="J454" s="8" t="str">
        <f>VLOOKUP($C454,tab_Agências[],8,FALSE)</f>
        <v>(17) 3421-4004</v>
      </c>
      <c r="K454" s="8" t="str">
        <f>VLOOKUP($C454,tab_Agências[],9,FALSE)</f>
        <v>(17) 3421-4004</v>
      </c>
      <c r="L454" s="8" t="str">
        <f>VLOOKUP($C454,tab_Agências[],10,FALSE)</f>
        <v>votuporanga@cetesbnet.sp.gov.br</v>
      </c>
    </row>
    <row r="455" spans="1:12" x14ac:dyDescent="0.25">
      <c r="A455" s="8">
        <v>3540408</v>
      </c>
      <c r="B455" s="8" t="s">
        <v>1393</v>
      </c>
      <c r="C455" s="9">
        <v>20</v>
      </c>
      <c r="D455" s="10" t="str">
        <f>VLOOKUP($C455,tab_Agências[],2,FALSE)</f>
        <v>Agência Ambiental de Jales</v>
      </c>
      <c r="E455" s="8" t="str">
        <f>VLOOKUP($C455,tab_Agências[],3,FALSE)</f>
        <v>Rua Nova Iorque, 1016</v>
      </c>
      <c r="F455" s="8" t="str">
        <f>VLOOKUP($C455,tab_Agências[],4,FALSE)</f>
        <v>Jardim Monte Rrey</v>
      </c>
      <c r="G455" s="8" t="str">
        <f>VLOOKUP($C455,tab_Agências[],5,FALSE)</f>
        <v>15703-326</v>
      </c>
      <c r="H455" s="8" t="str">
        <f>VLOOKUP($C455,tab_Agências[],6,FALSE)</f>
        <v>Jales</v>
      </c>
      <c r="I455" s="8" t="str">
        <f>VLOOKUP($C455,tab_Agências[],7,FALSE)</f>
        <v>Rua Nova Iorque, 1016 - Jardim Monte Rrey, Jales, 15703-326</v>
      </c>
      <c r="J455" s="8" t="str">
        <f>VLOOKUP($C455,tab_Agências[],8,FALSE)</f>
        <v>(17) 3621-1042</v>
      </c>
      <c r="K455" s="8" t="str">
        <f>VLOOKUP($C455,tab_Agências[],9,FALSE)</f>
        <v>(17) 3621-1042</v>
      </c>
      <c r="L455" s="8" t="str">
        <f>VLOOKUP($C455,tab_Agências[],10,FALSE)</f>
        <v>jales@cetesbnet.sp.gov.br</v>
      </c>
    </row>
    <row r="456" spans="1:12" x14ac:dyDescent="0.25">
      <c r="A456" s="8">
        <v>3540507</v>
      </c>
      <c r="B456" s="8" t="s">
        <v>1394</v>
      </c>
      <c r="C456" s="9">
        <v>9</v>
      </c>
      <c r="D456" s="10" t="str">
        <f>VLOOKUP($C456,tab_Agências[],2,FALSE)</f>
        <v>Agência Ambiental de Botucatu</v>
      </c>
      <c r="E456" s="8" t="str">
        <f>VLOOKUP($C456,tab_Agências[],3,FALSE)</f>
        <v>Rua João Morato da Conceição, 525</v>
      </c>
      <c r="F456" s="8" t="str">
        <f>VLOOKUP($C456,tab_Agências[],4,FALSE)</f>
        <v>Vila Maria</v>
      </c>
      <c r="G456" s="8" t="str">
        <f>VLOOKUP($C456,tab_Agências[],5,FALSE)</f>
        <v>18611-358</v>
      </c>
      <c r="H456" s="8" t="str">
        <f>VLOOKUP($C456,tab_Agências[],6,FALSE)</f>
        <v>Botucatu</v>
      </c>
      <c r="I456" s="8" t="str">
        <f>VLOOKUP($C456,tab_Agências[],7,FALSE)</f>
        <v>Rua João Morato da Conceição, 525 - Vila Maria, Botucatu, 18611-358</v>
      </c>
      <c r="J456" s="8" t="str">
        <f>VLOOKUP($C456,tab_Agências[],8,FALSE)</f>
        <v>(14) 3882-1134</v>
      </c>
      <c r="K456" s="8" t="str">
        <f>VLOOKUP($C456,tab_Agências[],9,FALSE)</f>
        <v>(14) 3882-1134</v>
      </c>
      <c r="L456" s="8" t="str">
        <f>VLOOKUP($C456,tab_Agências[],10,FALSE)</f>
        <v>botucatu@cetesbnet.sp.gov.br</v>
      </c>
    </row>
    <row r="457" spans="1:12" x14ac:dyDescent="0.25">
      <c r="A457" s="8">
        <v>3540606</v>
      </c>
      <c r="B457" s="8" t="s">
        <v>1395</v>
      </c>
      <c r="C457" s="9">
        <v>18</v>
      </c>
      <c r="D457" s="10" t="str">
        <f>VLOOKUP($C457,tab_Agências[],2,FALSE)</f>
        <v>Agência Ambiental de Itu</v>
      </c>
      <c r="E457" s="8" t="str">
        <f>VLOOKUP($C457,tab_Agências[],3,FALSE)</f>
        <v>Rua Santa Rita, 1165</v>
      </c>
      <c r="F457" s="8" t="str">
        <f>VLOOKUP($C457,tab_Agências[],4,FALSE)</f>
        <v>Centro</v>
      </c>
      <c r="G457" s="8" t="str">
        <f>VLOOKUP($C457,tab_Agências[],5,FALSE)</f>
        <v>13300-065</v>
      </c>
      <c r="H457" s="8" t="str">
        <f>VLOOKUP($C457,tab_Agências[],6,FALSE)</f>
        <v>Itu</v>
      </c>
      <c r="I457" s="8" t="str">
        <f>VLOOKUP($C457,tab_Agências[],7,FALSE)</f>
        <v>Rua Santa Rita, 1165 - Centro, Itu, 13300-065</v>
      </c>
      <c r="J457" s="8" t="str">
        <f>VLOOKUP($C457,tab_Agências[],8,FALSE)</f>
        <v>(11) 4013-3419</v>
      </c>
      <c r="K457" s="8" t="str">
        <f>VLOOKUP($C457,tab_Agências[],9,FALSE)</f>
        <v>(11) 4013-3419</v>
      </c>
      <c r="L457" s="8" t="str">
        <f>VLOOKUP($C457,tab_Agências[],10,FALSE)</f>
        <v>itu@cetesbnet.sp.gov.br</v>
      </c>
    </row>
    <row r="458" spans="1:12" x14ac:dyDescent="0.25">
      <c r="A458" s="8">
        <v>3540705</v>
      </c>
      <c r="B458" s="8" t="s">
        <v>1396</v>
      </c>
      <c r="C458" s="9">
        <v>31</v>
      </c>
      <c r="D458" s="10" t="str">
        <f>VLOOKUP($C458,tab_Agências[],2,FALSE)</f>
        <v>Agência Ambiental de Ribeirão Preto</v>
      </c>
      <c r="E458" s="8" t="str">
        <f>VLOOKUP($C458,tab_Agências[],3,FALSE)</f>
        <v>Avenida Presidente Kennedy, 1760</v>
      </c>
      <c r="F458" s="8" t="str">
        <f>VLOOKUP($C458,tab_Agências[],4,FALSE)</f>
        <v>Ribeirânia</v>
      </c>
      <c r="G458" s="8" t="str">
        <f>VLOOKUP($C458,tab_Agências[],5,FALSE)</f>
        <v>14096-350</v>
      </c>
      <c r="H458" s="8" t="str">
        <f>VLOOKUP($C458,tab_Agências[],6,FALSE)</f>
        <v>Ribeirão Preto</v>
      </c>
      <c r="I458" s="8" t="str">
        <f>VLOOKUP($C458,tab_Agências[],7,FALSE)</f>
        <v>Avenida Presidente Kennedy, 1760 - Ribeirânia, Ribeirão Preto, 14096-350</v>
      </c>
      <c r="J458" s="8" t="str">
        <f>VLOOKUP($C458,tab_Agências[],8,FALSE)</f>
        <v>(16) 3617-4700</v>
      </c>
      <c r="K458" s="8" t="str">
        <f>VLOOKUP($C458,tab_Agências[],9,FALSE)</f>
        <v>(16) 3617-4207</v>
      </c>
      <c r="L458" s="8" t="str">
        <f>VLOOKUP($C458,tab_Agências[],10,FALSE)</f>
        <v>ribeirao@cetesbnet.sp.gov.br</v>
      </c>
    </row>
    <row r="459" spans="1:12" x14ac:dyDescent="0.25">
      <c r="A459" s="8">
        <v>3540754</v>
      </c>
      <c r="B459" s="8" t="s">
        <v>1397</v>
      </c>
      <c r="C459" s="9">
        <v>40</v>
      </c>
      <c r="D459" s="10" t="str">
        <f>VLOOKUP($C459,tab_Agências[],2,FALSE)</f>
        <v>Agência Ambiental de Taubaté</v>
      </c>
      <c r="E459" s="8" t="str">
        <f>VLOOKUP($C459,tab_Agências[],3,FALSE)</f>
        <v>Avenida Itambé, 38</v>
      </c>
      <c r="F459" s="8" t="str">
        <f>VLOOKUP($C459,tab_Agências[],4,FALSE)</f>
        <v>Sta. Luzia</v>
      </c>
      <c r="G459" s="8" t="str">
        <f>VLOOKUP($C459,tab_Agências[],5,FALSE)</f>
        <v>12091-200</v>
      </c>
      <c r="H459" s="8" t="str">
        <f>VLOOKUP($C459,tab_Agências[],6,FALSE)</f>
        <v>Taubaté</v>
      </c>
      <c r="I459" s="8" t="str">
        <f>VLOOKUP($C459,tab_Agências[],7,FALSE)</f>
        <v>Avenida Itambé, 38 - Sta. Luzia, Taubaté, 12091-200</v>
      </c>
      <c r="J459" s="8" t="str">
        <f>VLOOKUP($C459,tab_Agências[],8,FALSE)</f>
        <v>(12) 3634-8222</v>
      </c>
      <c r="K459" s="8" t="str">
        <f>VLOOKUP($C459,tab_Agências[],9,FALSE)</f>
        <v>(12) 3634-8234</v>
      </c>
      <c r="L459" s="8" t="str">
        <f>VLOOKUP($C459,tab_Agências[],10,FALSE)</f>
        <v>taubate@cetesbnet.sp.gov.br</v>
      </c>
    </row>
    <row r="460" spans="1:12" x14ac:dyDescent="0.25">
      <c r="A460" s="8">
        <v>3540804</v>
      </c>
      <c r="B460" s="8" t="s">
        <v>1398</v>
      </c>
      <c r="C460" s="9">
        <v>36</v>
      </c>
      <c r="D460" s="10" t="str">
        <f>VLOOKUP($C460,tab_Agências[],2,FALSE)</f>
        <v>Agência Ambiental de São José do Rio Preto</v>
      </c>
      <c r="E460" s="8" t="str">
        <f>VLOOKUP($C460,tab_Agências[],3,FALSE)</f>
        <v>Avenida Mário Andreazza,</v>
      </c>
      <c r="F460" s="8" t="str">
        <f>VLOOKUP($C460,tab_Agências[],4,FALSE)</f>
        <v>Jardim São Marcos</v>
      </c>
      <c r="G460" s="8" t="str">
        <f>VLOOKUP($C460,tab_Agências[],5,FALSE)</f>
        <v>15081-490</v>
      </c>
      <c r="H460" s="8" t="str">
        <f>VLOOKUP($C460,tab_Agências[],6,FALSE)</f>
        <v>São José do Rio Preto</v>
      </c>
      <c r="I460" s="8" t="str">
        <f>VLOOKUP($C460,tab_Agências[],7,FALSE)</f>
        <v>Avenida Mário Andreazza, - Jardim São Marcos, São José do Rio Preto, 15081-490</v>
      </c>
      <c r="J460" s="8" t="str">
        <f>VLOOKUP($C460,tab_Agências[],8,FALSE)</f>
        <v>(17) 3218-4300</v>
      </c>
      <c r="K460" s="8" t="str">
        <f>VLOOKUP($C460,tab_Agências[],9,FALSE)</f>
        <v>(17) 3218-4300</v>
      </c>
      <c r="L460" s="8" t="str">
        <f>VLOOKUP($C460,tab_Agências[],10,FALSE)</f>
        <v>riopreto@cetesbnet.sp.gov.br</v>
      </c>
    </row>
    <row r="461" spans="1:12" x14ac:dyDescent="0.25">
      <c r="A461" s="8">
        <v>3540853</v>
      </c>
      <c r="B461" s="8" t="s">
        <v>1399</v>
      </c>
      <c r="C461" s="9">
        <v>13</v>
      </c>
      <c r="D461" s="10" t="str">
        <f>VLOOKUP($C461,tab_Agências[],2,FALSE)</f>
        <v>Agência Ambiental de Dracena</v>
      </c>
      <c r="E461" s="8" t="str">
        <f>VLOOKUP($C461,tab_Agências[],3,FALSE)</f>
        <v>Rua Tomé de Souza, 438</v>
      </c>
      <c r="F461" s="8" t="str">
        <f>VLOOKUP($C461,tab_Agências[],4,FALSE)</f>
        <v>Centro</v>
      </c>
      <c r="G461" s="8" t="str">
        <f>VLOOKUP($C461,tab_Agências[],5,FALSE)</f>
        <v>17900-000</v>
      </c>
      <c r="H461" s="8" t="str">
        <f>VLOOKUP($C461,tab_Agências[],6,FALSE)</f>
        <v>Dracena</v>
      </c>
      <c r="I461" s="8" t="str">
        <f>VLOOKUP($C461,tab_Agências[],7,FALSE)</f>
        <v>Rua Tomé de Souza, 438 - Centro, Dracena, 17900-000</v>
      </c>
      <c r="J461" s="8" t="str">
        <f>VLOOKUP($C461,tab_Agências[],8,FALSE)</f>
        <v>(18) 3822-3166</v>
      </c>
      <c r="K461" s="8" t="str">
        <f>VLOOKUP($C461,tab_Agências[],9,FALSE)</f>
        <v>(18) 3822-3166</v>
      </c>
      <c r="L461" s="8" t="str">
        <f>VLOOKUP($C461,tab_Agências[],10,FALSE)</f>
        <v>dracena@cetesbnet.sp.gov.br</v>
      </c>
    </row>
    <row r="462" spans="1:12" x14ac:dyDescent="0.25">
      <c r="A462" s="8">
        <v>3540903</v>
      </c>
      <c r="B462" s="8" t="s">
        <v>1400</v>
      </c>
      <c r="C462" s="9">
        <v>19</v>
      </c>
      <c r="D462" s="10" t="str">
        <f>VLOOKUP($C462,tab_Agências[],2,FALSE)</f>
        <v>Agência Ambiental de Jaboticabal</v>
      </c>
      <c r="E462" s="8" t="str">
        <f>VLOOKUP($C462,tab_Agências[],3,FALSE)</f>
        <v>Avenida Angelo Morello, 60</v>
      </c>
      <c r="F462" s="8" t="str">
        <f>VLOOKUP($C462,tab_Agências[],4,FALSE)</f>
        <v>Jardim Santa Rosa</v>
      </c>
      <c r="G462" s="8" t="str">
        <f>VLOOKUP($C462,tab_Agências[],5,FALSE)</f>
        <v>14875-290</v>
      </c>
      <c r="H462" s="8" t="str">
        <f>VLOOKUP($C462,tab_Agências[],6,FALSE)</f>
        <v>Jaboticabal</v>
      </c>
      <c r="I462" s="8" t="str">
        <f>VLOOKUP($C462,tab_Agências[],7,FALSE)</f>
        <v>Avenida Angelo Morello, 60 - Jardim Santa Rosa, Jaboticabal, 14875-290</v>
      </c>
      <c r="J462" s="8" t="str">
        <f>VLOOKUP($C462,tab_Agências[],8,FALSE)</f>
        <v>(16) 3203-9400</v>
      </c>
      <c r="K462" s="8" t="str">
        <f>VLOOKUP($C462,tab_Agências[],9,FALSE)</f>
        <v>(16) 3203-9400</v>
      </c>
      <c r="L462" s="8" t="str">
        <f>VLOOKUP($C462,tab_Agências[],10,FALSE)</f>
        <v>jaboticabal@cetesbnet.sp.gov.br</v>
      </c>
    </row>
    <row r="463" spans="1:12" x14ac:dyDescent="0.25">
      <c r="A463" s="8">
        <v>3541000</v>
      </c>
      <c r="B463" s="8" t="s">
        <v>1401</v>
      </c>
      <c r="C463" s="9">
        <v>33</v>
      </c>
      <c r="D463" s="10" t="str">
        <f>VLOOKUP($C463,tab_Agências[],2,FALSE)</f>
        <v>Agência Ambiental de Santos</v>
      </c>
      <c r="E463" s="8" t="str">
        <f>VLOOKUP($C463,tab_Agências[],3,FALSE)</f>
        <v>Rua Delfim Moreira, 56</v>
      </c>
      <c r="F463" s="8" t="str">
        <f>VLOOKUP($C463,tab_Agências[],4,FALSE)</f>
        <v>Embaré</v>
      </c>
      <c r="G463" s="8" t="str">
        <f>VLOOKUP($C463,tab_Agências[],5,FALSE)</f>
        <v>11040-100</v>
      </c>
      <c r="H463" s="8" t="str">
        <f>VLOOKUP($C463,tab_Agências[],6,FALSE)</f>
        <v>Santos</v>
      </c>
      <c r="I463" s="8" t="str">
        <f>VLOOKUP($C463,tab_Agências[],7,FALSE)</f>
        <v>Rua Delfim Moreira, 56 - Embaré, Santos, 11040-100</v>
      </c>
      <c r="J463" s="8" t="str">
        <f>VLOOKUP($C463,tab_Agências[],8,FALSE)</f>
        <v>(13) 3227-7767</v>
      </c>
      <c r="K463" s="8" t="str">
        <f>VLOOKUP($C463,tab_Agências[],9,FALSE)</f>
        <v>(13) 3227-7767</v>
      </c>
      <c r="L463" s="8" t="str">
        <f>VLOOKUP($C463,tab_Agências[],10,FALSE)</f>
        <v>santos@cetesbnet.sp.gov.br</v>
      </c>
    </row>
    <row r="464" spans="1:12" x14ac:dyDescent="0.25">
      <c r="A464" s="8">
        <v>3541059</v>
      </c>
      <c r="B464" s="8" t="s">
        <v>1402</v>
      </c>
      <c r="C464" s="9">
        <v>9</v>
      </c>
      <c r="D464" s="10" t="str">
        <f>VLOOKUP($C464,tab_Agências[],2,FALSE)</f>
        <v>Agência Ambiental de Botucatu</v>
      </c>
      <c r="E464" s="8" t="str">
        <f>VLOOKUP($C464,tab_Agências[],3,FALSE)</f>
        <v>Rua João Morato da Conceição, 525</v>
      </c>
      <c r="F464" s="8" t="str">
        <f>VLOOKUP($C464,tab_Agências[],4,FALSE)</f>
        <v>Vila Maria</v>
      </c>
      <c r="G464" s="8" t="str">
        <f>VLOOKUP($C464,tab_Agências[],5,FALSE)</f>
        <v>18611-358</v>
      </c>
      <c r="H464" s="8" t="str">
        <f>VLOOKUP($C464,tab_Agências[],6,FALSE)</f>
        <v>Botucatu</v>
      </c>
      <c r="I464" s="8" t="str">
        <f>VLOOKUP($C464,tab_Agências[],7,FALSE)</f>
        <v>Rua João Morato da Conceição, 525 - Vila Maria, Botucatu, 18611-358</v>
      </c>
      <c r="J464" s="8" t="str">
        <f>VLOOKUP($C464,tab_Agências[],8,FALSE)</f>
        <v>(14) 3882-1134</v>
      </c>
      <c r="K464" s="8" t="str">
        <f>VLOOKUP($C464,tab_Agências[],9,FALSE)</f>
        <v>(14) 3882-1134</v>
      </c>
      <c r="L464" s="8" t="str">
        <f>VLOOKUP($C464,tab_Agências[],10,FALSE)</f>
        <v>botucatu@cetesbnet.sp.gov.br</v>
      </c>
    </row>
    <row r="465" spans="1:12" x14ac:dyDescent="0.25">
      <c r="A465" s="8">
        <v>3541109</v>
      </c>
      <c r="B465" s="8" t="s">
        <v>1403</v>
      </c>
      <c r="C465" s="9">
        <v>8</v>
      </c>
      <c r="D465" s="10" t="str">
        <f>VLOOKUP($C465,tab_Agências[],2,FALSE)</f>
        <v>Agência Ambiental de Bauru</v>
      </c>
      <c r="E465" s="8" t="str">
        <f>VLOOKUP($C465,tab_Agências[],3,FALSE)</f>
        <v>Avenida Rodrigues Alves, 138</v>
      </c>
      <c r="F465" s="8" t="str">
        <f>VLOOKUP($C465,tab_Agências[],4,FALSE)</f>
        <v>Vila Coralina</v>
      </c>
      <c r="G465" s="8" t="str">
        <f>VLOOKUP($C465,tab_Agências[],5,FALSE)</f>
        <v>17030-000</v>
      </c>
      <c r="H465" s="8" t="str">
        <f>VLOOKUP($C465,tab_Agências[],6,FALSE)</f>
        <v>Bauru</v>
      </c>
      <c r="I465" s="8" t="str">
        <f>VLOOKUP($C465,tab_Agências[],7,FALSE)</f>
        <v>Avenida Rodrigues Alves, 138 - Vila Coralina, Bauru, 17030-000</v>
      </c>
      <c r="J465" s="8" t="str">
        <f>VLOOKUP($C465,tab_Agências[],8,FALSE)</f>
        <v>(14) 3203-2058</v>
      </c>
      <c r="K465" s="8" t="str">
        <f>VLOOKUP($C465,tab_Agências[],9,FALSE)</f>
        <v>(14) 3203-2344</v>
      </c>
      <c r="L465" s="8" t="str">
        <f>VLOOKUP($C465,tab_Agências[],10,FALSE)</f>
        <v>bauru@cetesbnet.sp.gov.br</v>
      </c>
    </row>
    <row r="466" spans="1:12" x14ac:dyDescent="0.25">
      <c r="A466" s="8">
        <v>3541208</v>
      </c>
      <c r="B466" s="8" t="s">
        <v>1404</v>
      </c>
      <c r="C466" s="9">
        <v>29</v>
      </c>
      <c r="D466" s="10" t="str">
        <f>VLOOKUP($C466,tab_Agências[],2,FALSE)</f>
        <v>Agência Ambiental de Presidente Prudente</v>
      </c>
      <c r="E466" s="8" t="str">
        <f>VLOOKUP($C466,tab_Agências[],3,FALSE)</f>
        <v>Rua João Gonçalves Foz, 1738</v>
      </c>
      <c r="F466" s="8" t="str">
        <f>VLOOKUP($C466,tab_Agências[],4,FALSE)</f>
        <v>Jardim das Rosas</v>
      </c>
      <c r="G466" s="8" t="str">
        <f>VLOOKUP($C466,tab_Agências[],5,FALSE)</f>
        <v>19060-050</v>
      </c>
      <c r="H466" s="8" t="str">
        <f>VLOOKUP($C466,tab_Agências[],6,FALSE)</f>
        <v>Presidente Prudente</v>
      </c>
      <c r="I466" s="8" t="str">
        <f>VLOOKUP($C466,tab_Agências[],7,FALSE)</f>
        <v>Rua João Gonçalves Foz, 1738 - Jardim das Rosas, Presidente Prudente, 19060-050</v>
      </c>
      <c r="J466" s="8" t="str">
        <f>VLOOKUP($C466,tab_Agências[],8,FALSE)</f>
        <v>(18) 3223-5001</v>
      </c>
      <c r="K466" s="8" t="str">
        <f>VLOOKUP($C466,tab_Agências[],9,FALSE)</f>
        <v xml:space="preserve"> </v>
      </c>
      <c r="L466" s="8" t="str">
        <f>VLOOKUP($C466,tab_Agências[],10,FALSE)</f>
        <v>prudente@cetesbnet.sp.gov.br</v>
      </c>
    </row>
    <row r="467" spans="1:12" x14ac:dyDescent="0.25">
      <c r="A467" s="8">
        <v>3541307</v>
      </c>
      <c r="B467" s="8" t="s">
        <v>1405</v>
      </c>
      <c r="C467" s="9">
        <v>29</v>
      </c>
      <c r="D467" s="10" t="str">
        <f>VLOOKUP($C467,tab_Agências[],2,FALSE)</f>
        <v>Agência Ambiental de Presidente Prudente</v>
      </c>
      <c r="E467" s="8" t="str">
        <f>VLOOKUP($C467,tab_Agências[],3,FALSE)</f>
        <v>Rua João Gonçalves Foz, 1738</v>
      </c>
      <c r="F467" s="8" t="str">
        <f>VLOOKUP($C467,tab_Agências[],4,FALSE)</f>
        <v>Jardim das Rosas</v>
      </c>
      <c r="G467" s="8" t="str">
        <f>VLOOKUP($C467,tab_Agências[],5,FALSE)</f>
        <v>19060-050</v>
      </c>
      <c r="H467" s="8" t="str">
        <f>VLOOKUP($C467,tab_Agências[],6,FALSE)</f>
        <v>Presidente Prudente</v>
      </c>
      <c r="I467" s="8" t="str">
        <f>VLOOKUP($C467,tab_Agências[],7,FALSE)</f>
        <v>Rua João Gonçalves Foz, 1738 - Jardim das Rosas, Presidente Prudente, 19060-050</v>
      </c>
      <c r="J467" s="8" t="str">
        <f>VLOOKUP($C467,tab_Agências[],8,FALSE)</f>
        <v>(18) 3223-5001</v>
      </c>
      <c r="K467" s="8" t="str">
        <f>VLOOKUP($C467,tab_Agências[],9,FALSE)</f>
        <v xml:space="preserve"> </v>
      </c>
      <c r="L467" s="8" t="str">
        <f>VLOOKUP($C467,tab_Agências[],10,FALSE)</f>
        <v>prudente@cetesbnet.sp.gov.br</v>
      </c>
    </row>
    <row r="468" spans="1:12" x14ac:dyDescent="0.25">
      <c r="A468" s="8">
        <v>3541406</v>
      </c>
      <c r="B468" s="8" t="s">
        <v>1406</v>
      </c>
      <c r="C468" s="9">
        <v>29</v>
      </c>
      <c r="D468" s="10" t="str">
        <f>VLOOKUP($C468,tab_Agências[],2,FALSE)</f>
        <v>Agência Ambiental de Presidente Prudente</v>
      </c>
      <c r="E468" s="8" t="str">
        <f>VLOOKUP($C468,tab_Agências[],3,FALSE)</f>
        <v>Rua João Gonçalves Foz, 1738</v>
      </c>
      <c r="F468" s="8" t="str">
        <f>VLOOKUP($C468,tab_Agências[],4,FALSE)</f>
        <v>Jardim das Rosas</v>
      </c>
      <c r="G468" s="8" t="str">
        <f>VLOOKUP($C468,tab_Agências[],5,FALSE)</f>
        <v>19060-050</v>
      </c>
      <c r="H468" s="8" t="str">
        <f>VLOOKUP($C468,tab_Agências[],6,FALSE)</f>
        <v>Presidente Prudente</v>
      </c>
      <c r="I468" s="8" t="str">
        <f>VLOOKUP($C468,tab_Agências[],7,FALSE)</f>
        <v>Rua João Gonçalves Foz, 1738 - Jardim das Rosas, Presidente Prudente, 19060-050</v>
      </c>
      <c r="J468" s="8" t="str">
        <f>VLOOKUP($C468,tab_Agências[],8,FALSE)</f>
        <v>(18) 3223-5001</v>
      </c>
      <c r="K468" s="8" t="str">
        <f>VLOOKUP($C468,tab_Agências[],9,FALSE)</f>
        <v xml:space="preserve"> </v>
      </c>
      <c r="L468" s="8" t="str">
        <f>VLOOKUP($C468,tab_Agências[],10,FALSE)</f>
        <v>prudente@cetesbnet.sp.gov.br</v>
      </c>
    </row>
    <row r="469" spans="1:12" x14ac:dyDescent="0.25">
      <c r="A469" s="8">
        <v>3541505</v>
      </c>
      <c r="B469" s="8" t="s">
        <v>1407</v>
      </c>
      <c r="C469" s="9">
        <v>29</v>
      </c>
      <c r="D469" s="10" t="str">
        <f>VLOOKUP($C469,tab_Agências[],2,FALSE)</f>
        <v>Agência Ambiental de Presidente Prudente</v>
      </c>
      <c r="E469" s="8" t="str">
        <f>VLOOKUP($C469,tab_Agências[],3,FALSE)</f>
        <v>Rua João Gonçalves Foz, 1738</v>
      </c>
      <c r="F469" s="8" t="str">
        <f>VLOOKUP($C469,tab_Agências[],4,FALSE)</f>
        <v>Jardim das Rosas</v>
      </c>
      <c r="G469" s="8" t="str">
        <f>VLOOKUP($C469,tab_Agências[],5,FALSE)</f>
        <v>19060-050</v>
      </c>
      <c r="H469" s="8" t="str">
        <f>VLOOKUP($C469,tab_Agências[],6,FALSE)</f>
        <v>Presidente Prudente</v>
      </c>
      <c r="I469" s="8" t="str">
        <f>VLOOKUP($C469,tab_Agências[],7,FALSE)</f>
        <v>Rua João Gonçalves Foz, 1738 - Jardim das Rosas, Presidente Prudente, 19060-050</v>
      </c>
      <c r="J469" s="8" t="str">
        <f>VLOOKUP($C469,tab_Agências[],8,FALSE)</f>
        <v>(18) 3223-5001</v>
      </c>
      <c r="K469" s="8" t="str">
        <f>VLOOKUP($C469,tab_Agências[],9,FALSE)</f>
        <v xml:space="preserve"> </v>
      </c>
      <c r="L469" s="8" t="str">
        <f>VLOOKUP($C469,tab_Agências[],10,FALSE)</f>
        <v>prudente@cetesbnet.sp.gov.br</v>
      </c>
    </row>
    <row r="470" spans="1:12" x14ac:dyDescent="0.25">
      <c r="A470" s="8">
        <v>3541604</v>
      </c>
      <c r="B470" s="8" t="s">
        <v>1408</v>
      </c>
      <c r="C470" s="9">
        <v>2</v>
      </c>
      <c r="D470" s="10" t="str">
        <f>VLOOKUP($C470,tab_Agências[],2,FALSE)</f>
        <v>Agência Ambiental de Araçatuba</v>
      </c>
      <c r="E470" s="8" t="str">
        <f>VLOOKUP($C470,tab_Agências[],3,FALSE)</f>
        <v>Rua Ten. Alcides Teodoro dos Santos, 260</v>
      </c>
      <c r="F470" s="8" t="str">
        <f>VLOOKUP($C470,tab_Agências[],4,FALSE)</f>
        <v>Aviação</v>
      </c>
      <c r="G470" s="8" t="str">
        <f>VLOOKUP($C470,tab_Agências[],5,FALSE)</f>
        <v>16055-557</v>
      </c>
      <c r="H470" s="8" t="str">
        <f>VLOOKUP($C470,tab_Agências[],6,FALSE)</f>
        <v>Araçatuba</v>
      </c>
      <c r="I470" s="8" t="str">
        <f>VLOOKUP($C470,tab_Agências[],7,FALSE)</f>
        <v>Rua Ten. Alcides Teodoro dos Santos, 260 - Aviação, Araçatuba, 16055-557</v>
      </c>
      <c r="J470" s="8" t="str">
        <f>VLOOKUP($C470,tab_Agências[],8,FALSE)</f>
        <v>(18) 3608-8053</v>
      </c>
      <c r="K470" s="8" t="str">
        <f>VLOOKUP($C470,tab_Agências[],9,FALSE)</f>
        <v>(18) 3608-7197</v>
      </c>
      <c r="L470" s="8" t="str">
        <f>VLOOKUP($C470,tab_Agências[],10,FALSE)</f>
        <v>aracatuba@cetesbnet.sp.gov.br</v>
      </c>
    </row>
    <row r="471" spans="1:12" x14ac:dyDescent="0.25">
      <c r="A471" s="8">
        <v>3541653</v>
      </c>
      <c r="B471" s="8" t="s">
        <v>1409</v>
      </c>
      <c r="C471" s="9">
        <v>17</v>
      </c>
      <c r="D471" s="10" t="str">
        <f>VLOOKUP($C471,tab_Agências[],2,FALSE)</f>
        <v>Agência Ambiental de Itapetininga</v>
      </c>
      <c r="E471" s="8" t="str">
        <f>VLOOKUP($C471,tab_Agências[],3,FALSE)</f>
        <v>Rua General Carneiro, 196</v>
      </c>
      <c r="F471" s="8" t="str">
        <f>VLOOKUP($C471,tab_Agências[],4,FALSE)</f>
        <v>Centro</v>
      </c>
      <c r="G471" s="8" t="str">
        <f>VLOOKUP($C471,tab_Agências[],5,FALSE)</f>
        <v>18200-024</v>
      </c>
      <c r="H471" s="8" t="str">
        <f>VLOOKUP($C471,tab_Agências[],6,FALSE)</f>
        <v>Itapetininga</v>
      </c>
      <c r="I471" s="8" t="str">
        <f>VLOOKUP($C471,tab_Agências[],7,FALSE)</f>
        <v>Rua General Carneiro, 196 - Centro, Itapetininga, 18200-024</v>
      </c>
      <c r="J471" s="8" t="str">
        <f>VLOOKUP($C471,tab_Agências[],8,FALSE)</f>
        <v>(15) 3272-2888</v>
      </c>
      <c r="K471" s="8" t="str">
        <f>VLOOKUP($C471,tab_Agências[],9,FALSE)</f>
        <v>(15) 3272-2891</v>
      </c>
      <c r="L471" s="8" t="str">
        <f>VLOOKUP($C471,tab_Agências[],10,FALSE)</f>
        <v>itapetininga@cetesbnet.sp.gov.br</v>
      </c>
    </row>
    <row r="472" spans="1:12" x14ac:dyDescent="0.25">
      <c r="A472" s="8">
        <v>3541703</v>
      </c>
      <c r="B472" s="8" t="s">
        <v>1410</v>
      </c>
      <c r="C472" s="9">
        <v>4</v>
      </c>
      <c r="D472" s="10" t="str">
        <f>VLOOKUP($C472,tab_Agências[],2,FALSE)</f>
        <v>Agência Ambiental de Assis</v>
      </c>
      <c r="E472" s="8" t="str">
        <f>VLOOKUP($C472,tab_Agências[],3,FALSE)</f>
        <v>Via Chico Mendes, 75</v>
      </c>
      <c r="F472" s="8" t="str">
        <f>VLOOKUP($C472,tab_Agências[],4,FALSE)</f>
        <v>Quinta dos Flamboyants</v>
      </c>
      <c r="G472" s="8" t="str">
        <f>VLOOKUP($C472,tab_Agências[],5,FALSE)</f>
        <v>19810-005</v>
      </c>
      <c r="H472" s="8" t="str">
        <f>VLOOKUP($C472,tab_Agências[],6,FALSE)</f>
        <v>Assis</v>
      </c>
      <c r="I472" s="8" t="str">
        <f>VLOOKUP($C472,tab_Agências[],7,FALSE)</f>
        <v>Via Chico Mendes, 75 - Quinta dos Flamboyants, Assis, 19810-005</v>
      </c>
      <c r="J472" s="8" t="str">
        <f>VLOOKUP($C472,tab_Agências[],8,FALSE)</f>
        <v>(18) 3324-4177</v>
      </c>
      <c r="K472" s="8" t="str">
        <f>VLOOKUP($C472,tab_Agências[],9,FALSE)</f>
        <v>(18) 3324-4177</v>
      </c>
      <c r="L472" s="8" t="str">
        <f>VLOOKUP($C472,tab_Agências[],10,FALSE)</f>
        <v>assis@cetesbnet.sp.gov.br</v>
      </c>
    </row>
    <row r="473" spans="1:12" x14ac:dyDescent="0.25">
      <c r="A473" s="8">
        <v>3541802</v>
      </c>
      <c r="B473" s="8" t="s">
        <v>1411</v>
      </c>
      <c r="C473" s="9">
        <v>23</v>
      </c>
      <c r="D473" s="10" t="str">
        <f>VLOOKUP($C473,tab_Agências[],2,FALSE)</f>
        <v>Agência Ambiental de Marília</v>
      </c>
      <c r="E473" s="8" t="str">
        <f>VLOOKUP($C473,tab_Agências[],3,FALSE)</f>
        <v>Rua Santa Helena, 436</v>
      </c>
      <c r="F473" s="8" t="str">
        <f>VLOOKUP($C473,tab_Agências[],4,FALSE)</f>
        <v>Jardim Alvorada</v>
      </c>
      <c r="G473" s="8" t="str">
        <f>VLOOKUP($C473,tab_Agências[],5,FALSE)</f>
        <v>17513-322</v>
      </c>
      <c r="H473" s="8" t="str">
        <f>VLOOKUP($C473,tab_Agências[],6,FALSE)</f>
        <v>Marília</v>
      </c>
      <c r="I473" s="8" t="str">
        <f>VLOOKUP($C473,tab_Agências[],7,FALSE)</f>
        <v>Rua Santa Helena, 436 - Jardim Alvorada, Marília, 17513-322</v>
      </c>
      <c r="J473" s="8" t="str">
        <f>VLOOKUP($C473,tab_Agências[],8,FALSE)</f>
        <v>(14) 3422-4666</v>
      </c>
      <c r="K473" s="8" t="str">
        <f>VLOOKUP($C473,tab_Agências[],9,FALSE)</f>
        <v>(14) 3422-4666</v>
      </c>
      <c r="L473" s="8" t="str">
        <f>VLOOKUP($C473,tab_Agências[],10,FALSE)</f>
        <v>marilia@cetesbnet.sp.gov.br</v>
      </c>
    </row>
    <row r="474" spans="1:12" x14ac:dyDescent="0.25">
      <c r="A474" s="8">
        <v>3541901</v>
      </c>
      <c r="B474" s="8" t="s">
        <v>1412</v>
      </c>
      <c r="C474" s="9">
        <v>40</v>
      </c>
      <c r="D474" s="10" t="str">
        <f>VLOOKUP($C474,tab_Agências[],2,FALSE)</f>
        <v>Agência Ambiental de Taubaté</v>
      </c>
      <c r="E474" s="8" t="str">
        <f>VLOOKUP($C474,tab_Agências[],3,FALSE)</f>
        <v>Avenida Itambé, 38</v>
      </c>
      <c r="F474" s="8" t="str">
        <f>VLOOKUP($C474,tab_Agências[],4,FALSE)</f>
        <v>Sta. Luzia</v>
      </c>
      <c r="G474" s="8" t="str">
        <f>VLOOKUP($C474,tab_Agências[],5,FALSE)</f>
        <v>12091-200</v>
      </c>
      <c r="H474" s="8" t="str">
        <f>VLOOKUP($C474,tab_Agências[],6,FALSE)</f>
        <v>Taubaté</v>
      </c>
      <c r="I474" s="8" t="str">
        <f>VLOOKUP($C474,tab_Agências[],7,FALSE)</f>
        <v>Avenida Itambé, 38 - Sta. Luzia, Taubaté, 12091-200</v>
      </c>
      <c r="J474" s="8" t="str">
        <f>VLOOKUP($C474,tab_Agências[],8,FALSE)</f>
        <v>(12) 3634-8222</v>
      </c>
      <c r="K474" s="8" t="str">
        <f>VLOOKUP($C474,tab_Agências[],9,FALSE)</f>
        <v>(12) 3634-8234</v>
      </c>
      <c r="L474" s="8" t="str">
        <f>VLOOKUP($C474,tab_Agências[],10,FALSE)</f>
        <v>taubate@cetesbnet.sp.gov.br</v>
      </c>
    </row>
    <row r="475" spans="1:12" x14ac:dyDescent="0.25">
      <c r="A475" s="8">
        <v>3542008</v>
      </c>
      <c r="B475" s="8" t="s">
        <v>1413</v>
      </c>
      <c r="C475" s="9">
        <v>23</v>
      </c>
      <c r="D475" s="10" t="str">
        <f>VLOOKUP($C475,tab_Agências[],2,FALSE)</f>
        <v>Agência Ambiental de Marília</v>
      </c>
      <c r="E475" s="8" t="str">
        <f>VLOOKUP($C475,tab_Agências[],3,FALSE)</f>
        <v>Rua Santa Helena, 436</v>
      </c>
      <c r="F475" s="8" t="str">
        <f>VLOOKUP($C475,tab_Agências[],4,FALSE)</f>
        <v>Jardim Alvorada</v>
      </c>
      <c r="G475" s="8" t="str">
        <f>VLOOKUP($C475,tab_Agências[],5,FALSE)</f>
        <v>17513-322</v>
      </c>
      <c r="H475" s="8" t="str">
        <f>VLOOKUP($C475,tab_Agências[],6,FALSE)</f>
        <v>Marília</v>
      </c>
      <c r="I475" s="8" t="str">
        <f>VLOOKUP($C475,tab_Agências[],7,FALSE)</f>
        <v>Rua Santa Helena, 436 - Jardim Alvorada, Marília, 17513-322</v>
      </c>
      <c r="J475" s="8" t="str">
        <f>VLOOKUP($C475,tab_Agências[],8,FALSE)</f>
        <v>(14) 3422-4666</v>
      </c>
      <c r="K475" s="8" t="str">
        <f>VLOOKUP($C475,tab_Agências[],9,FALSE)</f>
        <v>(14) 3422-4666</v>
      </c>
      <c r="L475" s="8" t="str">
        <f>VLOOKUP($C475,tab_Agências[],10,FALSE)</f>
        <v>marilia@cetesbnet.sp.gov.br</v>
      </c>
    </row>
    <row r="476" spans="1:12" x14ac:dyDescent="0.25">
      <c r="A476" s="8">
        <v>3542107</v>
      </c>
      <c r="B476" s="8" t="s">
        <v>1414</v>
      </c>
      <c r="C476" s="9">
        <v>10</v>
      </c>
      <c r="D476" s="10" t="str">
        <f>VLOOKUP($C476,tab_Agências[],2,FALSE)</f>
        <v>Agência Ambiental de Campinas</v>
      </c>
      <c r="E476" s="8" t="str">
        <f>VLOOKUP($C476,tab_Agências[],3,FALSE)</f>
        <v>Rua São Carlos, 277</v>
      </c>
      <c r="F476" s="8" t="str">
        <f>VLOOKUP($C476,tab_Agências[],4,FALSE)</f>
        <v>Vila Industrial</v>
      </c>
      <c r="G476" s="8" t="str">
        <f>VLOOKUP($C476,tab_Agências[],5,FALSE)</f>
        <v>13035-420</v>
      </c>
      <c r="H476" s="8" t="str">
        <f>VLOOKUP($C476,tab_Agências[],6,FALSE)</f>
        <v>Campinas</v>
      </c>
      <c r="I476" s="8" t="str">
        <f>VLOOKUP($C476,tab_Agências[],7,FALSE)</f>
        <v>Rua São Carlos, 277 - Vila Industrial, Campinas, 13035-420</v>
      </c>
      <c r="J476" s="8" t="str">
        <f>VLOOKUP($C476,tab_Agências[],8,FALSE)</f>
        <v>(19) 3772-6600</v>
      </c>
      <c r="K476" s="8" t="str">
        <f>VLOOKUP($C476,tab_Agências[],9,FALSE)</f>
        <v>(19) 3772-6624</v>
      </c>
      <c r="L476" s="8" t="str">
        <f>VLOOKUP($C476,tab_Agências[],10,FALSE)</f>
        <v>campinasI@cetesbnet.sp.gov.br</v>
      </c>
    </row>
    <row r="477" spans="1:12" x14ac:dyDescent="0.25">
      <c r="A477" s="8">
        <v>3542206</v>
      </c>
      <c r="B477" s="8" t="s">
        <v>1415</v>
      </c>
      <c r="C477" s="9">
        <v>29</v>
      </c>
      <c r="D477" s="10" t="str">
        <f>VLOOKUP($C477,tab_Agências[],2,FALSE)</f>
        <v>Agência Ambiental de Presidente Prudente</v>
      </c>
      <c r="E477" s="8" t="str">
        <f>VLOOKUP($C477,tab_Agências[],3,FALSE)</f>
        <v>Rua João Gonçalves Foz, 1738</v>
      </c>
      <c r="F477" s="8" t="str">
        <f>VLOOKUP($C477,tab_Agências[],4,FALSE)</f>
        <v>Jardim das Rosas</v>
      </c>
      <c r="G477" s="8" t="str">
        <f>VLOOKUP($C477,tab_Agências[],5,FALSE)</f>
        <v>19060-050</v>
      </c>
      <c r="H477" s="8" t="str">
        <f>VLOOKUP($C477,tab_Agências[],6,FALSE)</f>
        <v>Presidente Prudente</v>
      </c>
      <c r="I477" s="8" t="str">
        <f>VLOOKUP($C477,tab_Agências[],7,FALSE)</f>
        <v>Rua João Gonçalves Foz, 1738 - Jardim das Rosas, Presidente Prudente, 19060-050</v>
      </c>
      <c r="J477" s="8" t="str">
        <f>VLOOKUP($C477,tab_Agências[],8,FALSE)</f>
        <v>(18) 3223-5001</v>
      </c>
      <c r="K477" s="8" t="str">
        <f>VLOOKUP($C477,tab_Agências[],9,FALSE)</f>
        <v xml:space="preserve"> </v>
      </c>
      <c r="L477" s="8" t="str">
        <f>VLOOKUP($C477,tab_Agências[],10,FALSE)</f>
        <v>prudente@cetesbnet.sp.gov.br</v>
      </c>
    </row>
    <row r="478" spans="1:12" x14ac:dyDescent="0.25">
      <c r="A478" s="8">
        <v>3542305</v>
      </c>
      <c r="B478" s="8" t="s">
        <v>1416</v>
      </c>
      <c r="C478" s="9">
        <v>40</v>
      </c>
      <c r="D478" s="10" t="str">
        <f>VLOOKUP($C478,tab_Agências[],2,FALSE)</f>
        <v>Agência Ambiental de Taubaté</v>
      </c>
      <c r="E478" s="8" t="str">
        <f>VLOOKUP($C478,tab_Agências[],3,FALSE)</f>
        <v>Avenida Itambé, 38</v>
      </c>
      <c r="F478" s="8" t="str">
        <f>VLOOKUP($C478,tab_Agências[],4,FALSE)</f>
        <v>Sta. Luzia</v>
      </c>
      <c r="G478" s="8" t="str">
        <f>VLOOKUP($C478,tab_Agências[],5,FALSE)</f>
        <v>12091-200</v>
      </c>
      <c r="H478" s="8" t="str">
        <f>VLOOKUP($C478,tab_Agências[],6,FALSE)</f>
        <v>Taubaté</v>
      </c>
      <c r="I478" s="8" t="str">
        <f>VLOOKUP($C478,tab_Agências[],7,FALSE)</f>
        <v>Avenida Itambé, 38 - Sta. Luzia, Taubaté, 12091-200</v>
      </c>
      <c r="J478" s="8" t="str">
        <f>VLOOKUP($C478,tab_Agências[],8,FALSE)</f>
        <v>(12) 3634-8222</v>
      </c>
      <c r="K478" s="8" t="str">
        <f>VLOOKUP($C478,tab_Agências[],9,FALSE)</f>
        <v>(12) 3634-8234</v>
      </c>
      <c r="L478" s="8" t="str">
        <f>VLOOKUP($C478,tab_Agências[],10,FALSE)</f>
        <v>taubate@cetesbnet.sp.gov.br</v>
      </c>
    </row>
    <row r="479" spans="1:12" x14ac:dyDescent="0.25">
      <c r="A479" s="8">
        <v>3542404</v>
      </c>
      <c r="B479" s="8" t="s">
        <v>1417</v>
      </c>
      <c r="C479" s="9">
        <v>29</v>
      </c>
      <c r="D479" s="10" t="str">
        <f>VLOOKUP($C479,tab_Agências[],2,FALSE)</f>
        <v>Agência Ambiental de Presidente Prudente</v>
      </c>
      <c r="E479" s="8" t="str">
        <f>VLOOKUP($C479,tab_Agências[],3,FALSE)</f>
        <v>Rua João Gonçalves Foz, 1738</v>
      </c>
      <c r="F479" s="8" t="str">
        <f>VLOOKUP($C479,tab_Agências[],4,FALSE)</f>
        <v>Jardim das Rosas</v>
      </c>
      <c r="G479" s="8" t="str">
        <f>VLOOKUP($C479,tab_Agências[],5,FALSE)</f>
        <v>19060-050</v>
      </c>
      <c r="H479" s="8" t="str">
        <f>VLOOKUP($C479,tab_Agências[],6,FALSE)</f>
        <v>Presidente Prudente</v>
      </c>
      <c r="I479" s="8" t="str">
        <f>VLOOKUP($C479,tab_Agências[],7,FALSE)</f>
        <v>Rua João Gonçalves Foz, 1738 - Jardim das Rosas, Presidente Prudente, 19060-050</v>
      </c>
      <c r="J479" s="8" t="str">
        <f>VLOOKUP($C479,tab_Agências[],8,FALSE)</f>
        <v>(18) 3223-5001</v>
      </c>
      <c r="K479" s="8" t="str">
        <f>VLOOKUP($C479,tab_Agências[],9,FALSE)</f>
        <v xml:space="preserve"> </v>
      </c>
      <c r="L479" s="8" t="str">
        <f>VLOOKUP($C479,tab_Agências[],10,FALSE)</f>
        <v>prudente@cetesbnet.sp.gov.br</v>
      </c>
    </row>
    <row r="480" spans="1:12" x14ac:dyDescent="0.25">
      <c r="A480" s="8">
        <v>3542503</v>
      </c>
      <c r="B480" s="8" t="s">
        <v>1418</v>
      </c>
      <c r="C480" s="9">
        <v>8</v>
      </c>
      <c r="D480" s="10" t="str">
        <f>VLOOKUP($C480,tab_Agências[],2,FALSE)</f>
        <v>Agência Ambiental de Bauru</v>
      </c>
      <c r="E480" s="8" t="str">
        <f>VLOOKUP($C480,tab_Agências[],3,FALSE)</f>
        <v>Avenida Rodrigues Alves, 138</v>
      </c>
      <c r="F480" s="8" t="str">
        <f>VLOOKUP($C480,tab_Agências[],4,FALSE)</f>
        <v>Vila Coralina</v>
      </c>
      <c r="G480" s="8" t="str">
        <f>VLOOKUP($C480,tab_Agências[],5,FALSE)</f>
        <v>17030-000</v>
      </c>
      <c r="H480" s="8" t="str">
        <f>VLOOKUP($C480,tab_Agências[],6,FALSE)</f>
        <v>Bauru</v>
      </c>
      <c r="I480" s="8" t="str">
        <f>VLOOKUP($C480,tab_Agências[],7,FALSE)</f>
        <v>Avenida Rodrigues Alves, 138 - Vila Coralina, Bauru, 17030-000</v>
      </c>
      <c r="J480" s="8" t="str">
        <f>VLOOKUP($C480,tab_Agências[],8,FALSE)</f>
        <v>(14) 3203-2058</v>
      </c>
      <c r="K480" s="8" t="str">
        <f>VLOOKUP($C480,tab_Agências[],9,FALSE)</f>
        <v>(14) 3203-2344</v>
      </c>
      <c r="L480" s="8" t="str">
        <f>VLOOKUP($C480,tab_Agências[],10,FALSE)</f>
        <v>bauru@cetesbnet.sp.gov.br</v>
      </c>
    </row>
    <row r="481" spans="1:12" x14ac:dyDescent="0.25">
      <c r="A481" s="8">
        <v>3542602</v>
      </c>
      <c r="B481" s="8" t="s">
        <v>1419</v>
      </c>
      <c r="C481" s="9">
        <v>30</v>
      </c>
      <c r="D481" s="10" t="str">
        <f>VLOOKUP($C481,tab_Agências[],2,FALSE)</f>
        <v>Agência Ambiental de Registro</v>
      </c>
      <c r="E481" s="8" t="str">
        <f>VLOOKUP($C481,tab_Agências[],3,FALSE)</f>
        <v>Rua São Bento, 249</v>
      </c>
      <c r="F481" s="8" t="str">
        <f>VLOOKUP($C481,tab_Agências[],4,FALSE)</f>
        <v>Jardim São Nicolau</v>
      </c>
      <c r="G481" s="8" t="str">
        <f>VLOOKUP($C481,tab_Agências[],5,FALSE)</f>
        <v>11900-000</v>
      </c>
      <c r="H481" s="8" t="str">
        <f>VLOOKUP($C481,tab_Agências[],6,FALSE)</f>
        <v>Registro</v>
      </c>
      <c r="I481" s="8" t="str">
        <f>VLOOKUP($C481,tab_Agências[],7,FALSE)</f>
        <v>Rua São Bento, 249 - Jardim São Nicolau, Registro, 11900-000</v>
      </c>
      <c r="J481" s="8" t="str">
        <f>VLOOKUP($C481,tab_Agências[],8,FALSE)</f>
        <v>(13) 3822-3855</v>
      </c>
      <c r="K481" s="8" t="str">
        <f>VLOOKUP($C481,tab_Agências[],9,FALSE)</f>
        <v>(13) 3822-4437</v>
      </c>
      <c r="L481" s="8" t="str">
        <f>VLOOKUP($C481,tab_Agências[],10,FALSE)</f>
        <v>registro@cetesbnet.sp.gov.br</v>
      </c>
    </row>
    <row r="482" spans="1:12" x14ac:dyDescent="0.25">
      <c r="A482" s="8">
        <v>3542701</v>
      </c>
      <c r="B482" s="8" t="s">
        <v>1420</v>
      </c>
      <c r="C482" s="9">
        <v>15</v>
      </c>
      <c r="D482" s="10" t="str">
        <f>VLOOKUP($C482,tab_Agências[],2,FALSE)</f>
        <v>Agência Ambiental de Franca</v>
      </c>
      <c r="E482" s="8" t="str">
        <f>VLOOKUP($C482,tab_Agências[],3,FALSE)</f>
        <v>Avenida Dr. Flávio Rocha, 4551</v>
      </c>
      <c r="F482" s="8" t="str">
        <f>VLOOKUP($C482,tab_Agências[],4,FALSE)</f>
        <v>Parque dos Pinhais</v>
      </c>
      <c r="G482" s="8" t="str">
        <f>VLOOKUP($C482,tab_Agências[],5,FALSE)</f>
        <v>14405-600</v>
      </c>
      <c r="H482" s="8" t="str">
        <f>VLOOKUP($C482,tab_Agências[],6,FALSE)</f>
        <v>Franca</v>
      </c>
      <c r="I482" s="8" t="str">
        <f>VLOOKUP($C482,tab_Agências[],7,FALSE)</f>
        <v>Avenida Dr. Flávio Rocha, 4551 - Parque dos Pinhais, Franca, 14405-600</v>
      </c>
      <c r="J482" s="8" t="str">
        <f>VLOOKUP($C482,tab_Agências[],8,FALSE)</f>
        <v>(16) 3724-5922</v>
      </c>
      <c r="K482" s="8" t="str">
        <f>VLOOKUP($C482,tab_Agências[],9,FALSE)</f>
        <v>(16) 3724-5922</v>
      </c>
      <c r="L482" s="8" t="str">
        <f>VLOOKUP($C482,tab_Agências[],10,FALSE)</f>
        <v>franca@cetesbnet.sp.gov.br</v>
      </c>
    </row>
    <row r="483" spans="1:12" x14ac:dyDescent="0.25">
      <c r="A483" s="8">
        <v>3542800</v>
      </c>
      <c r="B483" s="8" t="s">
        <v>1421</v>
      </c>
      <c r="C483" s="9">
        <v>11</v>
      </c>
      <c r="D483" s="10" t="str">
        <f>VLOOKUP($C483,tab_Agências[],2,FALSE)</f>
        <v>Agência Ambiental de Capão Bonito</v>
      </c>
      <c r="E483" s="8" t="str">
        <f>VLOOKUP($C483,tab_Agências[],3,FALSE)</f>
        <v>Rua Denise, 131</v>
      </c>
      <c r="F483" s="8" t="str">
        <f>VLOOKUP($C483,tab_Agências[],4,FALSE)</f>
        <v>Terras de Imbirucu</v>
      </c>
      <c r="G483" s="8" t="str">
        <f>VLOOKUP($C483,tab_Agências[],5,FALSE)</f>
        <v>18304-700</v>
      </c>
      <c r="H483" s="8" t="str">
        <f>VLOOKUP($C483,tab_Agências[],6,FALSE)</f>
        <v>Capão Bonito</v>
      </c>
      <c r="I483" s="8" t="str">
        <f>VLOOKUP($C483,tab_Agências[],7,FALSE)</f>
        <v>Rua Denise, 131 - Terras de Imbirucu, Capão Bonito, 18304-700</v>
      </c>
      <c r="J483" s="8" t="str">
        <f>VLOOKUP($C483,tab_Agências[],8,FALSE)</f>
        <v>(15) 3542-3885</v>
      </c>
      <c r="K483" s="8" t="str">
        <f>VLOOKUP($C483,tab_Agências[],9,FALSE)</f>
        <v>(15) 3542-3885</v>
      </c>
      <c r="L483" s="8" t="str">
        <f>VLOOKUP($C483,tab_Agências[],10,FALSE)</f>
        <v>capaobonito@cetesbnet.sp.gov.br</v>
      </c>
    </row>
    <row r="484" spans="1:12" x14ac:dyDescent="0.25">
      <c r="A484" s="8">
        <v>3542909</v>
      </c>
      <c r="B484" s="8" t="s">
        <v>1422</v>
      </c>
      <c r="C484" s="9">
        <v>34</v>
      </c>
      <c r="D484" s="10" t="str">
        <f>VLOOKUP($C484,tab_Agências[],2,FALSE)</f>
        <v>Agência Ambiental de São Carlos</v>
      </c>
      <c r="E484" s="8" t="str">
        <f>VLOOKUP($C484,tab_Agências[],3,FALSE)</f>
        <v>Avenida das Azaléias, 700</v>
      </c>
      <c r="F484" s="8" t="str">
        <f>VLOOKUP($C484,tab_Agências[],4,FALSE)</f>
        <v>Cidade Jardim</v>
      </c>
      <c r="G484" s="8" t="str">
        <f>VLOOKUP($C484,tab_Agências[],5,FALSE)</f>
        <v>13566-500</v>
      </c>
      <c r="H484" s="8" t="str">
        <f>VLOOKUP($C484,tab_Agências[],6,FALSE)</f>
        <v>São Carlos</v>
      </c>
      <c r="I484" s="8" t="str">
        <f>VLOOKUP($C484,tab_Agências[],7,FALSE)</f>
        <v>Avenida das Azaléias, 700 - Cidade Jardim, São Carlos, 13566-500</v>
      </c>
      <c r="J484" s="8" t="str">
        <f>VLOOKUP($C484,tab_Agências[],8,FALSE)</f>
        <v>(16) 3361-2004</v>
      </c>
      <c r="K484" s="8" t="str">
        <f>VLOOKUP($C484,tab_Agências[],9,FALSE)</f>
        <v>(16) 3361-2004</v>
      </c>
      <c r="L484" s="8" t="str">
        <f>VLOOKUP($C484,tab_Agências[],10,FALSE)</f>
        <v>saocarlos@cetesbnet.sp.gov.br</v>
      </c>
    </row>
    <row r="485" spans="1:12" x14ac:dyDescent="0.25">
      <c r="A485" s="8">
        <v>3543006</v>
      </c>
      <c r="B485" s="8" t="s">
        <v>1423</v>
      </c>
      <c r="C485" s="9">
        <v>11</v>
      </c>
      <c r="D485" s="10" t="str">
        <f>VLOOKUP($C485,tab_Agências[],2,FALSE)</f>
        <v>Agência Ambiental de Capão Bonito</v>
      </c>
      <c r="E485" s="8" t="str">
        <f>VLOOKUP($C485,tab_Agências[],3,FALSE)</f>
        <v>Rua Denise, 131</v>
      </c>
      <c r="F485" s="8" t="str">
        <f>VLOOKUP($C485,tab_Agências[],4,FALSE)</f>
        <v>Terras de Imbirucu</v>
      </c>
      <c r="G485" s="8" t="str">
        <f>VLOOKUP($C485,tab_Agências[],5,FALSE)</f>
        <v>18304-700</v>
      </c>
      <c r="H485" s="8" t="str">
        <f>VLOOKUP($C485,tab_Agências[],6,FALSE)</f>
        <v>Capão Bonito</v>
      </c>
      <c r="I485" s="8" t="str">
        <f>VLOOKUP($C485,tab_Agências[],7,FALSE)</f>
        <v>Rua Denise, 131 - Terras de Imbirucu, Capão Bonito, 18304-700</v>
      </c>
      <c r="J485" s="8" t="str">
        <f>VLOOKUP($C485,tab_Agências[],8,FALSE)</f>
        <v>(15) 3542-3885</v>
      </c>
      <c r="K485" s="8" t="str">
        <f>VLOOKUP($C485,tab_Agências[],9,FALSE)</f>
        <v>(15) 3542-3885</v>
      </c>
      <c r="L485" s="8" t="str">
        <f>VLOOKUP($C485,tab_Agências[],10,FALSE)</f>
        <v>capaobonito@cetesbnet.sp.gov.br</v>
      </c>
    </row>
    <row r="486" spans="1:12" x14ac:dyDescent="0.25">
      <c r="A486" s="8">
        <v>3543105</v>
      </c>
      <c r="B486" s="8" t="s">
        <v>1424</v>
      </c>
      <c r="C486" s="9">
        <v>15</v>
      </c>
      <c r="D486" s="10" t="str">
        <f>VLOOKUP($C486,tab_Agências[],2,FALSE)</f>
        <v>Agência Ambiental de Franca</v>
      </c>
      <c r="E486" s="8" t="str">
        <f>VLOOKUP($C486,tab_Agências[],3,FALSE)</f>
        <v>Avenida Dr. Flávio Rocha, 4551</v>
      </c>
      <c r="F486" s="8" t="str">
        <f>VLOOKUP($C486,tab_Agências[],4,FALSE)</f>
        <v>Parque dos Pinhais</v>
      </c>
      <c r="G486" s="8" t="str">
        <f>VLOOKUP($C486,tab_Agências[],5,FALSE)</f>
        <v>14405-600</v>
      </c>
      <c r="H486" s="8" t="str">
        <f>VLOOKUP($C486,tab_Agências[],6,FALSE)</f>
        <v>Franca</v>
      </c>
      <c r="I486" s="8" t="str">
        <f>VLOOKUP($C486,tab_Agências[],7,FALSE)</f>
        <v>Avenida Dr. Flávio Rocha, 4551 - Parque dos Pinhais, Franca, 14405-600</v>
      </c>
      <c r="J486" s="8" t="str">
        <f>VLOOKUP($C486,tab_Agências[],8,FALSE)</f>
        <v>(16) 3724-5922</v>
      </c>
      <c r="K486" s="8" t="str">
        <f>VLOOKUP($C486,tab_Agências[],9,FALSE)</f>
        <v>(16) 3724-5922</v>
      </c>
      <c r="L486" s="8" t="str">
        <f>VLOOKUP($C486,tab_Agências[],10,FALSE)</f>
        <v>franca@cetesbnet.sp.gov.br</v>
      </c>
    </row>
    <row r="487" spans="1:12" x14ac:dyDescent="0.25">
      <c r="A487" s="8">
        <v>3543204</v>
      </c>
      <c r="B487" s="8" t="s">
        <v>1425</v>
      </c>
      <c r="C487" s="9">
        <v>4</v>
      </c>
      <c r="D487" s="10" t="str">
        <f>VLOOKUP($C487,tab_Agências[],2,FALSE)</f>
        <v>Agência Ambiental de Assis</v>
      </c>
      <c r="E487" s="8" t="str">
        <f>VLOOKUP($C487,tab_Agências[],3,FALSE)</f>
        <v>Via Chico Mendes, 75</v>
      </c>
      <c r="F487" s="8" t="str">
        <f>VLOOKUP($C487,tab_Agências[],4,FALSE)</f>
        <v>Quinta dos Flamboyants</v>
      </c>
      <c r="G487" s="8" t="str">
        <f>VLOOKUP($C487,tab_Agências[],5,FALSE)</f>
        <v>19810-005</v>
      </c>
      <c r="H487" s="8" t="str">
        <f>VLOOKUP($C487,tab_Agências[],6,FALSE)</f>
        <v>Assis</v>
      </c>
      <c r="I487" s="8" t="str">
        <f>VLOOKUP($C487,tab_Agências[],7,FALSE)</f>
        <v>Via Chico Mendes, 75 - Quinta dos Flamboyants, Assis, 19810-005</v>
      </c>
      <c r="J487" s="8" t="str">
        <f>VLOOKUP($C487,tab_Agências[],8,FALSE)</f>
        <v>(18) 3324-4177</v>
      </c>
      <c r="K487" s="8" t="str">
        <f>VLOOKUP($C487,tab_Agências[],9,FALSE)</f>
        <v>(18) 3324-4177</v>
      </c>
      <c r="L487" s="8" t="str">
        <f>VLOOKUP($C487,tab_Agências[],10,FALSE)</f>
        <v>assis@cetesbnet.sp.gov.br</v>
      </c>
    </row>
    <row r="488" spans="1:12" x14ac:dyDescent="0.25">
      <c r="A488" s="8">
        <v>3543238</v>
      </c>
      <c r="B488" s="8" t="s">
        <v>1426</v>
      </c>
      <c r="C488" s="9">
        <v>29</v>
      </c>
      <c r="D488" s="10" t="str">
        <f>VLOOKUP($C488,tab_Agências[],2,FALSE)</f>
        <v>Agência Ambiental de Presidente Prudente</v>
      </c>
      <c r="E488" s="8" t="str">
        <f>VLOOKUP($C488,tab_Agências[],3,FALSE)</f>
        <v>Rua João Gonçalves Foz, 1738</v>
      </c>
      <c r="F488" s="8" t="str">
        <f>VLOOKUP($C488,tab_Agências[],4,FALSE)</f>
        <v>Jardim das Rosas</v>
      </c>
      <c r="G488" s="8" t="str">
        <f>VLOOKUP($C488,tab_Agências[],5,FALSE)</f>
        <v>19060-050</v>
      </c>
      <c r="H488" s="8" t="str">
        <f>VLOOKUP($C488,tab_Agências[],6,FALSE)</f>
        <v>Presidente Prudente</v>
      </c>
      <c r="I488" s="8" t="str">
        <f>VLOOKUP($C488,tab_Agências[],7,FALSE)</f>
        <v>Rua João Gonçalves Foz, 1738 - Jardim das Rosas, Presidente Prudente, 19060-050</v>
      </c>
      <c r="J488" s="8" t="str">
        <f>VLOOKUP($C488,tab_Agências[],8,FALSE)</f>
        <v>(18) 3223-5001</v>
      </c>
      <c r="K488" s="8" t="str">
        <f>VLOOKUP($C488,tab_Agências[],9,FALSE)</f>
        <v xml:space="preserve"> </v>
      </c>
      <c r="L488" s="8" t="str">
        <f>VLOOKUP($C488,tab_Agências[],10,FALSE)</f>
        <v>prudente@cetesbnet.sp.gov.br</v>
      </c>
    </row>
    <row r="489" spans="1:12" x14ac:dyDescent="0.25">
      <c r="A489" s="8">
        <v>3543253</v>
      </c>
      <c r="B489" s="8" t="s">
        <v>1427</v>
      </c>
      <c r="C489" s="9">
        <v>11</v>
      </c>
      <c r="D489" s="10" t="str">
        <f>VLOOKUP($C489,tab_Agências[],2,FALSE)</f>
        <v>Agência Ambiental de Capão Bonito</v>
      </c>
      <c r="E489" s="8" t="str">
        <f>VLOOKUP($C489,tab_Agências[],3,FALSE)</f>
        <v>Rua Denise, 131</v>
      </c>
      <c r="F489" s="8" t="str">
        <f>VLOOKUP($C489,tab_Agências[],4,FALSE)</f>
        <v>Terras de Imbirucu</v>
      </c>
      <c r="G489" s="8" t="str">
        <f>VLOOKUP($C489,tab_Agências[],5,FALSE)</f>
        <v>18304-700</v>
      </c>
      <c r="H489" s="8" t="str">
        <f>VLOOKUP($C489,tab_Agências[],6,FALSE)</f>
        <v>Capão Bonito</v>
      </c>
      <c r="I489" s="8" t="str">
        <f>VLOOKUP($C489,tab_Agências[],7,FALSE)</f>
        <v>Rua Denise, 131 - Terras de Imbirucu, Capão Bonito, 18304-700</v>
      </c>
      <c r="J489" s="8" t="str">
        <f>VLOOKUP($C489,tab_Agências[],8,FALSE)</f>
        <v>(15) 3542-3885</v>
      </c>
      <c r="K489" s="8" t="str">
        <f>VLOOKUP($C489,tab_Agências[],9,FALSE)</f>
        <v>(15) 3542-3885</v>
      </c>
      <c r="L489" s="8" t="str">
        <f>VLOOKUP($C489,tab_Agências[],10,FALSE)</f>
        <v>capaobonito@cetesbnet.sp.gov.br</v>
      </c>
    </row>
    <row r="490" spans="1:12" x14ac:dyDescent="0.25">
      <c r="A490" s="8">
        <v>3543303</v>
      </c>
      <c r="B490" s="8" t="s">
        <v>1428</v>
      </c>
      <c r="C490" s="9">
        <v>42</v>
      </c>
      <c r="D490" s="10" t="str">
        <f>VLOOKUP($C490,tab_Agências[],2,FALSE)</f>
        <v>Agência Ambiental do ABC I</v>
      </c>
      <c r="E490" s="8" t="str">
        <f>VLOOKUP($C490,tab_Agências[],3,FALSE)</f>
        <v>Rua dos Vianas, 625</v>
      </c>
      <c r="F490" s="8" t="str">
        <f>VLOOKUP($C490,tab_Agências[],4,FALSE)</f>
        <v>Baeta Neves</v>
      </c>
      <c r="G490" s="8" t="str">
        <f>VLOOKUP($C490,tab_Agências[],5,FALSE)</f>
        <v>09760-040</v>
      </c>
      <c r="H490" s="8" t="str">
        <f>VLOOKUP($C490,tab_Agências[],6,FALSE)</f>
        <v>São Bernardo do Campo</v>
      </c>
      <c r="I490" s="8" t="str">
        <f>VLOOKUP($C490,tab_Agências[],7,FALSE)</f>
        <v>Rua dos Vianas, 625 - Baeta Neves, São Bernardo do Campo, 09760-040</v>
      </c>
      <c r="J490" s="8" t="str">
        <f>VLOOKUP($C490,tab_Agências[],8,FALSE)</f>
        <v>(11) 4123-4555</v>
      </c>
      <c r="K490" s="8" t="str">
        <f>VLOOKUP($C490,tab_Agências[],9,FALSE)</f>
        <v>(11) 4123-4555</v>
      </c>
      <c r="L490" s="8" t="str">
        <f>VLOOKUP($C490,tab_Agências[],10,FALSE)</f>
        <v>abc1@cetesbnet.sp.gov.br</v>
      </c>
    </row>
    <row r="491" spans="1:12" x14ac:dyDescent="0.25">
      <c r="A491" s="8">
        <v>3543402</v>
      </c>
      <c r="B491" s="8" t="s">
        <v>1429</v>
      </c>
      <c r="C491" s="9">
        <v>31</v>
      </c>
      <c r="D491" s="10" t="str">
        <f>VLOOKUP($C491,tab_Agências[],2,FALSE)</f>
        <v>Agência Ambiental de Ribeirão Preto</v>
      </c>
      <c r="E491" s="8" t="str">
        <f>VLOOKUP($C491,tab_Agências[],3,FALSE)</f>
        <v>Avenida Presidente Kennedy, 1760</v>
      </c>
      <c r="F491" s="8" t="str">
        <f>VLOOKUP($C491,tab_Agências[],4,FALSE)</f>
        <v>Ribeirânia</v>
      </c>
      <c r="G491" s="8" t="str">
        <f>VLOOKUP($C491,tab_Agências[],5,FALSE)</f>
        <v>14096-350</v>
      </c>
      <c r="H491" s="8" t="str">
        <f>VLOOKUP($C491,tab_Agências[],6,FALSE)</f>
        <v>Ribeirão Preto</v>
      </c>
      <c r="I491" s="8" t="str">
        <f>VLOOKUP($C491,tab_Agências[],7,FALSE)</f>
        <v>Avenida Presidente Kennedy, 1760 - Ribeirânia, Ribeirão Preto, 14096-350</v>
      </c>
      <c r="J491" s="8" t="str">
        <f>VLOOKUP($C491,tab_Agências[],8,FALSE)</f>
        <v>(16) 3617-4700</v>
      </c>
      <c r="K491" s="8" t="str">
        <f>VLOOKUP($C491,tab_Agências[],9,FALSE)</f>
        <v>(16) 3617-4207</v>
      </c>
      <c r="L491" s="8" t="str">
        <f>VLOOKUP($C491,tab_Agências[],10,FALSE)</f>
        <v>ribeirao@cetesbnet.sp.gov.br</v>
      </c>
    </row>
    <row r="492" spans="1:12" x14ac:dyDescent="0.25">
      <c r="A492" s="8">
        <v>3543600</v>
      </c>
      <c r="B492" s="8" t="s">
        <v>1430</v>
      </c>
      <c r="C492" s="9">
        <v>15</v>
      </c>
      <c r="D492" s="10" t="str">
        <f>VLOOKUP($C492,tab_Agências[],2,FALSE)</f>
        <v>Agência Ambiental de Franca</v>
      </c>
      <c r="E492" s="8" t="str">
        <f>VLOOKUP($C492,tab_Agências[],3,FALSE)</f>
        <v>Avenida Dr. Flávio Rocha, 4551</v>
      </c>
      <c r="F492" s="8" t="str">
        <f>VLOOKUP($C492,tab_Agências[],4,FALSE)</f>
        <v>Parque dos Pinhais</v>
      </c>
      <c r="G492" s="8" t="str">
        <f>VLOOKUP($C492,tab_Agências[],5,FALSE)</f>
        <v>14405-600</v>
      </c>
      <c r="H492" s="8" t="str">
        <f>VLOOKUP($C492,tab_Agências[],6,FALSE)</f>
        <v>Franca</v>
      </c>
      <c r="I492" s="8" t="str">
        <f>VLOOKUP($C492,tab_Agências[],7,FALSE)</f>
        <v>Avenida Dr. Flávio Rocha, 4551 - Parque dos Pinhais, Franca, 14405-600</v>
      </c>
      <c r="J492" s="8" t="str">
        <f>VLOOKUP($C492,tab_Agências[],8,FALSE)</f>
        <v>(16) 3724-5922</v>
      </c>
      <c r="K492" s="8" t="str">
        <f>VLOOKUP($C492,tab_Agências[],9,FALSE)</f>
        <v>(16) 3724-5922</v>
      </c>
      <c r="L492" s="8" t="str">
        <f>VLOOKUP($C492,tab_Agências[],10,FALSE)</f>
        <v>franca@cetesbnet.sp.gov.br</v>
      </c>
    </row>
    <row r="493" spans="1:12" x14ac:dyDescent="0.25">
      <c r="A493" s="8">
        <v>3543709</v>
      </c>
      <c r="B493" s="8" t="s">
        <v>1431</v>
      </c>
      <c r="C493" s="9">
        <v>3</v>
      </c>
      <c r="D493" s="10" t="str">
        <f>VLOOKUP($C493,tab_Agências[],2,FALSE)</f>
        <v>Agência Ambiental de Araraquara</v>
      </c>
      <c r="E493" s="8" t="str">
        <f>VLOOKUP($C493,tab_Agências[],3,FALSE)</f>
        <v>Avenida Castro Alves, 1271</v>
      </c>
      <c r="F493" s="8" t="str">
        <f>VLOOKUP($C493,tab_Agências[],4,FALSE)</f>
        <v>Carmo</v>
      </c>
      <c r="G493" s="8" t="str">
        <f>VLOOKUP($C493,tab_Agências[],5,FALSE)</f>
        <v>14800-140</v>
      </c>
      <c r="H493" s="8" t="str">
        <f>VLOOKUP($C493,tab_Agências[],6,FALSE)</f>
        <v>Araraquara</v>
      </c>
      <c r="I493" s="8" t="str">
        <f>VLOOKUP($C493,tab_Agências[],7,FALSE)</f>
        <v>Avenida Castro Alves, 1271 - Carmo, Araraquara, 14800-140</v>
      </c>
      <c r="J493" s="8" t="str">
        <f>VLOOKUP($C493,tab_Agências[],8,FALSE)</f>
        <v>(16) 3332-2211</v>
      </c>
      <c r="K493" s="8" t="str">
        <f>VLOOKUP($C493,tab_Agências[],9,FALSE)</f>
        <v>(16) 3332-2211</v>
      </c>
      <c r="L493" s="8" t="str">
        <f>VLOOKUP($C493,tab_Agências[],10,FALSE)</f>
        <v>araraquara@cetesbnet.sp.gov.br</v>
      </c>
    </row>
    <row r="494" spans="1:12" x14ac:dyDescent="0.25">
      <c r="A494" s="8">
        <v>3543808</v>
      </c>
      <c r="B494" s="8" t="s">
        <v>1432</v>
      </c>
      <c r="C494" s="9">
        <v>23</v>
      </c>
      <c r="D494" s="10" t="str">
        <f>VLOOKUP($C494,tab_Agências[],2,FALSE)</f>
        <v>Agência Ambiental de Marília</v>
      </c>
      <c r="E494" s="8" t="str">
        <f>VLOOKUP($C494,tab_Agências[],3,FALSE)</f>
        <v>Rua Santa Helena, 436</v>
      </c>
      <c r="F494" s="8" t="str">
        <f>VLOOKUP($C494,tab_Agências[],4,FALSE)</f>
        <v>Jardim Alvorada</v>
      </c>
      <c r="G494" s="8" t="str">
        <f>VLOOKUP($C494,tab_Agências[],5,FALSE)</f>
        <v>17513-322</v>
      </c>
      <c r="H494" s="8" t="str">
        <f>VLOOKUP($C494,tab_Agências[],6,FALSE)</f>
        <v>Marília</v>
      </c>
      <c r="I494" s="8" t="str">
        <f>VLOOKUP($C494,tab_Agências[],7,FALSE)</f>
        <v>Rua Santa Helena, 436 - Jardim Alvorada, Marília, 17513-322</v>
      </c>
      <c r="J494" s="8" t="str">
        <f>VLOOKUP($C494,tab_Agências[],8,FALSE)</f>
        <v>(14) 3422-4666</v>
      </c>
      <c r="K494" s="8" t="str">
        <f>VLOOKUP($C494,tab_Agências[],9,FALSE)</f>
        <v>(14) 3422-4666</v>
      </c>
      <c r="L494" s="8" t="str">
        <f>VLOOKUP($C494,tab_Agências[],10,FALSE)</f>
        <v>marilia@cetesbnet.sp.gov.br</v>
      </c>
    </row>
    <row r="495" spans="1:12" x14ac:dyDescent="0.25">
      <c r="A495" s="8">
        <v>3543907</v>
      </c>
      <c r="B495" s="8" t="s">
        <v>1433</v>
      </c>
      <c r="C495" s="9">
        <v>28</v>
      </c>
      <c r="D495" s="10" t="str">
        <f>VLOOKUP($C495,tab_Agências[],2,FALSE)</f>
        <v>Agência Ambiental de Piracicaba</v>
      </c>
      <c r="E495" s="8" t="str">
        <f>VLOOKUP($C495,tab_Agências[],3,FALSE)</f>
        <v>Rua do Rosário, 566</v>
      </c>
      <c r="F495" s="8" t="str">
        <f>VLOOKUP($C495,tab_Agências[],4,FALSE)</f>
        <v>Centro</v>
      </c>
      <c r="G495" s="8" t="str">
        <f>VLOOKUP($C495,tab_Agências[],5,FALSE)</f>
        <v>13400-183</v>
      </c>
      <c r="H495" s="8" t="str">
        <f>VLOOKUP($C495,tab_Agências[],6,FALSE)</f>
        <v>Piracicaba</v>
      </c>
      <c r="I495" s="8" t="str">
        <f>VLOOKUP($C495,tab_Agências[],7,FALSE)</f>
        <v>Rua do Rosário, 566 - Centro, Piracicaba, 13400-183</v>
      </c>
      <c r="J495" s="8" t="str">
        <f>VLOOKUP($C495,tab_Agências[],8,FALSE)</f>
        <v>(19) 3402-6863</v>
      </c>
      <c r="K495" s="8" t="str">
        <f>VLOOKUP($C495,tab_Agências[],9,FALSE)</f>
        <v>(19) 3402-6863</v>
      </c>
      <c r="L495" s="8" t="str">
        <f>VLOOKUP($C495,tab_Agências[],10,FALSE)</f>
        <v>piracicaba@cetesbnet.sp.gov.br</v>
      </c>
    </row>
    <row r="496" spans="1:12" x14ac:dyDescent="0.25">
      <c r="A496" s="8">
        <v>3544004</v>
      </c>
      <c r="B496" s="8" t="s">
        <v>1434</v>
      </c>
      <c r="C496" s="9">
        <v>28</v>
      </c>
      <c r="D496" s="10" t="str">
        <f>VLOOKUP($C496,tab_Agências[],2,FALSE)</f>
        <v>Agência Ambiental de Piracicaba</v>
      </c>
      <c r="E496" s="8" t="str">
        <f>VLOOKUP($C496,tab_Agências[],3,FALSE)</f>
        <v>Rua do Rosário, 566</v>
      </c>
      <c r="F496" s="8" t="str">
        <f>VLOOKUP($C496,tab_Agências[],4,FALSE)</f>
        <v>Centro</v>
      </c>
      <c r="G496" s="8" t="str">
        <f>VLOOKUP($C496,tab_Agências[],5,FALSE)</f>
        <v>13400-183</v>
      </c>
      <c r="H496" s="8" t="str">
        <f>VLOOKUP($C496,tab_Agências[],6,FALSE)</f>
        <v>Piracicaba</v>
      </c>
      <c r="I496" s="8" t="str">
        <f>VLOOKUP($C496,tab_Agências[],7,FALSE)</f>
        <v>Rua do Rosário, 566 - Centro, Piracicaba, 13400-183</v>
      </c>
      <c r="J496" s="8" t="str">
        <f>VLOOKUP($C496,tab_Agências[],8,FALSE)</f>
        <v>(19) 3402-6863</v>
      </c>
      <c r="K496" s="8" t="str">
        <f>VLOOKUP($C496,tab_Agências[],9,FALSE)</f>
        <v>(19) 3402-6863</v>
      </c>
      <c r="L496" s="8" t="str">
        <f>VLOOKUP($C496,tab_Agências[],10,FALSE)</f>
        <v>piracicaba@cetesbnet.sp.gov.br</v>
      </c>
    </row>
    <row r="497" spans="1:12" x14ac:dyDescent="0.25">
      <c r="A497" s="8">
        <v>3544103</v>
      </c>
      <c r="B497" s="8" t="s">
        <v>1435</v>
      </c>
      <c r="C497" s="9">
        <v>42</v>
      </c>
      <c r="D497" s="10" t="str">
        <f>VLOOKUP($C497,tab_Agências[],2,FALSE)</f>
        <v>Agência Ambiental do ABC I</v>
      </c>
      <c r="E497" s="8" t="str">
        <f>VLOOKUP($C497,tab_Agências[],3,FALSE)</f>
        <v>Rua dos Vianas, 625</v>
      </c>
      <c r="F497" s="8" t="str">
        <f>VLOOKUP($C497,tab_Agências[],4,FALSE)</f>
        <v>Baeta Neves</v>
      </c>
      <c r="G497" s="8" t="str">
        <f>VLOOKUP($C497,tab_Agências[],5,FALSE)</f>
        <v>09760-040</v>
      </c>
      <c r="H497" s="8" t="str">
        <f>VLOOKUP($C497,tab_Agências[],6,FALSE)</f>
        <v>São Bernardo do Campo</v>
      </c>
      <c r="I497" s="8" t="str">
        <f>VLOOKUP($C497,tab_Agências[],7,FALSE)</f>
        <v>Rua dos Vianas, 625 - Baeta Neves, São Bernardo do Campo, 09760-040</v>
      </c>
      <c r="J497" s="8" t="str">
        <f>VLOOKUP($C497,tab_Agências[],8,FALSE)</f>
        <v>(11) 4123-4555</v>
      </c>
      <c r="K497" s="8" t="str">
        <f>VLOOKUP($C497,tab_Agências[],9,FALSE)</f>
        <v>(11) 4123-4555</v>
      </c>
      <c r="L497" s="8" t="str">
        <f>VLOOKUP($C497,tab_Agências[],10,FALSE)</f>
        <v>abc1@cetesbnet.sp.gov.br</v>
      </c>
    </row>
    <row r="498" spans="1:12" x14ac:dyDescent="0.25">
      <c r="A498" s="8">
        <v>3544202</v>
      </c>
      <c r="B498" s="8" t="s">
        <v>1436</v>
      </c>
      <c r="C498" s="9">
        <v>41</v>
      </c>
      <c r="D498" s="10" t="str">
        <f>VLOOKUP($C498,tab_Agências[],2,FALSE)</f>
        <v>Agência Ambiental de Votuporanga</v>
      </c>
      <c r="E498" s="8" t="str">
        <f>VLOOKUP($C498,tab_Agências[],3,FALSE)</f>
        <v>Avenida Deputado Aureo Ferreira, 1724</v>
      </c>
      <c r="F498" s="8" t="str">
        <f>VLOOKUP($C498,tab_Agências[],4,FALSE)</f>
        <v>Vila Paes</v>
      </c>
      <c r="G498" s="8" t="str">
        <f>VLOOKUP($C498,tab_Agências[],5,FALSE)</f>
        <v>15500-112</v>
      </c>
      <c r="H498" s="8" t="str">
        <f>VLOOKUP($C498,tab_Agências[],6,FALSE)</f>
        <v>Votuporanga</v>
      </c>
      <c r="I498" s="8" t="str">
        <f>VLOOKUP($C498,tab_Agências[],7,FALSE)</f>
        <v>Avenida Deputado Aureo Ferreira, 1724 - Vila Paes, Votuporanga, 15500-112</v>
      </c>
      <c r="J498" s="8" t="str">
        <f>VLOOKUP($C498,tab_Agências[],8,FALSE)</f>
        <v>(17) 3421-4004</v>
      </c>
      <c r="K498" s="8" t="str">
        <f>VLOOKUP($C498,tab_Agências[],9,FALSE)</f>
        <v>(17) 3421-4004</v>
      </c>
      <c r="L498" s="8" t="str">
        <f>VLOOKUP($C498,tab_Agências[],10,FALSE)</f>
        <v>votuporanga@cetesbnet.sp.gov.br</v>
      </c>
    </row>
    <row r="499" spans="1:12" x14ac:dyDescent="0.25">
      <c r="A499" s="8">
        <v>3543501</v>
      </c>
      <c r="B499" s="8" t="s">
        <v>1437</v>
      </c>
      <c r="C499" s="9">
        <v>11</v>
      </c>
      <c r="D499" s="10" t="str">
        <f>VLOOKUP($C499,tab_Agências[],2,FALSE)</f>
        <v>Agência Ambiental de Capão Bonito</v>
      </c>
      <c r="E499" s="8" t="str">
        <f>VLOOKUP($C499,tab_Agências[],3,FALSE)</f>
        <v>Rua Denise, 131</v>
      </c>
      <c r="F499" s="8" t="str">
        <f>VLOOKUP($C499,tab_Agências[],4,FALSE)</f>
        <v>Terras de Imbirucu</v>
      </c>
      <c r="G499" s="8" t="str">
        <f>VLOOKUP($C499,tab_Agências[],5,FALSE)</f>
        <v>18304-700</v>
      </c>
      <c r="H499" s="8" t="str">
        <f>VLOOKUP($C499,tab_Agências[],6,FALSE)</f>
        <v>Capão Bonito</v>
      </c>
      <c r="I499" s="8" t="str">
        <f>VLOOKUP($C499,tab_Agências[],7,FALSE)</f>
        <v>Rua Denise, 131 - Terras de Imbirucu, Capão Bonito, 18304-700</v>
      </c>
      <c r="J499" s="8" t="str">
        <f>VLOOKUP($C499,tab_Agências[],8,FALSE)</f>
        <v>(15) 3542-3885</v>
      </c>
      <c r="K499" s="8" t="str">
        <f>VLOOKUP($C499,tab_Agências[],9,FALSE)</f>
        <v>(15) 3542-3885</v>
      </c>
      <c r="L499" s="8" t="str">
        <f>VLOOKUP($C499,tab_Agências[],10,FALSE)</f>
        <v>capaobonito@cetesbnet.sp.gov.br</v>
      </c>
    </row>
    <row r="500" spans="1:12" x14ac:dyDescent="0.25">
      <c r="A500" s="8">
        <v>3544251</v>
      </c>
      <c r="B500" s="8" t="s">
        <v>1438</v>
      </c>
      <c r="C500" s="9">
        <v>29</v>
      </c>
      <c r="D500" s="10" t="str">
        <f>VLOOKUP($C500,tab_Agências[],2,FALSE)</f>
        <v>Agência Ambiental de Presidente Prudente</v>
      </c>
      <c r="E500" s="8" t="str">
        <f>VLOOKUP($C500,tab_Agências[],3,FALSE)</f>
        <v>Rua João Gonçalves Foz, 1738</v>
      </c>
      <c r="F500" s="8" t="str">
        <f>VLOOKUP($C500,tab_Agências[],4,FALSE)</f>
        <v>Jardim das Rosas</v>
      </c>
      <c r="G500" s="8" t="str">
        <f>VLOOKUP($C500,tab_Agências[],5,FALSE)</f>
        <v>19060-050</v>
      </c>
      <c r="H500" s="8" t="str">
        <f>VLOOKUP($C500,tab_Agências[],6,FALSE)</f>
        <v>Presidente Prudente</v>
      </c>
      <c r="I500" s="8" t="str">
        <f>VLOOKUP($C500,tab_Agências[],7,FALSE)</f>
        <v>Rua João Gonçalves Foz, 1738 - Jardim das Rosas, Presidente Prudente, 19060-050</v>
      </c>
      <c r="J500" s="8" t="str">
        <f>VLOOKUP($C500,tab_Agências[],8,FALSE)</f>
        <v>(18) 3223-5001</v>
      </c>
      <c r="K500" s="8" t="str">
        <f>VLOOKUP($C500,tab_Agências[],9,FALSE)</f>
        <v xml:space="preserve"> </v>
      </c>
      <c r="L500" s="8" t="str">
        <f>VLOOKUP($C500,tab_Agências[],10,FALSE)</f>
        <v>prudente@cetesbnet.sp.gov.br</v>
      </c>
    </row>
    <row r="501" spans="1:12" x14ac:dyDescent="0.25">
      <c r="A501" s="8">
        <v>3544301</v>
      </c>
      <c r="B501" s="8" t="s">
        <v>1439</v>
      </c>
      <c r="C501" s="9">
        <v>40</v>
      </c>
      <c r="D501" s="10" t="str">
        <f>VLOOKUP($C501,tab_Agências[],2,FALSE)</f>
        <v>Agência Ambiental de Taubaté</v>
      </c>
      <c r="E501" s="8" t="str">
        <f>VLOOKUP($C501,tab_Agências[],3,FALSE)</f>
        <v>Avenida Itambé, 38</v>
      </c>
      <c r="F501" s="8" t="str">
        <f>VLOOKUP($C501,tab_Agências[],4,FALSE)</f>
        <v>Sta. Luzia</v>
      </c>
      <c r="G501" s="8" t="str">
        <f>VLOOKUP($C501,tab_Agências[],5,FALSE)</f>
        <v>12091-200</v>
      </c>
      <c r="H501" s="8" t="str">
        <f>VLOOKUP($C501,tab_Agências[],6,FALSE)</f>
        <v>Taubaté</v>
      </c>
      <c r="I501" s="8" t="str">
        <f>VLOOKUP($C501,tab_Agências[],7,FALSE)</f>
        <v>Avenida Itambé, 38 - Sta. Luzia, Taubaté, 12091-200</v>
      </c>
      <c r="J501" s="8" t="str">
        <f>VLOOKUP($C501,tab_Agências[],8,FALSE)</f>
        <v>(12) 3634-8222</v>
      </c>
      <c r="K501" s="8" t="str">
        <f>VLOOKUP($C501,tab_Agências[],9,FALSE)</f>
        <v>(12) 3634-8234</v>
      </c>
      <c r="L501" s="8" t="str">
        <f>VLOOKUP($C501,tab_Agências[],10,FALSE)</f>
        <v>taubate@cetesbnet.sp.gov.br</v>
      </c>
    </row>
    <row r="502" spans="1:12" x14ac:dyDescent="0.25">
      <c r="A502" s="8">
        <v>3544400</v>
      </c>
      <c r="B502" s="8" t="s">
        <v>1440</v>
      </c>
      <c r="C502" s="9">
        <v>2</v>
      </c>
      <c r="D502" s="10" t="str">
        <f>VLOOKUP($C502,tab_Agências[],2,FALSE)</f>
        <v>Agência Ambiental de Araçatuba</v>
      </c>
      <c r="E502" s="8" t="str">
        <f>VLOOKUP($C502,tab_Agências[],3,FALSE)</f>
        <v>Rua Ten. Alcides Teodoro dos Santos, 260</v>
      </c>
      <c r="F502" s="8" t="str">
        <f>VLOOKUP($C502,tab_Agências[],4,FALSE)</f>
        <v>Aviação</v>
      </c>
      <c r="G502" s="8" t="str">
        <f>VLOOKUP($C502,tab_Agências[],5,FALSE)</f>
        <v>16055-557</v>
      </c>
      <c r="H502" s="8" t="str">
        <f>VLOOKUP($C502,tab_Agências[],6,FALSE)</f>
        <v>Araçatuba</v>
      </c>
      <c r="I502" s="8" t="str">
        <f>VLOOKUP($C502,tab_Agências[],7,FALSE)</f>
        <v>Rua Ten. Alcides Teodoro dos Santos, 260 - Aviação, Araçatuba, 16055-557</v>
      </c>
      <c r="J502" s="8" t="str">
        <f>VLOOKUP($C502,tab_Agências[],8,FALSE)</f>
        <v>(18) 3608-8053</v>
      </c>
      <c r="K502" s="8" t="str">
        <f>VLOOKUP($C502,tab_Agências[],9,FALSE)</f>
        <v>(18) 3608-7197</v>
      </c>
      <c r="L502" s="8" t="str">
        <f>VLOOKUP($C502,tab_Agências[],10,FALSE)</f>
        <v>aracatuba@cetesbnet.sp.gov.br</v>
      </c>
    </row>
    <row r="503" spans="1:12" x14ac:dyDescent="0.25">
      <c r="A503" s="8">
        <v>3544509</v>
      </c>
      <c r="B503" s="8" t="s">
        <v>1441</v>
      </c>
      <c r="C503" s="9">
        <v>20</v>
      </c>
      <c r="D503" s="10" t="str">
        <f>VLOOKUP($C503,tab_Agências[],2,FALSE)</f>
        <v>Agência Ambiental de Jales</v>
      </c>
      <c r="E503" s="8" t="str">
        <f>VLOOKUP($C503,tab_Agências[],3,FALSE)</f>
        <v>Rua Nova Iorque, 1016</v>
      </c>
      <c r="F503" s="8" t="str">
        <f>VLOOKUP($C503,tab_Agências[],4,FALSE)</f>
        <v>Jardim Monte Rrey</v>
      </c>
      <c r="G503" s="8" t="str">
        <f>VLOOKUP($C503,tab_Agências[],5,FALSE)</f>
        <v>15703-326</v>
      </c>
      <c r="H503" s="8" t="str">
        <f>VLOOKUP($C503,tab_Agências[],6,FALSE)</f>
        <v>Jales</v>
      </c>
      <c r="I503" s="8" t="str">
        <f>VLOOKUP($C503,tab_Agências[],7,FALSE)</f>
        <v>Rua Nova Iorque, 1016 - Jardim Monte Rrey, Jales, 15703-326</v>
      </c>
      <c r="J503" s="8" t="str">
        <f>VLOOKUP($C503,tab_Agências[],8,FALSE)</f>
        <v>(17) 3621-1042</v>
      </c>
      <c r="K503" s="8" t="str">
        <f>VLOOKUP($C503,tab_Agências[],9,FALSE)</f>
        <v>(17) 3621-1042</v>
      </c>
      <c r="L503" s="8" t="str">
        <f>VLOOKUP($C503,tab_Agências[],10,FALSE)</f>
        <v>jales@cetesbnet.sp.gov.br</v>
      </c>
    </row>
    <row r="504" spans="1:12" x14ac:dyDescent="0.25">
      <c r="A504" s="8">
        <v>3544608</v>
      </c>
      <c r="B504" s="8" t="s">
        <v>1442</v>
      </c>
      <c r="C504" s="9">
        <v>23</v>
      </c>
      <c r="D504" s="10" t="str">
        <f>VLOOKUP($C504,tab_Agências[],2,FALSE)</f>
        <v>Agência Ambiental de Marília</v>
      </c>
      <c r="E504" s="8" t="str">
        <f>VLOOKUP($C504,tab_Agências[],3,FALSE)</f>
        <v>Rua Santa Helena, 436</v>
      </c>
      <c r="F504" s="8" t="str">
        <f>VLOOKUP($C504,tab_Agências[],4,FALSE)</f>
        <v>Jardim Alvorada</v>
      </c>
      <c r="G504" s="8" t="str">
        <f>VLOOKUP($C504,tab_Agências[],5,FALSE)</f>
        <v>17513-322</v>
      </c>
      <c r="H504" s="8" t="str">
        <f>VLOOKUP($C504,tab_Agências[],6,FALSE)</f>
        <v>Marília</v>
      </c>
      <c r="I504" s="8" t="str">
        <f>VLOOKUP($C504,tab_Agências[],7,FALSE)</f>
        <v>Rua Santa Helena, 436 - Jardim Alvorada, Marília, 17513-322</v>
      </c>
      <c r="J504" s="8" t="str">
        <f>VLOOKUP($C504,tab_Agências[],8,FALSE)</f>
        <v>(14) 3422-4666</v>
      </c>
      <c r="K504" s="8" t="str">
        <f>VLOOKUP($C504,tab_Agências[],9,FALSE)</f>
        <v>(14) 3422-4666</v>
      </c>
      <c r="L504" s="8" t="str">
        <f>VLOOKUP($C504,tab_Agências[],10,FALSE)</f>
        <v>marilia@cetesbnet.sp.gov.br</v>
      </c>
    </row>
    <row r="505" spans="1:12" x14ac:dyDescent="0.25">
      <c r="A505" s="8">
        <v>3544707</v>
      </c>
      <c r="B505" s="8" t="s">
        <v>1443</v>
      </c>
      <c r="C505" s="9">
        <v>13</v>
      </c>
      <c r="D505" s="10" t="str">
        <f>VLOOKUP($C505,tab_Agências[],2,FALSE)</f>
        <v>Agência Ambiental de Dracena</v>
      </c>
      <c r="E505" s="8" t="str">
        <f>VLOOKUP($C505,tab_Agências[],3,FALSE)</f>
        <v>Rua Tomé de Souza, 438</v>
      </c>
      <c r="F505" s="8" t="str">
        <f>VLOOKUP($C505,tab_Agências[],4,FALSE)</f>
        <v>Centro</v>
      </c>
      <c r="G505" s="8" t="str">
        <f>VLOOKUP($C505,tab_Agências[],5,FALSE)</f>
        <v>17900-000</v>
      </c>
      <c r="H505" s="8" t="str">
        <f>VLOOKUP($C505,tab_Agências[],6,FALSE)</f>
        <v>Dracena</v>
      </c>
      <c r="I505" s="8" t="str">
        <f>VLOOKUP($C505,tab_Agências[],7,FALSE)</f>
        <v>Rua Tomé de Souza, 438 - Centro, Dracena, 17900-000</v>
      </c>
      <c r="J505" s="8" t="str">
        <f>VLOOKUP($C505,tab_Agências[],8,FALSE)</f>
        <v>(18) 3822-3166</v>
      </c>
      <c r="K505" s="8" t="str">
        <f>VLOOKUP($C505,tab_Agências[],9,FALSE)</f>
        <v>(18) 3822-3166</v>
      </c>
      <c r="L505" s="8" t="str">
        <f>VLOOKUP($C505,tab_Agências[],10,FALSE)</f>
        <v>dracena@cetesbnet.sp.gov.br</v>
      </c>
    </row>
    <row r="506" spans="1:12" x14ac:dyDescent="0.25">
      <c r="A506" s="8">
        <v>3544806</v>
      </c>
      <c r="B506" s="8" t="s">
        <v>1444</v>
      </c>
      <c r="C506" s="9">
        <v>36</v>
      </c>
      <c r="D506" s="10" t="str">
        <f>VLOOKUP($C506,tab_Agências[],2,FALSE)</f>
        <v>Agência Ambiental de São José do Rio Preto</v>
      </c>
      <c r="E506" s="8" t="str">
        <f>VLOOKUP($C506,tab_Agências[],3,FALSE)</f>
        <v>Avenida Mário Andreazza,</v>
      </c>
      <c r="F506" s="8" t="str">
        <f>VLOOKUP($C506,tab_Agências[],4,FALSE)</f>
        <v>Jardim São Marcos</v>
      </c>
      <c r="G506" s="8" t="str">
        <f>VLOOKUP($C506,tab_Agências[],5,FALSE)</f>
        <v>15081-490</v>
      </c>
      <c r="H506" s="8" t="str">
        <f>VLOOKUP($C506,tab_Agências[],6,FALSE)</f>
        <v>São José do Rio Preto</v>
      </c>
      <c r="I506" s="8" t="str">
        <f>VLOOKUP($C506,tab_Agências[],7,FALSE)</f>
        <v>Avenida Mário Andreazza, - Jardim São Marcos, São José do Rio Preto, 15081-490</v>
      </c>
      <c r="J506" s="8" t="str">
        <f>VLOOKUP($C506,tab_Agências[],8,FALSE)</f>
        <v>(17) 3218-4300</v>
      </c>
      <c r="K506" s="8" t="str">
        <f>VLOOKUP($C506,tab_Agências[],9,FALSE)</f>
        <v>(17) 3218-4300</v>
      </c>
      <c r="L506" s="8" t="str">
        <f>VLOOKUP($C506,tab_Agências[],10,FALSE)</f>
        <v>riopreto@cetesbnet.sp.gov.br</v>
      </c>
    </row>
    <row r="507" spans="1:12" x14ac:dyDescent="0.25">
      <c r="A507" s="8">
        <v>3544905</v>
      </c>
      <c r="B507" s="8" t="s">
        <v>1445</v>
      </c>
      <c r="C507" s="9">
        <v>31</v>
      </c>
      <c r="D507" s="10" t="str">
        <f>VLOOKUP($C507,tab_Agências[],2,FALSE)</f>
        <v>Agência Ambiental de Ribeirão Preto</v>
      </c>
      <c r="E507" s="8" t="str">
        <f>VLOOKUP($C507,tab_Agências[],3,FALSE)</f>
        <v>Avenida Presidente Kennedy, 1760</v>
      </c>
      <c r="F507" s="8" t="str">
        <f>VLOOKUP($C507,tab_Agências[],4,FALSE)</f>
        <v>Ribeirânia</v>
      </c>
      <c r="G507" s="8" t="str">
        <f>VLOOKUP($C507,tab_Agências[],5,FALSE)</f>
        <v>14096-350</v>
      </c>
      <c r="H507" s="8" t="str">
        <f>VLOOKUP($C507,tab_Agências[],6,FALSE)</f>
        <v>Ribeirão Preto</v>
      </c>
      <c r="I507" s="8" t="str">
        <f>VLOOKUP($C507,tab_Agências[],7,FALSE)</f>
        <v>Avenida Presidente Kennedy, 1760 - Ribeirânia, Ribeirão Preto, 14096-350</v>
      </c>
      <c r="J507" s="8" t="str">
        <f>VLOOKUP($C507,tab_Agências[],8,FALSE)</f>
        <v>(16) 3617-4700</v>
      </c>
      <c r="K507" s="8" t="str">
        <f>VLOOKUP($C507,tab_Agências[],9,FALSE)</f>
        <v>(16) 3617-4207</v>
      </c>
      <c r="L507" s="8" t="str">
        <f>VLOOKUP($C507,tab_Agências[],10,FALSE)</f>
        <v>ribeirao@cetesbnet.sp.gov.br</v>
      </c>
    </row>
    <row r="508" spans="1:12" x14ac:dyDescent="0.25">
      <c r="A508" s="8">
        <v>3545001</v>
      </c>
      <c r="B508" s="8" t="s">
        <v>1446</v>
      </c>
      <c r="C508" s="9">
        <v>24</v>
      </c>
      <c r="D508" s="10" t="str">
        <f>VLOOKUP($C508,tab_Agências[],2,FALSE)</f>
        <v>Agência Ambiental de Mogi das Cruzes</v>
      </c>
      <c r="E508" s="8" t="str">
        <f>VLOOKUP($C508,tab_Agências[],3,FALSE)</f>
        <v>Avenida João XXIII, 165</v>
      </c>
      <c r="F508" s="8" t="str">
        <f>VLOOKUP($C508,tab_Agências[],4,FALSE)</f>
        <v>Socorro</v>
      </c>
      <c r="G508" s="8" t="str">
        <f>VLOOKUP($C508,tab_Agências[],5,FALSE)</f>
        <v>08830-000</v>
      </c>
      <c r="H508" s="8" t="str">
        <f>VLOOKUP($C508,tab_Agências[],6,FALSE)</f>
        <v>Mogi das Cruzes</v>
      </c>
      <c r="I508" s="8" t="str">
        <f>VLOOKUP($C508,tab_Agências[],7,FALSE)</f>
        <v>Avenida João XXIII, 165 - Socorro, Mogi das Cruzes, 08830-000</v>
      </c>
      <c r="J508" s="8" t="str">
        <f>VLOOKUP($C508,tab_Agências[],8,FALSE)</f>
        <v>(11) 4725-7490</v>
      </c>
      <c r="K508" s="8" t="str">
        <f>VLOOKUP($C508,tab_Agências[],9,FALSE)</f>
        <v xml:space="preserve"> </v>
      </c>
      <c r="L508" s="8" t="str">
        <f>VLOOKUP($C508,tab_Agências[],10,FALSE)</f>
        <v>mogi@cetesbnet.sp.gov.br</v>
      </c>
    </row>
    <row r="509" spans="1:12" x14ac:dyDescent="0.25">
      <c r="A509" s="8">
        <v>3545100</v>
      </c>
      <c r="B509" s="8" t="s">
        <v>1447</v>
      </c>
      <c r="C509" s="9">
        <v>13</v>
      </c>
      <c r="D509" s="10" t="str">
        <f>VLOOKUP($C509,tab_Agências[],2,FALSE)</f>
        <v>Agência Ambiental de Dracena</v>
      </c>
      <c r="E509" s="8" t="str">
        <f>VLOOKUP($C509,tab_Agências[],3,FALSE)</f>
        <v>Rua Tomé de Souza, 438</v>
      </c>
      <c r="F509" s="8" t="str">
        <f>VLOOKUP($C509,tab_Agências[],4,FALSE)</f>
        <v>Centro</v>
      </c>
      <c r="G509" s="8" t="str">
        <f>VLOOKUP($C509,tab_Agências[],5,FALSE)</f>
        <v>17900-000</v>
      </c>
      <c r="H509" s="8" t="str">
        <f>VLOOKUP($C509,tab_Agências[],6,FALSE)</f>
        <v>Dracena</v>
      </c>
      <c r="I509" s="8" t="str">
        <f>VLOOKUP($C509,tab_Agências[],7,FALSE)</f>
        <v>Rua Tomé de Souza, 438 - Centro, Dracena, 17900-000</v>
      </c>
      <c r="J509" s="8" t="str">
        <f>VLOOKUP($C509,tab_Agências[],8,FALSE)</f>
        <v>(18) 3822-3166</v>
      </c>
      <c r="K509" s="8" t="str">
        <f>VLOOKUP($C509,tab_Agências[],9,FALSE)</f>
        <v>(18) 3822-3166</v>
      </c>
      <c r="L509" s="8" t="str">
        <f>VLOOKUP($C509,tab_Agências[],10,FALSE)</f>
        <v>dracena@cetesbnet.sp.gov.br</v>
      </c>
    </row>
    <row r="510" spans="1:12" x14ac:dyDescent="0.25">
      <c r="A510" s="8">
        <v>3545159</v>
      </c>
      <c r="B510" s="8" t="s">
        <v>1448</v>
      </c>
      <c r="C510" s="9">
        <v>28</v>
      </c>
      <c r="D510" s="10" t="str">
        <f>VLOOKUP($C510,tab_Agências[],2,FALSE)</f>
        <v>Agência Ambiental de Piracicaba</v>
      </c>
      <c r="E510" s="8" t="str">
        <f>VLOOKUP($C510,tab_Agências[],3,FALSE)</f>
        <v>Rua do Rosário, 566</v>
      </c>
      <c r="F510" s="8" t="str">
        <f>VLOOKUP($C510,tab_Agências[],4,FALSE)</f>
        <v>Centro</v>
      </c>
      <c r="G510" s="8" t="str">
        <f>VLOOKUP($C510,tab_Agências[],5,FALSE)</f>
        <v>13400-183</v>
      </c>
      <c r="H510" s="8" t="str">
        <f>VLOOKUP($C510,tab_Agências[],6,FALSE)</f>
        <v>Piracicaba</v>
      </c>
      <c r="I510" s="8" t="str">
        <f>VLOOKUP($C510,tab_Agências[],7,FALSE)</f>
        <v>Rua do Rosário, 566 - Centro, Piracicaba, 13400-183</v>
      </c>
      <c r="J510" s="8" t="str">
        <f>VLOOKUP($C510,tab_Agências[],8,FALSE)</f>
        <v>(19) 3402-6863</v>
      </c>
      <c r="K510" s="8" t="str">
        <f>VLOOKUP($C510,tab_Agências[],9,FALSE)</f>
        <v>(19) 3402-6863</v>
      </c>
      <c r="L510" s="8" t="str">
        <f>VLOOKUP($C510,tab_Agências[],10,FALSE)</f>
        <v>piracicaba@cetesbnet.sp.gov.br</v>
      </c>
    </row>
    <row r="511" spans="1:12" x14ac:dyDescent="0.25">
      <c r="A511" s="8">
        <v>3545209</v>
      </c>
      <c r="B511" s="8" t="s">
        <v>1449</v>
      </c>
      <c r="C511" s="9">
        <v>21</v>
      </c>
      <c r="D511" s="10" t="str">
        <f>VLOOKUP($C511,tab_Agências[],2,FALSE)</f>
        <v>Agência Ambiental de Jundiaí</v>
      </c>
      <c r="E511" s="8" t="str">
        <f>VLOOKUP($C511,tab_Agências[],3,FALSE)</f>
        <v>Rua João Ferrara, 555</v>
      </c>
      <c r="F511" s="8" t="str">
        <f>VLOOKUP($C511,tab_Agências[],4,FALSE)</f>
        <v>Jardim Pitangueiras II</v>
      </c>
      <c r="G511" s="8" t="str">
        <f>VLOOKUP($C511,tab_Agências[],5,FALSE)</f>
        <v>13206-714</v>
      </c>
      <c r="H511" s="8" t="str">
        <f>VLOOKUP($C511,tab_Agências[],6,FALSE)</f>
        <v>Jundiaí</v>
      </c>
      <c r="I511" s="8" t="str">
        <f>VLOOKUP($C511,tab_Agências[],7,FALSE)</f>
        <v>Rua João Ferrara, 555 - Jardim Pitangueiras II, Jundiaí, 13206-714</v>
      </c>
      <c r="J511" s="8" t="str">
        <f>VLOOKUP($C511,tab_Agências[],8,FALSE)</f>
        <v>(11) 4817-1898</v>
      </c>
      <c r="K511" s="8" t="str">
        <f>VLOOKUP($C511,tab_Agências[],9,FALSE)</f>
        <v>(11) 4587-3597</v>
      </c>
      <c r="L511" s="8" t="str">
        <f>VLOOKUP($C511,tab_Agências[],10,FALSE)</f>
        <v>jundiai@cetesbnet.sp.gov.br</v>
      </c>
    </row>
    <row r="512" spans="1:12" x14ac:dyDescent="0.25">
      <c r="A512" s="8">
        <v>3545308</v>
      </c>
      <c r="B512" s="8" t="s">
        <v>1450</v>
      </c>
      <c r="C512" s="9">
        <v>39</v>
      </c>
      <c r="D512" s="10" t="str">
        <f>VLOOKUP($C512,tab_Agências[],2,FALSE)</f>
        <v>Agência Ambiental de Sorocaba</v>
      </c>
      <c r="E512" s="8" t="str">
        <f>VLOOKUP($C512,tab_Agências[],3,FALSE)</f>
        <v>Avenida Américo de Carvalho, 820</v>
      </c>
      <c r="F512" s="8" t="str">
        <f>VLOOKUP($C512,tab_Agências[],4,FALSE)</f>
        <v>Jardim Europa</v>
      </c>
      <c r="G512" s="8" t="str">
        <f>VLOOKUP($C512,tab_Agências[],5,FALSE)</f>
        <v>18045-000</v>
      </c>
      <c r="H512" s="8" t="str">
        <f>VLOOKUP($C512,tab_Agências[],6,FALSE)</f>
        <v>Sorocaba</v>
      </c>
      <c r="I512" s="8" t="str">
        <f>VLOOKUP($C512,tab_Agências[],7,FALSE)</f>
        <v>Avenida Américo de Carvalho, 820 - Jardim Europa, Sorocaba, 18045-000</v>
      </c>
      <c r="J512" s="8" t="str">
        <f>VLOOKUP($C512,tab_Agências[],8,FALSE)</f>
        <v>(15) 3222-2065</v>
      </c>
      <c r="K512" s="8" t="str">
        <f>VLOOKUP($C512,tab_Agências[],9,FALSE)</f>
        <v>(15) 3222-2065</v>
      </c>
      <c r="L512" s="8" t="str">
        <f>VLOOKUP($C512,tab_Agências[],10,FALSE)</f>
        <v>sorocaba@cetesbnet.sp.gov.br</v>
      </c>
    </row>
    <row r="513" spans="1:12" x14ac:dyDescent="0.25">
      <c r="A513" s="8">
        <v>3545407</v>
      </c>
      <c r="B513" s="8" t="s">
        <v>1451</v>
      </c>
      <c r="C513" s="9">
        <v>4</v>
      </c>
      <c r="D513" s="10" t="str">
        <f>VLOOKUP($C513,tab_Agências[],2,FALSE)</f>
        <v>Agência Ambiental de Assis</v>
      </c>
      <c r="E513" s="8" t="str">
        <f>VLOOKUP($C513,tab_Agências[],3,FALSE)</f>
        <v>Via Chico Mendes, 75</v>
      </c>
      <c r="F513" s="8" t="str">
        <f>VLOOKUP($C513,tab_Agências[],4,FALSE)</f>
        <v>Quinta dos Flamboyants</v>
      </c>
      <c r="G513" s="8" t="str">
        <f>VLOOKUP($C513,tab_Agências[],5,FALSE)</f>
        <v>19810-005</v>
      </c>
      <c r="H513" s="8" t="str">
        <f>VLOOKUP($C513,tab_Agências[],6,FALSE)</f>
        <v>Assis</v>
      </c>
      <c r="I513" s="8" t="str">
        <f>VLOOKUP($C513,tab_Agências[],7,FALSE)</f>
        <v>Via Chico Mendes, 75 - Quinta dos Flamboyants, Assis, 19810-005</v>
      </c>
      <c r="J513" s="8" t="str">
        <f>VLOOKUP($C513,tab_Agências[],8,FALSE)</f>
        <v>(18) 3324-4177</v>
      </c>
      <c r="K513" s="8" t="str">
        <f>VLOOKUP($C513,tab_Agências[],9,FALSE)</f>
        <v>(18) 3324-4177</v>
      </c>
      <c r="L513" s="8" t="str">
        <f>VLOOKUP($C513,tab_Agências[],10,FALSE)</f>
        <v>assis@cetesbnet.sp.gov.br</v>
      </c>
    </row>
    <row r="514" spans="1:12" x14ac:dyDescent="0.25">
      <c r="A514" s="8">
        <v>3545506</v>
      </c>
      <c r="B514" s="8" t="s">
        <v>1452</v>
      </c>
      <c r="C514" s="9">
        <v>29</v>
      </c>
      <c r="D514" s="10" t="str">
        <f>VLOOKUP($C514,tab_Agências[],2,FALSE)</f>
        <v>Agência Ambiental de Presidente Prudente</v>
      </c>
      <c r="E514" s="8" t="str">
        <f>VLOOKUP($C514,tab_Agências[],3,FALSE)</f>
        <v>Rua João Gonçalves Foz, 1738</v>
      </c>
      <c r="F514" s="8" t="str">
        <f>VLOOKUP($C514,tab_Agências[],4,FALSE)</f>
        <v>Jardim das Rosas</v>
      </c>
      <c r="G514" s="8" t="str">
        <f>VLOOKUP($C514,tab_Agências[],5,FALSE)</f>
        <v>19060-050</v>
      </c>
      <c r="H514" s="8" t="str">
        <f>VLOOKUP($C514,tab_Agências[],6,FALSE)</f>
        <v>Presidente Prudente</v>
      </c>
      <c r="I514" s="8" t="str">
        <f>VLOOKUP($C514,tab_Agências[],7,FALSE)</f>
        <v>Rua João Gonçalves Foz, 1738 - Jardim das Rosas, Presidente Prudente, 19060-050</v>
      </c>
      <c r="J514" s="8" t="str">
        <f>VLOOKUP($C514,tab_Agências[],8,FALSE)</f>
        <v>(18) 3223-5001</v>
      </c>
      <c r="K514" s="8" t="str">
        <f>VLOOKUP($C514,tab_Agências[],9,FALSE)</f>
        <v xml:space="preserve"> </v>
      </c>
      <c r="L514" s="8" t="str">
        <f>VLOOKUP($C514,tab_Agências[],10,FALSE)</f>
        <v>prudente@cetesbnet.sp.gov.br</v>
      </c>
    </row>
    <row r="515" spans="1:12" x14ac:dyDescent="0.25">
      <c r="A515" s="8">
        <v>3545605</v>
      </c>
      <c r="B515" s="8" t="s">
        <v>1453</v>
      </c>
      <c r="C515" s="9">
        <v>36</v>
      </c>
      <c r="D515" s="10" t="str">
        <f>VLOOKUP($C515,tab_Agências[],2,FALSE)</f>
        <v>Agência Ambiental de São José do Rio Preto</v>
      </c>
      <c r="E515" s="8" t="str">
        <f>VLOOKUP($C515,tab_Agências[],3,FALSE)</f>
        <v>Avenida Mário Andreazza,</v>
      </c>
      <c r="F515" s="8" t="str">
        <f>VLOOKUP($C515,tab_Agências[],4,FALSE)</f>
        <v>Jardim São Marcos</v>
      </c>
      <c r="G515" s="8" t="str">
        <f>VLOOKUP($C515,tab_Agências[],5,FALSE)</f>
        <v>15081-490</v>
      </c>
      <c r="H515" s="8" t="str">
        <f>VLOOKUP($C515,tab_Agências[],6,FALSE)</f>
        <v>São José do Rio Preto</v>
      </c>
      <c r="I515" s="8" t="str">
        <f>VLOOKUP($C515,tab_Agências[],7,FALSE)</f>
        <v>Avenida Mário Andreazza, - Jardim São Marcos, São José do Rio Preto, 15081-490</v>
      </c>
      <c r="J515" s="8" t="str">
        <f>VLOOKUP($C515,tab_Agências[],8,FALSE)</f>
        <v>(17) 3218-4300</v>
      </c>
      <c r="K515" s="8" t="str">
        <f>VLOOKUP($C515,tab_Agências[],9,FALSE)</f>
        <v>(17) 3218-4300</v>
      </c>
      <c r="L515" s="8" t="str">
        <f>VLOOKUP($C515,tab_Agências[],10,FALSE)</f>
        <v>riopreto@cetesbnet.sp.gov.br</v>
      </c>
    </row>
    <row r="516" spans="1:12" x14ac:dyDescent="0.25">
      <c r="A516" s="8">
        <v>3545704</v>
      </c>
      <c r="B516" s="8" t="s">
        <v>1454</v>
      </c>
      <c r="C516" s="9">
        <v>20</v>
      </c>
      <c r="D516" s="10" t="str">
        <f>VLOOKUP($C516,tab_Agências[],2,FALSE)</f>
        <v>Agência Ambiental de Jales</v>
      </c>
      <c r="E516" s="8" t="str">
        <f>VLOOKUP($C516,tab_Agências[],3,FALSE)</f>
        <v>Rua Nova Iorque, 1016</v>
      </c>
      <c r="F516" s="8" t="str">
        <f>VLOOKUP($C516,tab_Agências[],4,FALSE)</f>
        <v>Jardim Monte Rrey</v>
      </c>
      <c r="G516" s="8" t="str">
        <f>VLOOKUP($C516,tab_Agências[],5,FALSE)</f>
        <v>15703-326</v>
      </c>
      <c r="H516" s="8" t="str">
        <f>VLOOKUP($C516,tab_Agências[],6,FALSE)</f>
        <v>Jales</v>
      </c>
      <c r="I516" s="8" t="str">
        <f>VLOOKUP($C516,tab_Agências[],7,FALSE)</f>
        <v>Rua Nova Iorque, 1016 - Jardim Monte Rrey, Jales, 15703-326</v>
      </c>
      <c r="J516" s="8" t="str">
        <f>VLOOKUP($C516,tab_Agências[],8,FALSE)</f>
        <v>(17) 3621-1042</v>
      </c>
      <c r="K516" s="8" t="str">
        <f>VLOOKUP($C516,tab_Agências[],9,FALSE)</f>
        <v>(17) 3621-1042</v>
      </c>
      <c r="L516" s="8" t="str">
        <f>VLOOKUP($C516,tab_Agências[],10,FALSE)</f>
        <v>jales@cetesbnet.sp.gov.br</v>
      </c>
    </row>
    <row r="517" spans="1:12" x14ac:dyDescent="0.25">
      <c r="A517" s="8">
        <v>3545803</v>
      </c>
      <c r="B517" s="8" t="s">
        <v>1455</v>
      </c>
      <c r="C517" s="9">
        <v>1</v>
      </c>
      <c r="D517" s="10" t="str">
        <f>VLOOKUP($C517,tab_Agências[],2,FALSE)</f>
        <v>Agência Ambiental de Americana</v>
      </c>
      <c r="E517" s="8" t="str">
        <f>VLOOKUP($C517,tab_Agências[],3,FALSE)</f>
        <v>Rua Florindo Cibin, 435</v>
      </c>
      <c r="F517" s="8" t="str">
        <f>VLOOKUP($C517,tab_Agências[],4,FALSE)</f>
        <v>Vila Medon</v>
      </c>
      <c r="G517" s="8" t="str">
        <f>VLOOKUP($C517,tab_Agências[],5,FALSE)</f>
        <v>13465-230</v>
      </c>
      <c r="H517" s="8" t="str">
        <f>VLOOKUP($C517,tab_Agências[],6,FALSE)</f>
        <v>Americana</v>
      </c>
      <c r="I517" s="8" t="str">
        <f>VLOOKUP($C517,tab_Agências[],7,FALSE)</f>
        <v>Rua Florindo Cibin, 435 - Vila Medon, Americana, 13465-230</v>
      </c>
      <c r="J517" s="8" t="str">
        <f>VLOOKUP($C517,tab_Agências[],8,FALSE)</f>
        <v>(19) 3461-1550</v>
      </c>
      <c r="K517" s="8" t="str">
        <f>VLOOKUP($C517,tab_Agências[],9,FALSE)</f>
        <v>(19) 3461-1550</v>
      </c>
      <c r="L517" s="8" t="str">
        <f>VLOOKUP($C517,tab_Agências[],10,FALSE)</f>
        <v>americana@cetesbnet.sp.gov.br</v>
      </c>
    </row>
    <row r="518" spans="1:12" x14ac:dyDescent="0.25">
      <c r="A518" s="8">
        <v>3546009</v>
      </c>
      <c r="B518" s="8" t="s">
        <v>1456</v>
      </c>
      <c r="C518" s="9">
        <v>37</v>
      </c>
      <c r="D518" s="10" t="str">
        <f>VLOOKUP($C518,tab_Agências[],2,FALSE)</f>
        <v>Agência Ambiental de São José dos Campos</v>
      </c>
      <c r="E518" s="8" t="str">
        <f>VLOOKUP($C518,tab_Agências[],3,FALSE)</f>
        <v>Avenida Olivo Gomes, 100</v>
      </c>
      <c r="F518" s="8" t="str">
        <f>VLOOKUP($C518,tab_Agências[],4,FALSE)</f>
        <v>Parque da Cidade/Santana</v>
      </c>
      <c r="G518" s="8" t="str">
        <f>VLOOKUP($C518,tab_Agências[],5,FALSE)</f>
        <v>12211-115</v>
      </c>
      <c r="H518" s="8" t="str">
        <f>VLOOKUP($C518,tab_Agências[],6,FALSE)</f>
        <v>São José dos Campos</v>
      </c>
      <c r="I518" s="8" t="str">
        <f>VLOOKUP($C518,tab_Agências[],7,FALSE)</f>
        <v>Avenida Olivo Gomes, 100 - Parque da Cidade/Santana, São José dos Campos, 12211-115</v>
      </c>
      <c r="J518" s="8" t="str">
        <f>VLOOKUP($C518,tab_Agências[],8,FALSE)</f>
        <v>(12) 3911-9536</v>
      </c>
      <c r="K518" s="8" t="str">
        <f>VLOOKUP($C518,tab_Agências[],9,FALSE)</f>
        <v>(12) 3911-9536</v>
      </c>
      <c r="L518" s="8" t="str">
        <f>VLOOKUP($C518,tab_Agências[],10,FALSE)</f>
        <v>sjcampos@cetesbnet.sp.gov.br</v>
      </c>
    </row>
    <row r="519" spans="1:12" x14ac:dyDescent="0.25">
      <c r="A519" s="8">
        <v>3546108</v>
      </c>
      <c r="B519" s="8" t="s">
        <v>1457</v>
      </c>
      <c r="C519" s="9">
        <v>20</v>
      </c>
      <c r="D519" s="10" t="str">
        <f>VLOOKUP($C519,tab_Agências[],2,FALSE)</f>
        <v>Agência Ambiental de Jales</v>
      </c>
      <c r="E519" s="8" t="str">
        <f>VLOOKUP($C519,tab_Agências[],3,FALSE)</f>
        <v>Rua Nova Iorque, 1016</v>
      </c>
      <c r="F519" s="8" t="str">
        <f>VLOOKUP($C519,tab_Agências[],4,FALSE)</f>
        <v>Jardim Monte Rrey</v>
      </c>
      <c r="G519" s="8" t="str">
        <f>VLOOKUP($C519,tab_Agências[],5,FALSE)</f>
        <v>15703-326</v>
      </c>
      <c r="H519" s="8" t="str">
        <f>VLOOKUP($C519,tab_Agências[],6,FALSE)</f>
        <v>Jales</v>
      </c>
      <c r="I519" s="8" t="str">
        <f>VLOOKUP($C519,tab_Agências[],7,FALSE)</f>
        <v>Rua Nova Iorque, 1016 - Jardim Monte Rrey, Jales, 15703-326</v>
      </c>
      <c r="J519" s="8" t="str">
        <f>VLOOKUP($C519,tab_Agências[],8,FALSE)</f>
        <v>(17) 3621-1042</v>
      </c>
      <c r="K519" s="8" t="str">
        <f>VLOOKUP($C519,tab_Agências[],9,FALSE)</f>
        <v>(17) 3621-1042</v>
      </c>
      <c r="L519" s="8" t="str">
        <f>VLOOKUP($C519,tab_Agências[],10,FALSE)</f>
        <v>jales@cetesbnet.sp.gov.br</v>
      </c>
    </row>
    <row r="520" spans="1:12" x14ac:dyDescent="0.25">
      <c r="A520" s="8">
        <v>3546207</v>
      </c>
      <c r="B520" s="8" t="s">
        <v>1458</v>
      </c>
      <c r="C520" s="9">
        <v>25</v>
      </c>
      <c r="D520" s="10" t="str">
        <f>VLOOKUP($C520,tab_Agências[],2,FALSE)</f>
        <v>Agência Ambiental de Mogi Guaçu</v>
      </c>
      <c r="E520" s="8" t="str">
        <f>VLOOKUP($C520,tab_Agências[],3,FALSE)</f>
        <v>Rua Hugo Pancieira, 400</v>
      </c>
      <c r="F520" s="8" t="str">
        <f>VLOOKUP($C520,tab_Agências[],4,FALSE)</f>
        <v>Pedregulhal</v>
      </c>
      <c r="G520" s="8" t="str">
        <f>VLOOKUP($C520,tab_Agências[],5,FALSE)</f>
        <v>13845-190</v>
      </c>
      <c r="H520" s="8" t="str">
        <f>VLOOKUP($C520,tab_Agências[],6,FALSE)</f>
        <v>Mogi Guaçu</v>
      </c>
      <c r="I520" s="8" t="str">
        <f>VLOOKUP($C520,tab_Agências[],7,FALSE)</f>
        <v>Rua Hugo Pancieira, 400 - Pedregulhal, Mogi Guaçu, 13845-190</v>
      </c>
      <c r="J520" s="8" t="str">
        <f>VLOOKUP($C520,tab_Agências[],8,FALSE)</f>
        <v>(19) 3818-0396</v>
      </c>
      <c r="K520" s="8" t="str">
        <f>VLOOKUP($C520,tab_Agências[],9,FALSE)</f>
        <v>(19) 3818-0396</v>
      </c>
      <c r="L520" s="8" t="str">
        <f>VLOOKUP($C520,tab_Agências[],10,FALSE)</f>
        <v>mogiguacu@cetesbnet.sp.gov.br</v>
      </c>
    </row>
    <row r="521" spans="1:12" x14ac:dyDescent="0.25">
      <c r="A521" s="8">
        <v>3546256</v>
      </c>
      <c r="B521" s="8" t="s">
        <v>1459</v>
      </c>
      <c r="C521" s="9">
        <v>31</v>
      </c>
      <c r="D521" s="10" t="str">
        <f>VLOOKUP($C521,tab_Agências[],2,FALSE)</f>
        <v>Agência Ambiental de Ribeirão Preto</v>
      </c>
      <c r="E521" s="8" t="str">
        <f>VLOOKUP($C521,tab_Agências[],3,FALSE)</f>
        <v>Avenida Presidente Kennedy, 1760</v>
      </c>
      <c r="F521" s="8" t="str">
        <f>VLOOKUP($C521,tab_Agências[],4,FALSE)</f>
        <v>Ribeirânia</v>
      </c>
      <c r="G521" s="8" t="str">
        <f>VLOOKUP($C521,tab_Agências[],5,FALSE)</f>
        <v>14096-350</v>
      </c>
      <c r="H521" s="8" t="str">
        <f>VLOOKUP($C521,tab_Agências[],6,FALSE)</f>
        <v>Ribeirão Preto</v>
      </c>
      <c r="I521" s="8" t="str">
        <f>VLOOKUP($C521,tab_Agências[],7,FALSE)</f>
        <v>Avenida Presidente Kennedy, 1760 - Ribeirânia, Ribeirão Preto, 14096-350</v>
      </c>
      <c r="J521" s="8" t="str">
        <f>VLOOKUP($C521,tab_Agências[],8,FALSE)</f>
        <v>(16) 3617-4700</v>
      </c>
      <c r="K521" s="8" t="str">
        <f>VLOOKUP($C521,tab_Agências[],9,FALSE)</f>
        <v>(16) 3617-4207</v>
      </c>
      <c r="L521" s="8" t="str">
        <f>VLOOKUP($C521,tab_Agências[],10,FALSE)</f>
        <v>ribeirao@cetesbnet.sp.gov.br</v>
      </c>
    </row>
    <row r="522" spans="1:12" x14ac:dyDescent="0.25">
      <c r="A522" s="8">
        <v>3546306</v>
      </c>
      <c r="B522" s="8" t="s">
        <v>1460</v>
      </c>
      <c r="C522" s="9">
        <v>35</v>
      </c>
      <c r="D522" s="10" t="str">
        <f>VLOOKUP($C522,tab_Agências[],2,FALSE)</f>
        <v>Agência Ambiental de São João da Boa Vista</v>
      </c>
      <c r="E522" s="8" t="str">
        <f>VLOOKUP($C522,tab_Agências[],3,FALSE)</f>
        <v>Rua Marechal Deodoro, 345</v>
      </c>
      <c r="F522" s="8" t="str">
        <f>VLOOKUP($C522,tab_Agências[],4,FALSE)</f>
        <v>Centro</v>
      </c>
      <c r="G522" s="8" t="str">
        <f>VLOOKUP($C522,tab_Agências[],5,FALSE)</f>
        <v>13870-223</v>
      </c>
      <c r="H522" s="8" t="str">
        <f>VLOOKUP($C522,tab_Agências[],6,FALSE)</f>
        <v>São João da Boa Vista</v>
      </c>
      <c r="I522" s="8" t="str">
        <f>VLOOKUP($C522,tab_Agências[],7,FALSE)</f>
        <v>Rua Marechal Deodoro, 345 - Centro, São João da Boa Vista, 13870-223</v>
      </c>
      <c r="J522" s="8" t="str">
        <f>VLOOKUP($C522,tab_Agências[],8,FALSE)</f>
        <v>(19) 3633-1510</v>
      </c>
      <c r="K522" s="8" t="str">
        <f>VLOOKUP($C522,tab_Agências[],9,FALSE)</f>
        <v>(19) 3633-1510</v>
      </c>
      <c r="L522" s="8" t="str">
        <f>VLOOKUP($C522,tab_Agências[],10,FALSE)</f>
        <v>sjboavista@cetesbnet.sp.gov.br</v>
      </c>
    </row>
    <row r="523" spans="1:12" x14ac:dyDescent="0.25">
      <c r="A523" s="8">
        <v>3546405</v>
      </c>
      <c r="B523" s="8" t="s">
        <v>1461</v>
      </c>
      <c r="C523" s="9">
        <v>4</v>
      </c>
      <c r="D523" s="10" t="str">
        <f>VLOOKUP($C523,tab_Agências[],2,FALSE)</f>
        <v>Agência Ambiental de Assis</v>
      </c>
      <c r="E523" s="8" t="str">
        <f>VLOOKUP($C523,tab_Agências[],3,FALSE)</f>
        <v>Via Chico Mendes, 75</v>
      </c>
      <c r="F523" s="8" t="str">
        <f>VLOOKUP($C523,tab_Agências[],4,FALSE)</f>
        <v>Quinta dos Flamboyants</v>
      </c>
      <c r="G523" s="8" t="str">
        <f>VLOOKUP($C523,tab_Agências[],5,FALSE)</f>
        <v>19810-005</v>
      </c>
      <c r="H523" s="8" t="str">
        <f>VLOOKUP($C523,tab_Agências[],6,FALSE)</f>
        <v>Assis</v>
      </c>
      <c r="I523" s="8" t="str">
        <f>VLOOKUP($C523,tab_Agências[],7,FALSE)</f>
        <v>Via Chico Mendes, 75 - Quinta dos Flamboyants, Assis, 19810-005</v>
      </c>
      <c r="J523" s="8" t="str">
        <f>VLOOKUP($C523,tab_Agências[],8,FALSE)</f>
        <v>(18) 3324-4177</v>
      </c>
      <c r="K523" s="8" t="str">
        <f>VLOOKUP($C523,tab_Agências[],9,FALSE)</f>
        <v>(18) 3324-4177</v>
      </c>
      <c r="L523" s="8" t="str">
        <f>VLOOKUP($C523,tab_Agências[],10,FALSE)</f>
        <v>assis@cetesbnet.sp.gov.br</v>
      </c>
    </row>
    <row r="524" spans="1:12" x14ac:dyDescent="0.25">
      <c r="A524" s="8">
        <v>3546504</v>
      </c>
      <c r="B524" s="8" t="s">
        <v>1462</v>
      </c>
      <c r="C524" s="9">
        <v>3</v>
      </c>
      <c r="D524" s="10" t="str">
        <f>VLOOKUP($C524,tab_Agências[],2,FALSE)</f>
        <v>Agência Ambiental de Araraquara</v>
      </c>
      <c r="E524" s="8" t="str">
        <f>VLOOKUP($C524,tab_Agências[],3,FALSE)</f>
        <v>Avenida Castro Alves, 1271</v>
      </c>
      <c r="F524" s="8" t="str">
        <f>VLOOKUP($C524,tab_Agências[],4,FALSE)</f>
        <v>Carmo</v>
      </c>
      <c r="G524" s="8" t="str">
        <f>VLOOKUP($C524,tab_Agências[],5,FALSE)</f>
        <v>14800-140</v>
      </c>
      <c r="H524" s="8" t="str">
        <f>VLOOKUP($C524,tab_Agências[],6,FALSE)</f>
        <v>Araraquara</v>
      </c>
      <c r="I524" s="8" t="str">
        <f>VLOOKUP($C524,tab_Agências[],7,FALSE)</f>
        <v>Avenida Castro Alves, 1271 - Carmo, Araraquara, 14800-140</v>
      </c>
      <c r="J524" s="8" t="str">
        <f>VLOOKUP($C524,tab_Agências[],8,FALSE)</f>
        <v>(16) 3332-2211</v>
      </c>
      <c r="K524" s="8" t="str">
        <f>VLOOKUP($C524,tab_Agências[],9,FALSE)</f>
        <v>(16) 3332-2211</v>
      </c>
      <c r="L524" s="8" t="str">
        <f>VLOOKUP($C524,tab_Agências[],10,FALSE)</f>
        <v>araraquara@cetesbnet.sp.gov.br</v>
      </c>
    </row>
    <row r="525" spans="1:12" x14ac:dyDescent="0.25">
      <c r="A525" s="8">
        <v>3546603</v>
      </c>
      <c r="B525" s="8" t="s">
        <v>1463</v>
      </c>
      <c r="C525" s="9">
        <v>20</v>
      </c>
      <c r="D525" s="10" t="str">
        <f>VLOOKUP($C525,tab_Agências[],2,FALSE)</f>
        <v>Agência Ambiental de Jales</v>
      </c>
      <c r="E525" s="8" t="str">
        <f>VLOOKUP($C525,tab_Agências[],3,FALSE)</f>
        <v>Rua Nova Iorque, 1016</v>
      </c>
      <c r="F525" s="8" t="str">
        <f>VLOOKUP($C525,tab_Agências[],4,FALSE)</f>
        <v>Jardim Monte Rrey</v>
      </c>
      <c r="G525" s="8" t="str">
        <f>VLOOKUP($C525,tab_Agências[],5,FALSE)</f>
        <v>15703-326</v>
      </c>
      <c r="H525" s="8" t="str">
        <f>VLOOKUP($C525,tab_Agências[],6,FALSE)</f>
        <v>Jales</v>
      </c>
      <c r="I525" s="8" t="str">
        <f>VLOOKUP($C525,tab_Agências[],7,FALSE)</f>
        <v>Rua Nova Iorque, 1016 - Jardim Monte Rrey, Jales, 15703-326</v>
      </c>
      <c r="J525" s="8" t="str">
        <f>VLOOKUP($C525,tab_Agências[],8,FALSE)</f>
        <v>(17) 3621-1042</v>
      </c>
      <c r="K525" s="8" t="str">
        <f>VLOOKUP($C525,tab_Agências[],9,FALSE)</f>
        <v>(17) 3621-1042</v>
      </c>
      <c r="L525" s="8" t="str">
        <f>VLOOKUP($C525,tab_Agências[],10,FALSE)</f>
        <v>jales@cetesbnet.sp.gov.br</v>
      </c>
    </row>
    <row r="526" spans="1:12" x14ac:dyDescent="0.25">
      <c r="A526" s="8">
        <v>3546702</v>
      </c>
      <c r="B526" s="8" t="s">
        <v>1464</v>
      </c>
      <c r="C526" s="9">
        <v>22</v>
      </c>
      <c r="D526" s="10" t="str">
        <f>VLOOKUP($C526,tab_Agências[],2,FALSE)</f>
        <v>Agência Ambiental de Limeira</v>
      </c>
      <c r="E526" s="8" t="str">
        <f>VLOOKUP($C526,tab_Agências[],3,FALSE)</f>
        <v>Avenida Vitório Bortolan, 1450</v>
      </c>
      <c r="F526" s="8" t="str">
        <f>VLOOKUP($C526,tab_Agências[],4,FALSE)</f>
        <v>Parque Abílio Pedro</v>
      </c>
      <c r="G526" s="8" t="str">
        <f>VLOOKUP($C526,tab_Agências[],5,FALSE)</f>
        <v>13483-132</v>
      </c>
      <c r="H526" s="8" t="str">
        <f>VLOOKUP($C526,tab_Agências[],6,FALSE)</f>
        <v>Limeira</v>
      </c>
      <c r="I526" s="8" t="str">
        <f>VLOOKUP($C526,tab_Agências[],7,FALSE)</f>
        <v>Avenida Vitório Bortolan, 1450 - Parque Abílio Pedro, Limeira, 13483-132</v>
      </c>
      <c r="J526" s="8" t="str">
        <f>VLOOKUP($C526,tab_Agências[],8,FALSE)</f>
        <v>(19) 3451-6203</v>
      </c>
      <c r="K526" s="8" t="str">
        <f>VLOOKUP($C526,tab_Agências[],9,FALSE)</f>
        <v>(19) 3451-6203</v>
      </c>
      <c r="L526" s="8" t="str">
        <f>VLOOKUP($C526,tab_Agências[],10,FALSE)</f>
        <v>limeira@cetesbnet.sp.gov.br</v>
      </c>
    </row>
    <row r="527" spans="1:12" x14ac:dyDescent="0.25">
      <c r="A527" s="8">
        <v>3546801</v>
      </c>
      <c r="B527" s="8" t="s">
        <v>1465</v>
      </c>
      <c r="C527" s="9">
        <v>24</v>
      </c>
      <c r="D527" s="10" t="str">
        <f>VLOOKUP($C527,tab_Agências[],2,FALSE)</f>
        <v>Agência Ambiental de Mogi das Cruzes</v>
      </c>
      <c r="E527" s="8" t="str">
        <f>VLOOKUP($C527,tab_Agências[],3,FALSE)</f>
        <v>Avenida João XXIII, 165</v>
      </c>
      <c r="F527" s="8" t="str">
        <f>VLOOKUP($C527,tab_Agências[],4,FALSE)</f>
        <v>Socorro</v>
      </c>
      <c r="G527" s="8" t="str">
        <f>VLOOKUP($C527,tab_Agências[],5,FALSE)</f>
        <v>08830-000</v>
      </c>
      <c r="H527" s="8" t="str">
        <f>VLOOKUP($C527,tab_Agências[],6,FALSE)</f>
        <v>Mogi das Cruzes</v>
      </c>
      <c r="I527" s="8" t="str">
        <f>VLOOKUP($C527,tab_Agências[],7,FALSE)</f>
        <v>Avenida João XXIII, 165 - Socorro, Mogi das Cruzes, 08830-000</v>
      </c>
      <c r="J527" s="8" t="str">
        <f>VLOOKUP($C527,tab_Agências[],8,FALSE)</f>
        <v>(11) 4725-7490</v>
      </c>
      <c r="K527" s="8" t="str">
        <f>VLOOKUP($C527,tab_Agências[],9,FALSE)</f>
        <v xml:space="preserve"> </v>
      </c>
      <c r="L527" s="8" t="str">
        <f>VLOOKUP($C527,tab_Agências[],10,FALSE)</f>
        <v>mogi@cetesbnet.sp.gov.br</v>
      </c>
    </row>
    <row r="528" spans="1:12" x14ac:dyDescent="0.25">
      <c r="A528" s="8">
        <v>3546900</v>
      </c>
      <c r="B528" s="8" t="s">
        <v>1466</v>
      </c>
      <c r="C528" s="9">
        <v>3</v>
      </c>
      <c r="D528" s="10" t="str">
        <f>VLOOKUP($C528,tab_Agências[],2,FALSE)</f>
        <v>Agência Ambiental de Araraquara</v>
      </c>
      <c r="E528" s="8" t="str">
        <f>VLOOKUP($C528,tab_Agências[],3,FALSE)</f>
        <v>Avenida Castro Alves, 1271</v>
      </c>
      <c r="F528" s="8" t="str">
        <f>VLOOKUP($C528,tab_Agências[],4,FALSE)</f>
        <v>Carmo</v>
      </c>
      <c r="G528" s="8" t="str">
        <f>VLOOKUP($C528,tab_Agências[],5,FALSE)</f>
        <v>14800-140</v>
      </c>
      <c r="H528" s="8" t="str">
        <f>VLOOKUP($C528,tab_Agências[],6,FALSE)</f>
        <v>Araraquara</v>
      </c>
      <c r="I528" s="8" t="str">
        <f>VLOOKUP($C528,tab_Agências[],7,FALSE)</f>
        <v>Avenida Castro Alves, 1271 - Carmo, Araraquara, 14800-140</v>
      </c>
      <c r="J528" s="8" t="str">
        <f>VLOOKUP($C528,tab_Agências[],8,FALSE)</f>
        <v>(16) 3332-2211</v>
      </c>
      <c r="K528" s="8" t="str">
        <f>VLOOKUP($C528,tab_Agências[],9,FALSE)</f>
        <v>(16) 3332-2211</v>
      </c>
      <c r="L528" s="8" t="str">
        <f>VLOOKUP($C528,tab_Agências[],10,FALSE)</f>
        <v>araraquara@cetesbnet.sp.gov.br</v>
      </c>
    </row>
    <row r="529" spans="1:12" x14ac:dyDescent="0.25">
      <c r="A529" s="8">
        <v>3547007</v>
      </c>
      <c r="B529" s="8" t="s">
        <v>1467</v>
      </c>
      <c r="C529" s="9">
        <v>28</v>
      </c>
      <c r="D529" s="10" t="str">
        <f>VLOOKUP($C529,tab_Agências[],2,FALSE)</f>
        <v>Agência Ambiental de Piracicaba</v>
      </c>
      <c r="E529" s="8" t="str">
        <f>VLOOKUP($C529,tab_Agências[],3,FALSE)</f>
        <v>Rua do Rosário, 566</v>
      </c>
      <c r="F529" s="8" t="str">
        <f>VLOOKUP($C529,tab_Agências[],4,FALSE)</f>
        <v>Centro</v>
      </c>
      <c r="G529" s="8" t="str">
        <f>VLOOKUP($C529,tab_Agências[],5,FALSE)</f>
        <v>13400-183</v>
      </c>
      <c r="H529" s="8" t="str">
        <f>VLOOKUP($C529,tab_Agências[],6,FALSE)</f>
        <v>Piracicaba</v>
      </c>
      <c r="I529" s="8" t="str">
        <f>VLOOKUP($C529,tab_Agências[],7,FALSE)</f>
        <v>Rua do Rosário, 566 - Centro, Piracicaba, 13400-183</v>
      </c>
      <c r="J529" s="8" t="str">
        <f>VLOOKUP($C529,tab_Agências[],8,FALSE)</f>
        <v>(19) 3402-6863</v>
      </c>
      <c r="K529" s="8" t="str">
        <f>VLOOKUP($C529,tab_Agências[],9,FALSE)</f>
        <v>(19) 3402-6863</v>
      </c>
      <c r="L529" s="8" t="str">
        <f>VLOOKUP($C529,tab_Agências[],10,FALSE)</f>
        <v>piracicaba@cetesbnet.sp.gov.br</v>
      </c>
    </row>
    <row r="530" spans="1:12" x14ac:dyDescent="0.25">
      <c r="A530" s="8">
        <v>3547106</v>
      </c>
      <c r="B530" s="8" t="s">
        <v>1468</v>
      </c>
      <c r="C530" s="9">
        <v>13</v>
      </c>
      <c r="D530" s="10" t="str">
        <f>VLOOKUP($C530,tab_Agências[],2,FALSE)</f>
        <v>Agência Ambiental de Dracena</v>
      </c>
      <c r="E530" s="8" t="str">
        <f>VLOOKUP($C530,tab_Agências[],3,FALSE)</f>
        <v>Rua Tomé de Souza, 438</v>
      </c>
      <c r="F530" s="8" t="str">
        <f>VLOOKUP($C530,tab_Agências[],4,FALSE)</f>
        <v>Centro</v>
      </c>
      <c r="G530" s="8" t="str">
        <f>VLOOKUP($C530,tab_Agências[],5,FALSE)</f>
        <v>17900-000</v>
      </c>
      <c r="H530" s="8" t="str">
        <f>VLOOKUP($C530,tab_Agências[],6,FALSE)</f>
        <v>Dracena</v>
      </c>
      <c r="I530" s="8" t="str">
        <f>VLOOKUP($C530,tab_Agências[],7,FALSE)</f>
        <v>Rua Tomé de Souza, 438 - Centro, Dracena, 17900-000</v>
      </c>
      <c r="J530" s="8" t="str">
        <f>VLOOKUP($C530,tab_Agências[],8,FALSE)</f>
        <v>(18) 3822-3166</v>
      </c>
      <c r="K530" s="8" t="str">
        <f>VLOOKUP($C530,tab_Agências[],9,FALSE)</f>
        <v>(18) 3822-3166</v>
      </c>
      <c r="L530" s="8" t="str">
        <f>VLOOKUP($C530,tab_Agências[],10,FALSE)</f>
        <v>dracena@cetesbnet.sp.gov.br</v>
      </c>
    </row>
    <row r="531" spans="1:12" x14ac:dyDescent="0.25">
      <c r="A531" s="8">
        <v>3547502</v>
      </c>
      <c r="B531" s="8" t="s">
        <v>1469</v>
      </c>
      <c r="C531" s="9">
        <v>31</v>
      </c>
      <c r="D531" s="10" t="str">
        <f>VLOOKUP($C531,tab_Agências[],2,FALSE)</f>
        <v>Agência Ambiental de Ribeirão Preto</v>
      </c>
      <c r="E531" s="8" t="str">
        <f>VLOOKUP($C531,tab_Agências[],3,FALSE)</f>
        <v>Avenida Presidente Kennedy, 1760</v>
      </c>
      <c r="F531" s="8" t="str">
        <f>VLOOKUP($C531,tab_Agências[],4,FALSE)</f>
        <v>Ribeirânia</v>
      </c>
      <c r="G531" s="8" t="str">
        <f>VLOOKUP($C531,tab_Agências[],5,FALSE)</f>
        <v>14096-350</v>
      </c>
      <c r="H531" s="8" t="str">
        <f>VLOOKUP($C531,tab_Agências[],6,FALSE)</f>
        <v>Ribeirão Preto</v>
      </c>
      <c r="I531" s="8" t="str">
        <f>VLOOKUP($C531,tab_Agências[],7,FALSE)</f>
        <v>Avenida Presidente Kennedy, 1760 - Ribeirânia, Ribeirão Preto, 14096-350</v>
      </c>
      <c r="J531" s="8" t="str">
        <f>VLOOKUP($C531,tab_Agências[],8,FALSE)</f>
        <v>(16) 3617-4700</v>
      </c>
      <c r="K531" s="8" t="str">
        <f>VLOOKUP($C531,tab_Agências[],9,FALSE)</f>
        <v>(16) 3617-4207</v>
      </c>
      <c r="L531" s="8" t="str">
        <f>VLOOKUP($C531,tab_Agências[],10,FALSE)</f>
        <v>ribeirao@cetesbnet.sp.gov.br</v>
      </c>
    </row>
    <row r="532" spans="1:12" x14ac:dyDescent="0.25">
      <c r="A532" s="8">
        <v>3547403</v>
      </c>
      <c r="B532" s="8" t="s">
        <v>1470</v>
      </c>
      <c r="C532" s="9">
        <v>20</v>
      </c>
      <c r="D532" s="10" t="str">
        <f>VLOOKUP($C532,tab_Agências[],2,FALSE)</f>
        <v>Agência Ambiental de Jales</v>
      </c>
      <c r="E532" s="8" t="str">
        <f>VLOOKUP($C532,tab_Agências[],3,FALSE)</f>
        <v>Rua Nova Iorque, 1016</v>
      </c>
      <c r="F532" s="8" t="str">
        <f>VLOOKUP($C532,tab_Agências[],4,FALSE)</f>
        <v>Jardim Monte Rrey</v>
      </c>
      <c r="G532" s="8" t="str">
        <f>VLOOKUP($C532,tab_Agências[],5,FALSE)</f>
        <v>15703-326</v>
      </c>
      <c r="H532" s="8" t="str">
        <f>VLOOKUP($C532,tab_Agências[],6,FALSE)</f>
        <v>Jales</v>
      </c>
      <c r="I532" s="8" t="str">
        <f>VLOOKUP($C532,tab_Agências[],7,FALSE)</f>
        <v>Rua Nova Iorque, 1016 - Jardim Monte Rrey, Jales, 15703-326</v>
      </c>
      <c r="J532" s="8" t="str">
        <f>VLOOKUP($C532,tab_Agências[],8,FALSE)</f>
        <v>(17) 3621-1042</v>
      </c>
      <c r="K532" s="8" t="str">
        <f>VLOOKUP($C532,tab_Agências[],9,FALSE)</f>
        <v>(17) 3621-1042</v>
      </c>
      <c r="L532" s="8" t="str">
        <f>VLOOKUP($C532,tab_Agências[],10,FALSE)</f>
        <v>jales@cetesbnet.sp.gov.br</v>
      </c>
    </row>
    <row r="533" spans="1:12" x14ac:dyDescent="0.25">
      <c r="A533" s="8">
        <v>3547601</v>
      </c>
      <c r="B533" s="8" t="s">
        <v>1471</v>
      </c>
      <c r="C533" s="9">
        <v>31</v>
      </c>
      <c r="D533" s="10" t="str">
        <f>VLOOKUP($C533,tab_Agências[],2,FALSE)</f>
        <v>Agência Ambiental de Ribeirão Preto</v>
      </c>
      <c r="E533" s="8" t="str">
        <f>VLOOKUP($C533,tab_Agências[],3,FALSE)</f>
        <v>Avenida Presidente Kennedy, 1760</v>
      </c>
      <c r="F533" s="8" t="str">
        <f>VLOOKUP($C533,tab_Agências[],4,FALSE)</f>
        <v>Ribeirânia</v>
      </c>
      <c r="G533" s="8" t="str">
        <f>VLOOKUP($C533,tab_Agências[],5,FALSE)</f>
        <v>14096-350</v>
      </c>
      <c r="H533" s="8" t="str">
        <f>VLOOKUP($C533,tab_Agências[],6,FALSE)</f>
        <v>Ribeirão Preto</v>
      </c>
      <c r="I533" s="8" t="str">
        <f>VLOOKUP($C533,tab_Agências[],7,FALSE)</f>
        <v>Avenida Presidente Kennedy, 1760 - Ribeirânia, Ribeirão Preto, 14096-350</v>
      </c>
      <c r="J533" s="8" t="str">
        <f>VLOOKUP($C533,tab_Agências[],8,FALSE)</f>
        <v>(16) 3617-4700</v>
      </c>
      <c r="K533" s="8" t="str">
        <f>VLOOKUP($C533,tab_Agências[],9,FALSE)</f>
        <v>(16) 3617-4207</v>
      </c>
      <c r="L533" s="8" t="str">
        <f>VLOOKUP($C533,tab_Agências[],10,FALSE)</f>
        <v>ribeirao@cetesbnet.sp.gov.br</v>
      </c>
    </row>
    <row r="534" spans="1:12" x14ac:dyDescent="0.25">
      <c r="A534" s="8">
        <v>3547650</v>
      </c>
      <c r="B534" s="8" t="s">
        <v>1472</v>
      </c>
      <c r="C534" s="9">
        <v>20</v>
      </c>
      <c r="D534" s="10" t="str">
        <f>VLOOKUP($C534,tab_Agências[],2,FALSE)</f>
        <v>Agência Ambiental de Jales</v>
      </c>
      <c r="E534" s="8" t="str">
        <f>VLOOKUP($C534,tab_Agências[],3,FALSE)</f>
        <v>Rua Nova Iorque, 1016</v>
      </c>
      <c r="F534" s="8" t="str">
        <f>VLOOKUP($C534,tab_Agências[],4,FALSE)</f>
        <v>Jardim Monte Rrey</v>
      </c>
      <c r="G534" s="8" t="str">
        <f>VLOOKUP($C534,tab_Agências[],5,FALSE)</f>
        <v>15703-326</v>
      </c>
      <c r="H534" s="8" t="str">
        <f>VLOOKUP($C534,tab_Agências[],6,FALSE)</f>
        <v>Jales</v>
      </c>
      <c r="I534" s="8" t="str">
        <f>VLOOKUP($C534,tab_Agências[],7,FALSE)</f>
        <v>Rua Nova Iorque, 1016 - Jardim Monte Rrey, Jales, 15703-326</v>
      </c>
      <c r="J534" s="8" t="str">
        <f>VLOOKUP($C534,tab_Agências[],8,FALSE)</f>
        <v>(17) 3621-1042</v>
      </c>
      <c r="K534" s="8" t="str">
        <f>VLOOKUP($C534,tab_Agências[],9,FALSE)</f>
        <v>(17) 3621-1042</v>
      </c>
      <c r="L534" s="8" t="str">
        <f>VLOOKUP($C534,tab_Agências[],10,FALSE)</f>
        <v>jales@cetesbnet.sp.gov.br</v>
      </c>
    </row>
    <row r="535" spans="1:12" x14ac:dyDescent="0.25">
      <c r="A535" s="8">
        <v>3547205</v>
      </c>
      <c r="B535" s="8" t="s">
        <v>1473</v>
      </c>
      <c r="C535" s="9">
        <v>20</v>
      </c>
      <c r="D535" s="10" t="str">
        <f>VLOOKUP($C535,tab_Agências[],2,FALSE)</f>
        <v>Agência Ambiental de Jales</v>
      </c>
      <c r="E535" s="8" t="str">
        <f>VLOOKUP($C535,tab_Agências[],3,FALSE)</f>
        <v>Rua Nova Iorque, 1016</v>
      </c>
      <c r="F535" s="8" t="str">
        <f>VLOOKUP($C535,tab_Agências[],4,FALSE)</f>
        <v>Jardim Monte Rrey</v>
      </c>
      <c r="G535" s="8" t="str">
        <f>VLOOKUP($C535,tab_Agências[],5,FALSE)</f>
        <v>15703-326</v>
      </c>
      <c r="H535" s="8" t="str">
        <f>VLOOKUP($C535,tab_Agências[],6,FALSE)</f>
        <v>Jales</v>
      </c>
      <c r="I535" s="8" t="str">
        <f>VLOOKUP($C535,tab_Agências[],7,FALSE)</f>
        <v>Rua Nova Iorque, 1016 - Jardim Monte Rrey, Jales, 15703-326</v>
      </c>
      <c r="J535" s="8" t="str">
        <f>VLOOKUP($C535,tab_Agências[],8,FALSE)</f>
        <v>(17) 3621-1042</v>
      </c>
      <c r="K535" s="8" t="str">
        <f>VLOOKUP($C535,tab_Agências[],9,FALSE)</f>
        <v>(17) 3621-1042</v>
      </c>
      <c r="L535" s="8" t="str">
        <f>VLOOKUP($C535,tab_Agências[],10,FALSE)</f>
        <v>jales@cetesbnet.sp.gov.br</v>
      </c>
    </row>
    <row r="536" spans="1:12" x14ac:dyDescent="0.25">
      <c r="A536" s="8">
        <v>3547304</v>
      </c>
      <c r="B536" s="8" t="s">
        <v>1474</v>
      </c>
      <c r="C536" s="9">
        <v>26</v>
      </c>
      <c r="D536" s="10" t="str">
        <f>VLOOKUP($C536,tab_Agências[],2,FALSE)</f>
        <v>Agência Ambiental de Osasco</v>
      </c>
      <c r="E536" s="8" t="str">
        <f>VLOOKUP($C536,tab_Agências[],3,FALSE)</f>
        <v>Rua Anete Queiroz Lacerda, 80</v>
      </c>
      <c r="F536" s="8" t="str">
        <f>VLOOKUP($C536,tab_Agências[],4,FALSE)</f>
        <v>Butantã</v>
      </c>
      <c r="G536" s="8" t="str">
        <f>VLOOKUP($C536,tab_Agências[],5,FALSE)</f>
        <v>05591-080</v>
      </c>
      <c r="H536" s="8" t="str">
        <f>VLOOKUP($C536,tab_Agências[],6,FALSE)</f>
        <v>São Paulo</v>
      </c>
      <c r="I536" s="8" t="str">
        <f>VLOOKUP($C536,tab_Agências[],7,FALSE)</f>
        <v>Rua Anete Queiroz Lacerda, 80 - Butantã, São Paulo, 05591-080</v>
      </c>
      <c r="J536" s="8" t="str">
        <f>VLOOKUP($C536,tab_Agências[],8,FALSE)</f>
        <v>(11) 3721-9600</v>
      </c>
      <c r="K536" s="8" t="str">
        <f>VLOOKUP($C536,tab_Agências[],9,FALSE)</f>
        <v>(11) 3721-9600</v>
      </c>
      <c r="L536" s="8" t="str">
        <f>VLOOKUP($C536,tab_Agências[],10,FALSE)</f>
        <v>osasco@cetesbnet.sp.gov.br</v>
      </c>
    </row>
    <row r="537" spans="1:12" x14ac:dyDescent="0.25">
      <c r="A537" s="8">
        <v>3547700</v>
      </c>
      <c r="B537" s="8" t="s">
        <v>1475</v>
      </c>
      <c r="C537" s="9">
        <v>29</v>
      </c>
      <c r="D537" s="10" t="str">
        <f>VLOOKUP($C537,tab_Agências[],2,FALSE)</f>
        <v>Agência Ambiental de Presidente Prudente</v>
      </c>
      <c r="E537" s="8" t="str">
        <f>VLOOKUP($C537,tab_Agências[],3,FALSE)</f>
        <v>Rua João Gonçalves Foz, 1738</v>
      </c>
      <c r="F537" s="8" t="str">
        <f>VLOOKUP($C537,tab_Agências[],4,FALSE)</f>
        <v>Jardim das Rosas</v>
      </c>
      <c r="G537" s="8" t="str">
        <f>VLOOKUP($C537,tab_Agências[],5,FALSE)</f>
        <v>19060-050</v>
      </c>
      <c r="H537" s="8" t="str">
        <f>VLOOKUP($C537,tab_Agências[],6,FALSE)</f>
        <v>Presidente Prudente</v>
      </c>
      <c r="I537" s="8" t="str">
        <f>VLOOKUP($C537,tab_Agências[],7,FALSE)</f>
        <v>Rua João Gonçalves Foz, 1738 - Jardim das Rosas, Presidente Prudente, 19060-050</v>
      </c>
      <c r="J537" s="8" t="str">
        <f>VLOOKUP($C537,tab_Agências[],8,FALSE)</f>
        <v>(18) 3223-5001</v>
      </c>
      <c r="K537" s="8" t="str">
        <f>VLOOKUP($C537,tab_Agências[],9,FALSE)</f>
        <v xml:space="preserve"> </v>
      </c>
      <c r="L537" s="8" t="str">
        <f>VLOOKUP($C537,tab_Agências[],10,FALSE)</f>
        <v>prudente@cetesbnet.sp.gov.br</v>
      </c>
    </row>
    <row r="538" spans="1:12" x14ac:dyDescent="0.25">
      <c r="A538" s="8">
        <v>3547809</v>
      </c>
      <c r="B538" s="8" t="s">
        <v>1476</v>
      </c>
      <c r="C538" s="9">
        <v>42</v>
      </c>
      <c r="D538" s="10" t="str">
        <f>VLOOKUP($C538,tab_Agências[],2,FALSE)</f>
        <v>Agência Ambiental do ABC I</v>
      </c>
      <c r="E538" s="8" t="str">
        <f>VLOOKUP($C538,tab_Agências[],3,FALSE)</f>
        <v>Rua dos Vianas, 625</v>
      </c>
      <c r="F538" s="8" t="str">
        <f>VLOOKUP($C538,tab_Agências[],4,FALSE)</f>
        <v>Baeta Neves</v>
      </c>
      <c r="G538" s="8" t="str">
        <f>VLOOKUP($C538,tab_Agências[],5,FALSE)</f>
        <v>09760-040</v>
      </c>
      <c r="H538" s="8" t="str">
        <f>VLOOKUP($C538,tab_Agências[],6,FALSE)</f>
        <v>São Bernardo do Campo</v>
      </c>
      <c r="I538" s="8" t="str">
        <f>VLOOKUP($C538,tab_Agências[],7,FALSE)</f>
        <v>Rua dos Vianas, 625 - Baeta Neves, São Bernardo do Campo, 09760-040</v>
      </c>
      <c r="J538" s="8" t="str">
        <f>VLOOKUP($C538,tab_Agências[],8,FALSE)</f>
        <v>(11) 4123-4555</v>
      </c>
      <c r="K538" s="8" t="str">
        <f>VLOOKUP($C538,tab_Agências[],9,FALSE)</f>
        <v>(11) 4123-4555</v>
      </c>
      <c r="L538" s="8" t="str">
        <f>VLOOKUP($C538,tab_Agências[],10,FALSE)</f>
        <v>abc1@cetesbnet.sp.gov.br</v>
      </c>
    </row>
    <row r="539" spans="1:12" x14ac:dyDescent="0.25">
      <c r="A539" s="8">
        <v>3547908</v>
      </c>
      <c r="B539" s="8" t="s">
        <v>1477</v>
      </c>
      <c r="C539" s="9">
        <v>31</v>
      </c>
      <c r="D539" s="10" t="str">
        <f>VLOOKUP($C539,tab_Agências[],2,FALSE)</f>
        <v>Agência Ambiental de Ribeirão Preto</v>
      </c>
      <c r="E539" s="8" t="str">
        <f>VLOOKUP($C539,tab_Agências[],3,FALSE)</f>
        <v>Avenida Presidente Kennedy, 1760</v>
      </c>
      <c r="F539" s="8" t="str">
        <f>VLOOKUP($C539,tab_Agências[],4,FALSE)</f>
        <v>Ribeirânia</v>
      </c>
      <c r="G539" s="8" t="str">
        <f>VLOOKUP($C539,tab_Agências[],5,FALSE)</f>
        <v>14096-350</v>
      </c>
      <c r="H539" s="8" t="str">
        <f>VLOOKUP($C539,tab_Agências[],6,FALSE)</f>
        <v>Ribeirão Preto</v>
      </c>
      <c r="I539" s="8" t="str">
        <f>VLOOKUP($C539,tab_Agências[],7,FALSE)</f>
        <v>Avenida Presidente Kennedy, 1760 - Ribeirânia, Ribeirão Preto, 14096-350</v>
      </c>
      <c r="J539" s="8" t="str">
        <f>VLOOKUP($C539,tab_Agências[],8,FALSE)</f>
        <v>(16) 3617-4700</v>
      </c>
      <c r="K539" s="8" t="str">
        <f>VLOOKUP($C539,tab_Agências[],9,FALSE)</f>
        <v>(16) 3617-4207</v>
      </c>
      <c r="L539" s="8" t="str">
        <f>VLOOKUP($C539,tab_Agências[],10,FALSE)</f>
        <v>ribeirao@cetesbnet.sp.gov.br</v>
      </c>
    </row>
    <row r="540" spans="1:12" x14ac:dyDescent="0.25">
      <c r="A540" s="8">
        <v>3548005</v>
      </c>
      <c r="B540" s="8" t="s">
        <v>1478</v>
      </c>
      <c r="C540" s="9">
        <v>27</v>
      </c>
      <c r="D540" s="10" t="str">
        <f>VLOOKUP($C540,tab_Agências[],2,FALSE)</f>
        <v>Agência Ambiental de Paulínia</v>
      </c>
      <c r="E540" s="8" t="str">
        <f>VLOOKUP($C540,tab_Agências[],3,FALSE)</f>
        <v>Rua Angelo Varandas, 550</v>
      </c>
      <c r="F540" s="8" t="str">
        <f>VLOOKUP($C540,tab_Agências[],4,FALSE)</f>
        <v>Jardim Santa Terezinha</v>
      </c>
      <c r="G540" s="8" t="str">
        <f>VLOOKUP($C540,tab_Agências[],5,FALSE)</f>
        <v>13140-802</v>
      </c>
      <c r="H540" s="8" t="str">
        <f>VLOOKUP($C540,tab_Agências[],6,FALSE)</f>
        <v>Paulínia</v>
      </c>
      <c r="I540" s="8" t="str">
        <f>VLOOKUP($C540,tab_Agências[],7,FALSE)</f>
        <v>Rua Angelo Varandas, 550 - Jardim Santa Terezinha, Paulínia, 13140-802</v>
      </c>
      <c r="J540" s="8" t="str">
        <f>VLOOKUP($C540,tab_Agências[],8,FALSE)</f>
        <v>(19) 3844-0466</v>
      </c>
      <c r="K540" s="8" t="str">
        <f>VLOOKUP($C540,tab_Agências[],9,FALSE)</f>
        <v>(19) 3844-0466</v>
      </c>
      <c r="L540" s="8" t="str">
        <f>VLOOKUP($C540,tab_Agências[],10,FALSE)</f>
        <v>paulinia@cetesbnet.sp.gov.br</v>
      </c>
    </row>
    <row r="541" spans="1:12" x14ac:dyDescent="0.25">
      <c r="A541" s="8">
        <v>3548054</v>
      </c>
      <c r="B541" s="8" t="s">
        <v>1479</v>
      </c>
      <c r="C541" s="9">
        <v>2</v>
      </c>
      <c r="D541" s="10" t="str">
        <f>VLOOKUP($C541,tab_Agências[],2,FALSE)</f>
        <v>Agência Ambiental de Araçatuba</v>
      </c>
      <c r="E541" s="8" t="str">
        <f>VLOOKUP($C541,tab_Agências[],3,FALSE)</f>
        <v>Rua Ten. Alcides Teodoro dos Santos, 260</v>
      </c>
      <c r="F541" s="8" t="str">
        <f>VLOOKUP($C541,tab_Agências[],4,FALSE)</f>
        <v>Aviação</v>
      </c>
      <c r="G541" s="8" t="str">
        <f>VLOOKUP($C541,tab_Agências[],5,FALSE)</f>
        <v>16055-557</v>
      </c>
      <c r="H541" s="8" t="str">
        <f>VLOOKUP($C541,tab_Agências[],6,FALSE)</f>
        <v>Araçatuba</v>
      </c>
      <c r="I541" s="8" t="str">
        <f>VLOOKUP($C541,tab_Agências[],7,FALSE)</f>
        <v>Rua Ten. Alcides Teodoro dos Santos, 260 - Aviação, Araçatuba, 16055-557</v>
      </c>
      <c r="J541" s="8" t="str">
        <f>VLOOKUP($C541,tab_Agências[],8,FALSE)</f>
        <v>(18) 3608-8053</v>
      </c>
      <c r="K541" s="8" t="str">
        <f>VLOOKUP($C541,tab_Agências[],9,FALSE)</f>
        <v>(18) 3608-7197</v>
      </c>
      <c r="L541" s="8" t="str">
        <f>VLOOKUP($C541,tab_Agências[],10,FALSE)</f>
        <v>aracatuba@cetesbnet.sp.gov.br</v>
      </c>
    </row>
    <row r="542" spans="1:12" x14ac:dyDescent="0.25">
      <c r="A542" s="8">
        <v>3548104</v>
      </c>
      <c r="B542" s="8" t="s">
        <v>1480</v>
      </c>
      <c r="C542" s="9">
        <v>35</v>
      </c>
      <c r="D542" s="10" t="str">
        <f>VLOOKUP($C542,tab_Agências[],2,FALSE)</f>
        <v>Agência Ambiental de São João da Boa Vista</v>
      </c>
      <c r="E542" s="8" t="str">
        <f>VLOOKUP($C542,tab_Agências[],3,FALSE)</f>
        <v>Rua Marechal Deodoro, 345</v>
      </c>
      <c r="F542" s="8" t="str">
        <f>VLOOKUP($C542,tab_Agências[],4,FALSE)</f>
        <v>Centro</v>
      </c>
      <c r="G542" s="8" t="str">
        <f>VLOOKUP($C542,tab_Agências[],5,FALSE)</f>
        <v>13870-223</v>
      </c>
      <c r="H542" s="8" t="str">
        <f>VLOOKUP($C542,tab_Agências[],6,FALSE)</f>
        <v>São João da Boa Vista</v>
      </c>
      <c r="I542" s="8" t="str">
        <f>VLOOKUP($C542,tab_Agências[],7,FALSE)</f>
        <v>Rua Marechal Deodoro, 345 - Centro, São João da Boa Vista, 13870-223</v>
      </c>
      <c r="J542" s="8" t="str">
        <f>VLOOKUP($C542,tab_Agências[],8,FALSE)</f>
        <v>(19) 3633-1510</v>
      </c>
      <c r="K542" s="8" t="str">
        <f>VLOOKUP($C542,tab_Agências[],9,FALSE)</f>
        <v>(19) 3633-1510</v>
      </c>
      <c r="L542" s="8" t="str">
        <f>VLOOKUP($C542,tab_Agências[],10,FALSE)</f>
        <v>sjboavista@cetesbnet.sp.gov.br</v>
      </c>
    </row>
    <row r="543" spans="1:12" x14ac:dyDescent="0.25">
      <c r="A543" s="8">
        <v>3548203</v>
      </c>
      <c r="B543" s="8" t="s">
        <v>1481</v>
      </c>
      <c r="C543" s="9">
        <v>40</v>
      </c>
      <c r="D543" s="10" t="str">
        <f>VLOOKUP($C543,tab_Agências[],2,FALSE)</f>
        <v>Agência Ambiental de Taubaté</v>
      </c>
      <c r="E543" s="8" t="str">
        <f>VLOOKUP($C543,tab_Agências[],3,FALSE)</f>
        <v>Avenida Itambé, 38</v>
      </c>
      <c r="F543" s="8" t="str">
        <f>VLOOKUP($C543,tab_Agências[],4,FALSE)</f>
        <v>Sta. Luzia</v>
      </c>
      <c r="G543" s="8" t="str">
        <f>VLOOKUP($C543,tab_Agências[],5,FALSE)</f>
        <v>12091-200</v>
      </c>
      <c r="H543" s="8" t="str">
        <f>VLOOKUP($C543,tab_Agências[],6,FALSE)</f>
        <v>Taubaté</v>
      </c>
      <c r="I543" s="8" t="str">
        <f>VLOOKUP($C543,tab_Agências[],7,FALSE)</f>
        <v>Avenida Itambé, 38 - Sta. Luzia, Taubaté, 12091-200</v>
      </c>
      <c r="J543" s="8" t="str">
        <f>VLOOKUP($C543,tab_Agências[],8,FALSE)</f>
        <v>(12) 3634-8222</v>
      </c>
      <c r="K543" s="8" t="str">
        <f>VLOOKUP($C543,tab_Agências[],9,FALSE)</f>
        <v>(12) 3634-8234</v>
      </c>
      <c r="L543" s="8" t="str">
        <f>VLOOKUP($C543,tab_Agências[],10,FALSE)</f>
        <v>taubate@cetesbnet.sp.gov.br</v>
      </c>
    </row>
    <row r="544" spans="1:12" x14ac:dyDescent="0.25">
      <c r="A544" s="8">
        <v>3548302</v>
      </c>
      <c r="B544" s="8" t="s">
        <v>1482</v>
      </c>
      <c r="C544" s="9">
        <v>29</v>
      </c>
      <c r="D544" s="10" t="str">
        <f>VLOOKUP($C544,tab_Agências[],2,FALSE)</f>
        <v>Agência Ambiental de Presidente Prudente</v>
      </c>
      <c r="E544" s="8" t="str">
        <f>VLOOKUP($C544,tab_Agências[],3,FALSE)</f>
        <v>Rua João Gonçalves Foz, 1738</v>
      </c>
      <c r="F544" s="8" t="str">
        <f>VLOOKUP($C544,tab_Agências[],4,FALSE)</f>
        <v>Jardim das Rosas</v>
      </c>
      <c r="G544" s="8" t="str">
        <f>VLOOKUP($C544,tab_Agências[],5,FALSE)</f>
        <v>19060-050</v>
      </c>
      <c r="H544" s="8" t="str">
        <f>VLOOKUP($C544,tab_Agências[],6,FALSE)</f>
        <v>Presidente Prudente</v>
      </c>
      <c r="I544" s="8" t="str">
        <f>VLOOKUP($C544,tab_Agências[],7,FALSE)</f>
        <v>Rua João Gonçalves Foz, 1738 - Jardim das Rosas, Presidente Prudente, 19060-050</v>
      </c>
      <c r="J544" s="8" t="str">
        <f>VLOOKUP($C544,tab_Agências[],8,FALSE)</f>
        <v>(18) 3223-5001</v>
      </c>
      <c r="K544" s="8" t="str">
        <f>VLOOKUP($C544,tab_Agências[],9,FALSE)</f>
        <v xml:space="preserve"> </v>
      </c>
      <c r="L544" s="8" t="str">
        <f>VLOOKUP($C544,tab_Agências[],10,FALSE)</f>
        <v>prudente@cetesbnet.sp.gov.br</v>
      </c>
    </row>
    <row r="545" spans="1:12" x14ac:dyDescent="0.25">
      <c r="A545" s="8">
        <v>3548401</v>
      </c>
      <c r="B545" s="8" t="s">
        <v>1483</v>
      </c>
      <c r="C545" s="9">
        <v>2</v>
      </c>
      <c r="D545" s="10" t="str">
        <f>VLOOKUP($C545,tab_Agências[],2,FALSE)</f>
        <v>Agência Ambiental de Araçatuba</v>
      </c>
      <c r="E545" s="8" t="str">
        <f>VLOOKUP($C545,tab_Agências[],3,FALSE)</f>
        <v>Rua Ten. Alcides Teodoro dos Santos, 260</v>
      </c>
      <c r="F545" s="8" t="str">
        <f>VLOOKUP($C545,tab_Agências[],4,FALSE)</f>
        <v>Aviação</v>
      </c>
      <c r="G545" s="8" t="str">
        <f>VLOOKUP($C545,tab_Agências[],5,FALSE)</f>
        <v>16055-557</v>
      </c>
      <c r="H545" s="8" t="str">
        <f>VLOOKUP($C545,tab_Agências[],6,FALSE)</f>
        <v>Araçatuba</v>
      </c>
      <c r="I545" s="8" t="str">
        <f>VLOOKUP($C545,tab_Agências[],7,FALSE)</f>
        <v>Rua Ten. Alcides Teodoro dos Santos, 260 - Aviação, Araçatuba, 16055-557</v>
      </c>
      <c r="J545" s="8" t="str">
        <f>VLOOKUP($C545,tab_Agências[],8,FALSE)</f>
        <v>(18) 3608-8053</v>
      </c>
      <c r="K545" s="8" t="str">
        <f>VLOOKUP($C545,tab_Agências[],9,FALSE)</f>
        <v>(18) 3608-7197</v>
      </c>
      <c r="L545" s="8" t="str">
        <f>VLOOKUP($C545,tab_Agências[],10,FALSE)</f>
        <v>aracatuba@cetesbnet.sp.gov.br</v>
      </c>
    </row>
    <row r="546" spans="1:12" x14ac:dyDescent="0.25">
      <c r="A546" s="8">
        <v>3548500</v>
      </c>
      <c r="B546" s="8" t="s">
        <v>1484</v>
      </c>
      <c r="C546" s="9">
        <v>33</v>
      </c>
      <c r="D546" s="10" t="str">
        <f>VLOOKUP($C546,tab_Agências[],2,FALSE)</f>
        <v>Agência Ambiental de Santos</v>
      </c>
      <c r="E546" s="8" t="str">
        <f>VLOOKUP($C546,tab_Agências[],3,FALSE)</f>
        <v>Rua Delfim Moreira, 56</v>
      </c>
      <c r="F546" s="8" t="str">
        <f>VLOOKUP($C546,tab_Agências[],4,FALSE)</f>
        <v>Embaré</v>
      </c>
      <c r="G546" s="8" t="str">
        <f>VLOOKUP($C546,tab_Agências[],5,FALSE)</f>
        <v>11040-100</v>
      </c>
      <c r="H546" s="8" t="str">
        <f>VLOOKUP($C546,tab_Agências[],6,FALSE)</f>
        <v>Santos</v>
      </c>
      <c r="I546" s="8" t="str">
        <f>VLOOKUP($C546,tab_Agências[],7,FALSE)</f>
        <v>Rua Delfim Moreira, 56 - Embaré, Santos, 11040-100</v>
      </c>
      <c r="J546" s="8" t="str">
        <f>VLOOKUP($C546,tab_Agências[],8,FALSE)</f>
        <v>(13) 3227-7767</v>
      </c>
      <c r="K546" s="8" t="str">
        <f>VLOOKUP($C546,tab_Agências[],9,FALSE)</f>
        <v>(13) 3227-7767</v>
      </c>
      <c r="L546" s="8" t="str">
        <f>VLOOKUP($C546,tab_Agências[],10,FALSE)</f>
        <v>santos@cetesbnet.sp.gov.br</v>
      </c>
    </row>
    <row r="547" spans="1:12" x14ac:dyDescent="0.25">
      <c r="A547" s="8">
        <v>3548609</v>
      </c>
      <c r="B547" s="8" t="s">
        <v>1485</v>
      </c>
      <c r="C547" s="9">
        <v>40</v>
      </c>
      <c r="D547" s="10" t="str">
        <f>VLOOKUP($C547,tab_Agências[],2,FALSE)</f>
        <v>Agência Ambiental de Taubaté</v>
      </c>
      <c r="E547" s="8" t="str">
        <f>VLOOKUP($C547,tab_Agências[],3,FALSE)</f>
        <v>Avenida Itambé, 38</v>
      </c>
      <c r="F547" s="8" t="str">
        <f>VLOOKUP($C547,tab_Agências[],4,FALSE)</f>
        <v>Sta. Luzia</v>
      </c>
      <c r="G547" s="8" t="str">
        <f>VLOOKUP($C547,tab_Agências[],5,FALSE)</f>
        <v>12091-200</v>
      </c>
      <c r="H547" s="8" t="str">
        <f>VLOOKUP($C547,tab_Agências[],6,FALSE)</f>
        <v>Taubaté</v>
      </c>
      <c r="I547" s="8" t="str">
        <f>VLOOKUP($C547,tab_Agências[],7,FALSE)</f>
        <v>Avenida Itambé, 38 - Sta. Luzia, Taubaté, 12091-200</v>
      </c>
      <c r="J547" s="8" t="str">
        <f>VLOOKUP($C547,tab_Agências[],8,FALSE)</f>
        <v>(12) 3634-8222</v>
      </c>
      <c r="K547" s="8" t="str">
        <f>VLOOKUP($C547,tab_Agências[],9,FALSE)</f>
        <v>(12) 3634-8234</v>
      </c>
      <c r="L547" s="8" t="str">
        <f>VLOOKUP($C547,tab_Agências[],10,FALSE)</f>
        <v>taubate@cetesbnet.sp.gov.br</v>
      </c>
    </row>
    <row r="548" spans="1:12" x14ac:dyDescent="0.25">
      <c r="A548" s="8">
        <v>3548708</v>
      </c>
      <c r="B548" s="8" t="s">
        <v>1486</v>
      </c>
      <c r="C548" s="9">
        <v>43</v>
      </c>
      <c r="D548" s="10" t="str">
        <f>VLOOKUP($C548,tab_Agências[],2,FALSE)</f>
        <v>Agência Ambiental do ABC II</v>
      </c>
      <c r="E548" s="8" t="str">
        <f>VLOOKUP($C548,tab_Agências[],3,FALSE)</f>
        <v>Rua dos Vianas, 625</v>
      </c>
      <c r="F548" s="8" t="str">
        <f>VLOOKUP($C548,tab_Agências[],4,FALSE)</f>
        <v>Baeta Neves</v>
      </c>
      <c r="G548" s="8" t="str">
        <f>VLOOKUP($C548,tab_Agências[],5,FALSE)</f>
        <v>09760-040</v>
      </c>
      <c r="H548" s="8" t="str">
        <f>VLOOKUP($C548,tab_Agências[],6,FALSE)</f>
        <v>São Bernardo do Campo</v>
      </c>
      <c r="I548" s="8" t="str">
        <f>VLOOKUP($C548,tab_Agências[],7,FALSE)</f>
        <v>Rua dos Vianas, 625 - Baeta Neves, São Bernardo do Campo, 09760-040</v>
      </c>
      <c r="J548" s="8" t="str">
        <f>VLOOKUP($C548,tab_Agências[],8,FALSE)</f>
        <v>(11) 4123-4555</v>
      </c>
      <c r="K548" s="8" t="str">
        <f>VLOOKUP($C548,tab_Agências[],9,FALSE)</f>
        <v>(11) 4123-4555</v>
      </c>
      <c r="L548" s="8" t="str">
        <f>VLOOKUP($C548,tab_Agências[],10,FALSE)</f>
        <v>abc2@cetesbnet.sp.gov.br</v>
      </c>
    </row>
    <row r="549" spans="1:12" x14ac:dyDescent="0.25">
      <c r="A549" s="8">
        <v>3548807</v>
      </c>
      <c r="B549" s="8" t="s">
        <v>1487</v>
      </c>
      <c r="C549" s="9">
        <v>42</v>
      </c>
      <c r="D549" s="10" t="str">
        <f>VLOOKUP($C549,tab_Agências[],2,FALSE)</f>
        <v>Agência Ambiental do ABC I</v>
      </c>
      <c r="E549" s="8" t="str">
        <f>VLOOKUP($C549,tab_Agências[],3,FALSE)</f>
        <v>Rua dos Vianas, 625</v>
      </c>
      <c r="F549" s="8" t="str">
        <f>VLOOKUP($C549,tab_Agências[],4,FALSE)</f>
        <v>Baeta Neves</v>
      </c>
      <c r="G549" s="8" t="str">
        <f>VLOOKUP($C549,tab_Agências[],5,FALSE)</f>
        <v>09760-040</v>
      </c>
      <c r="H549" s="8" t="str">
        <f>VLOOKUP($C549,tab_Agências[],6,FALSE)</f>
        <v>São Bernardo do Campo</v>
      </c>
      <c r="I549" s="8" t="str">
        <f>VLOOKUP($C549,tab_Agências[],7,FALSE)</f>
        <v>Rua dos Vianas, 625 - Baeta Neves, São Bernardo do Campo, 09760-040</v>
      </c>
      <c r="J549" s="8" t="str">
        <f>VLOOKUP($C549,tab_Agências[],8,FALSE)</f>
        <v>(11) 4123-4555</v>
      </c>
      <c r="K549" s="8" t="str">
        <f>VLOOKUP($C549,tab_Agências[],9,FALSE)</f>
        <v>(11) 4123-4555</v>
      </c>
      <c r="L549" s="8" t="str">
        <f>VLOOKUP($C549,tab_Agências[],10,FALSE)</f>
        <v>abc1@cetesbnet.sp.gov.br</v>
      </c>
    </row>
    <row r="550" spans="1:12" x14ac:dyDescent="0.25">
      <c r="A550" s="8">
        <v>3548906</v>
      </c>
      <c r="B550" s="8" t="s">
        <v>1488</v>
      </c>
      <c r="C550" s="9">
        <v>34</v>
      </c>
      <c r="D550" s="10" t="str">
        <f>VLOOKUP($C550,tab_Agências[],2,FALSE)</f>
        <v>Agência Ambiental de São Carlos</v>
      </c>
      <c r="E550" s="8" t="str">
        <f>VLOOKUP($C550,tab_Agências[],3,FALSE)</f>
        <v>Avenida das Azaléias, 700</v>
      </c>
      <c r="F550" s="8" t="str">
        <f>VLOOKUP($C550,tab_Agências[],4,FALSE)</f>
        <v>Cidade Jardim</v>
      </c>
      <c r="G550" s="8" t="str">
        <f>VLOOKUP($C550,tab_Agências[],5,FALSE)</f>
        <v>13566-500</v>
      </c>
      <c r="H550" s="8" t="str">
        <f>VLOOKUP($C550,tab_Agências[],6,FALSE)</f>
        <v>São Carlos</v>
      </c>
      <c r="I550" s="8" t="str">
        <f>VLOOKUP($C550,tab_Agências[],7,FALSE)</f>
        <v>Avenida das Azaléias, 700 - Cidade Jardim, São Carlos, 13566-500</v>
      </c>
      <c r="J550" s="8" t="str">
        <f>VLOOKUP($C550,tab_Agências[],8,FALSE)</f>
        <v>(16) 3361-2004</v>
      </c>
      <c r="K550" s="8" t="str">
        <f>VLOOKUP($C550,tab_Agências[],9,FALSE)</f>
        <v>(16) 3361-2004</v>
      </c>
      <c r="L550" s="8" t="str">
        <f>VLOOKUP($C550,tab_Agências[],10,FALSE)</f>
        <v>saocarlos@cetesbnet.sp.gov.br</v>
      </c>
    </row>
    <row r="551" spans="1:12" x14ac:dyDescent="0.25">
      <c r="A551" s="8">
        <v>3549003</v>
      </c>
      <c r="B551" s="8" t="s">
        <v>1489</v>
      </c>
      <c r="C551" s="9">
        <v>20</v>
      </c>
      <c r="D551" s="10" t="str">
        <f>VLOOKUP($C551,tab_Agências[],2,FALSE)</f>
        <v>Agência Ambiental de Jales</v>
      </c>
      <c r="E551" s="8" t="str">
        <f>VLOOKUP($C551,tab_Agências[],3,FALSE)</f>
        <v>Rua Nova Iorque, 1016</v>
      </c>
      <c r="F551" s="8" t="str">
        <f>VLOOKUP($C551,tab_Agências[],4,FALSE)</f>
        <v>Jardim Monte Rrey</v>
      </c>
      <c r="G551" s="8" t="str">
        <f>VLOOKUP($C551,tab_Agências[],5,FALSE)</f>
        <v>15703-326</v>
      </c>
      <c r="H551" s="8" t="str">
        <f>VLOOKUP($C551,tab_Agências[],6,FALSE)</f>
        <v>Jales</v>
      </c>
      <c r="I551" s="8" t="str">
        <f>VLOOKUP($C551,tab_Agências[],7,FALSE)</f>
        <v>Rua Nova Iorque, 1016 - Jardim Monte Rrey, Jales, 15703-326</v>
      </c>
      <c r="J551" s="8" t="str">
        <f>VLOOKUP($C551,tab_Agências[],8,FALSE)</f>
        <v>(17) 3621-1042</v>
      </c>
      <c r="K551" s="8" t="str">
        <f>VLOOKUP($C551,tab_Agências[],9,FALSE)</f>
        <v>(17) 3621-1042</v>
      </c>
      <c r="L551" s="8" t="str">
        <f>VLOOKUP($C551,tab_Agências[],10,FALSE)</f>
        <v>jales@cetesbnet.sp.gov.br</v>
      </c>
    </row>
    <row r="552" spans="1:12" x14ac:dyDescent="0.25">
      <c r="A552" s="8">
        <v>3549102</v>
      </c>
      <c r="B552" s="8" t="s">
        <v>1490</v>
      </c>
      <c r="C552" s="9">
        <v>35</v>
      </c>
      <c r="D552" s="10" t="str">
        <f>VLOOKUP($C552,tab_Agências[],2,FALSE)</f>
        <v>Agência Ambiental de São João da Boa Vista</v>
      </c>
      <c r="E552" s="8" t="str">
        <f>VLOOKUP($C552,tab_Agências[],3,FALSE)</f>
        <v>Rua Marechal Deodoro, 345</v>
      </c>
      <c r="F552" s="8" t="str">
        <f>VLOOKUP($C552,tab_Agências[],4,FALSE)</f>
        <v>Centro</v>
      </c>
      <c r="G552" s="8" t="str">
        <f>VLOOKUP($C552,tab_Agências[],5,FALSE)</f>
        <v>13870-223</v>
      </c>
      <c r="H552" s="8" t="str">
        <f>VLOOKUP($C552,tab_Agências[],6,FALSE)</f>
        <v>São João da Boa Vista</v>
      </c>
      <c r="I552" s="8" t="str">
        <f>VLOOKUP($C552,tab_Agências[],7,FALSE)</f>
        <v>Rua Marechal Deodoro, 345 - Centro, São João da Boa Vista, 13870-223</v>
      </c>
      <c r="J552" s="8" t="str">
        <f>VLOOKUP($C552,tab_Agências[],8,FALSE)</f>
        <v>(19) 3633-1510</v>
      </c>
      <c r="K552" s="8" t="str">
        <f>VLOOKUP($C552,tab_Agências[],9,FALSE)</f>
        <v>(19) 3633-1510</v>
      </c>
      <c r="L552" s="8" t="str">
        <f>VLOOKUP($C552,tab_Agências[],10,FALSE)</f>
        <v>sjboavista@cetesbnet.sp.gov.br</v>
      </c>
    </row>
    <row r="553" spans="1:12" x14ac:dyDescent="0.25">
      <c r="A553" s="8">
        <v>3549201</v>
      </c>
      <c r="B553" s="8" t="s">
        <v>1491</v>
      </c>
      <c r="C553" s="9">
        <v>20</v>
      </c>
      <c r="D553" s="10" t="str">
        <f>VLOOKUP($C553,tab_Agências[],2,FALSE)</f>
        <v>Agência Ambiental de Jales</v>
      </c>
      <c r="E553" s="8" t="str">
        <f>VLOOKUP($C553,tab_Agências[],3,FALSE)</f>
        <v>Rua Nova Iorque, 1016</v>
      </c>
      <c r="F553" s="8" t="str">
        <f>VLOOKUP($C553,tab_Agências[],4,FALSE)</f>
        <v>Jardim Monte Rrey</v>
      </c>
      <c r="G553" s="8" t="str">
        <f>VLOOKUP($C553,tab_Agências[],5,FALSE)</f>
        <v>15703-326</v>
      </c>
      <c r="H553" s="8" t="str">
        <f>VLOOKUP($C553,tab_Agências[],6,FALSE)</f>
        <v>Jales</v>
      </c>
      <c r="I553" s="8" t="str">
        <f>VLOOKUP($C553,tab_Agências[],7,FALSE)</f>
        <v>Rua Nova Iorque, 1016 - Jardim Monte Rrey, Jales, 15703-326</v>
      </c>
      <c r="J553" s="8" t="str">
        <f>VLOOKUP($C553,tab_Agências[],8,FALSE)</f>
        <v>(17) 3621-1042</v>
      </c>
      <c r="K553" s="8" t="str">
        <f>VLOOKUP($C553,tab_Agências[],9,FALSE)</f>
        <v>(17) 3621-1042</v>
      </c>
      <c r="L553" s="8" t="str">
        <f>VLOOKUP($C553,tab_Agências[],10,FALSE)</f>
        <v>jales@cetesbnet.sp.gov.br</v>
      </c>
    </row>
    <row r="554" spans="1:12" x14ac:dyDescent="0.25">
      <c r="A554" s="8">
        <v>3549250</v>
      </c>
      <c r="B554" s="8" t="s">
        <v>1492</v>
      </c>
      <c r="C554" s="9">
        <v>41</v>
      </c>
      <c r="D554" s="10" t="str">
        <f>VLOOKUP($C554,tab_Agências[],2,FALSE)</f>
        <v>Agência Ambiental de Votuporanga</v>
      </c>
      <c r="E554" s="8" t="str">
        <f>VLOOKUP($C554,tab_Agências[],3,FALSE)</f>
        <v>Avenida Deputado Aureo Ferreira, 1724</v>
      </c>
      <c r="F554" s="8" t="str">
        <f>VLOOKUP($C554,tab_Agências[],4,FALSE)</f>
        <v>Vila Paes</v>
      </c>
      <c r="G554" s="8" t="str">
        <f>VLOOKUP($C554,tab_Agências[],5,FALSE)</f>
        <v>15500-112</v>
      </c>
      <c r="H554" s="8" t="str">
        <f>VLOOKUP($C554,tab_Agências[],6,FALSE)</f>
        <v>Votuporanga</v>
      </c>
      <c r="I554" s="8" t="str">
        <f>VLOOKUP($C554,tab_Agências[],7,FALSE)</f>
        <v>Avenida Deputado Aureo Ferreira, 1724 - Vila Paes, Votuporanga, 15500-112</v>
      </c>
      <c r="J554" s="8" t="str">
        <f>VLOOKUP($C554,tab_Agências[],8,FALSE)</f>
        <v>(17) 3421-4004</v>
      </c>
      <c r="K554" s="8" t="str">
        <f>VLOOKUP($C554,tab_Agências[],9,FALSE)</f>
        <v>(17) 3421-4004</v>
      </c>
      <c r="L554" s="8" t="str">
        <f>VLOOKUP($C554,tab_Agências[],10,FALSE)</f>
        <v>votuporanga@cetesbnet.sp.gov.br</v>
      </c>
    </row>
    <row r="555" spans="1:12" x14ac:dyDescent="0.25">
      <c r="A555" s="8">
        <v>3549300</v>
      </c>
      <c r="B555" s="8" t="s">
        <v>1493</v>
      </c>
      <c r="C555" s="9">
        <v>13</v>
      </c>
      <c r="D555" s="10" t="str">
        <f>VLOOKUP($C555,tab_Agências[],2,FALSE)</f>
        <v>Agência Ambiental de Dracena</v>
      </c>
      <c r="E555" s="8" t="str">
        <f>VLOOKUP($C555,tab_Agências[],3,FALSE)</f>
        <v>Rua Tomé de Souza, 438</v>
      </c>
      <c r="F555" s="8" t="str">
        <f>VLOOKUP($C555,tab_Agências[],4,FALSE)</f>
        <v>Centro</v>
      </c>
      <c r="G555" s="8" t="str">
        <f>VLOOKUP($C555,tab_Agências[],5,FALSE)</f>
        <v>17900-000</v>
      </c>
      <c r="H555" s="8" t="str">
        <f>VLOOKUP($C555,tab_Agências[],6,FALSE)</f>
        <v>Dracena</v>
      </c>
      <c r="I555" s="8" t="str">
        <f>VLOOKUP($C555,tab_Agências[],7,FALSE)</f>
        <v>Rua Tomé de Souza, 438 - Centro, Dracena, 17900-000</v>
      </c>
      <c r="J555" s="8" t="str">
        <f>VLOOKUP($C555,tab_Agências[],8,FALSE)</f>
        <v>(18) 3822-3166</v>
      </c>
      <c r="K555" s="8" t="str">
        <f>VLOOKUP($C555,tab_Agências[],9,FALSE)</f>
        <v>(18) 3822-3166</v>
      </c>
      <c r="L555" s="8" t="str">
        <f>VLOOKUP($C555,tab_Agências[],10,FALSE)</f>
        <v>dracena@cetesbnet.sp.gov.br</v>
      </c>
    </row>
    <row r="556" spans="1:12" x14ac:dyDescent="0.25">
      <c r="A556" s="8">
        <v>3549409</v>
      </c>
      <c r="B556" s="8" t="s">
        <v>1494</v>
      </c>
      <c r="C556" s="9">
        <v>31</v>
      </c>
      <c r="D556" s="10" t="str">
        <f>VLOOKUP($C556,tab_Agências[],2,FALSE)</f>
        <v>Agência Ambiental de Ribeirão Preto</v>
      </c>
      <c r="E556" s="8" t="str">
        <f>VLOOKUP($C556,tab_Agências[],3,FALSE)</f>
        <v>Avenida Presidente Kennedy, 1760</v>
      </c>
      <c r="F556" s="8" t="str">
        <f>VLOOKUP($C556,tab_Agências[],4,FALSE)</f>
        <v>Ribeirânia</v>
      </c>
      <c r="G556" s="8" t="str">
        <f>VLOOKUP($C556,tab_Agências[],5,FALSE)</f>
        <v>14096-350</v>
      </c>
      <c r="H556" s="8" t="str">
        <f>VLOOKUP($C556,tab_Agências[],6,FALSE)</f>
        <v>Ribeirão Preto</v>
      </c>
      <c r="I556" s="8" t="str">
        <f>VLOOKUP($C556,tab_Agências[],7,FALSE)</f>
        <v>Avenida Presidente Kennedy, 1760 - Ribeirânia, Ribeirão Preto, 14096-350</v>
      </c>
      <c r="J556" s="8" t="str">
        <f>VLOOKUP($C556,tab_Agências[],8,FALSE)</f>
        <v>(16) 3617-4700</v>
      </c>
      <c r="K556" s="8" t="str">
        <f>VLOOKUP($C556,tab_Agências[],9,FALSE)</f>
        <v>(16) 3617-4207</v>
      </c>
      <c r="L556" s="8" t="str">
        <f>VLOOKUP($C556,tab_Agências[],10,FALSE)</f>
        <v>ribeirao@cetesbnet.sp.gov.br</v>
      </c>
    </row>
    <row r="557" spans="1:12" x14ac:dyDescent="0.25">
      <c r="A557" s="8">
        <v>3549508</v>
      </c>
      <c r="B557" s="8" t="s">
        <v>1495</v>
      </c>
      <c r="C557" s="9">
        <v>15</v>
      </c>
      <c r="D557" s="10" t="str">
        <f>VLOOKUP($C557,tab_Agências[],2,FALSE)</f>
        <v>Agência Ambiental de Franca</v>
      </c>
      <c r="E557" s="8" t="str">
        <f>VLOOKUP($C557,tab_Agências[],3,FALSE)</f>
        <v>Avenida Dr. Flávio Rocha, 4551</v>
      </c>
      <c r="F557" s="8" t="str">
        <f>VLOOKUP($C557,tab_Agências[],4,FALSE)</f>
        <v>Parque dos Pinhais</v>
      </c>
      <c r="G557" s="8" t="str">
        <f>VLOOKUP($C557,tab_Agências[],5,FALSE)</f>
        <v>14405-600</v>
      </c>
      <c r="H557" s="8" t="str">
        <f>VLOOKUP($C557,tab_Agências[],6,FALSE)</f>
        <v>Franca</v>
      </c>
      <c r="I557" s="8" t="str">
        <f>VLOOKUP($C557,tab_Agências[],7,FALSE)</f>
        <v>Avenida Dr. Flávio Rocha, 4551 - Parque dos Pinhais, Franca, 14405-600</v>
      </c>
      <c r="J557" s="8" t="str">
        <f>VLOOKUP($C557,tab_Agências[],8,FALSE)</f>
        <v>(16) 3724-5922</v>
      </c>
      <c r="K557" s="8" t="str">
        <f>VLOOKUP($C557,tab_Agências[],9,FALSE)</f>
        <v>(16) 3724-5922</v>
      </c>
      <c r="L557" s="8" t="str">
        <f>VLOOKUP($C557,tab_Agências[],10,FALSE)</f>
        <v>franca@cetesbnet.sp.gov.br</v>
      </c>
    </row>
    <row r="558" spans="1:12" x14ac:dyDescent="0.25">
      <c r="A558" s="8">
        <v>3549607</v>
      </c>
      <c r="B558" s="8" t="s">
        <v>1496</v>
      </c>
      <c r="C558" s="9">
        <v>40</v>
      </c>
      <c r="D558" s="10" t="str">
        <f>VLOOKUP($C558,tab_Agências[],2,FALSE)</f>
        <v>Agência Ambiental de Taubaté</v>
      </c>
      <c r="E558" s="8" t="str">
        <f>VLOOKUP($C558,tab_Agências[],3,FALSE)</f>
        <v>Avenida Itambé, 38</v>
      </c>
      <c r="F558" s="8" t="str">
        <f>VLOOKUP($C558,tab_Agências[],4,FALSE)</f>
        <v>Sta. Luzia</v>
      </c>
      <c r="G558" s="8" t="str">
        <f>VLOOKUP($C558,tab_Agências[],5,FALSE)</f>
        <v>12091-200</v>
      </c>
      <c r="H558" s="8" t="str">
        <f>VLOOKUP($C558,tab_Agências[],6,FALSE)</f>
        <v>Taubaté</v>
      </c>
      <c r="I558" s="8" t="str">
        <f>VLOOKUP($C558,tab_Agências[],7,FALSE)</f>
        <v>Avenida Itambé, 38 - Sta. Luzia, Taubaté, 12091-200</v>
      </c>
      <c r="J558" s="8" t="str">
        <f>VLOOKUP($C558,tab_Agências[],8,FALSE)</f>
        <v>(12) 3634-8222</v>
      </c>
      <c r="K558" s="8" t="str">
        <f>VLOOKUP($C558,tab_Agências[],9,FALSE)</f>
        <v>(12) 3634-8234</v>
      </c>
      <c r="L558" s="8" t="str">
        <f>VLOOKUP($C558,tab_Agências[],10,FALSE)</f>
        <v>taubate@cetesbnet.sp.gov.br</v>
      </c>
    </row>
    <row r="559" spans="1:12" x14ac:dyDescent="0.25">
      <c r="A559" s="8">
        <v>3549706</v>
      </c>
      <c r="B559" s="8" t="s">
        <v>1497</v>
      </c>
      <c r="C559" s="9">
        <v>35</v>
      </c>
      <c r="D559" s="10" t="str">
        <f>VLOOKUP($C559,tab_Agências[],2,FALSE)</f>
        <v>Agência Ambiental de São João da Boa Vista</v>
      </c>
      <c r="E559" s="8" t="str">
        <f>VLOOKUP($C559,tab_Agências[],3,FALSE)</f>
        <v>Rua Marechal Deodoro, 345</v>
      </c>
      <c r="F559" s="8" t="str">
        <f>VLOOKUP($C559,tab_Agências[],4,FALSE)</f>
        <v>Centro</v>
      </c>
      <c r="G559" s="8" t="str">
        <f>VLOOKUP($C559,tab_Agências[],5,FALSE)</f>
        <v>13870-223</v>
      </c>
      <c r="H559" s="8" t="str">
        <f>VLOOKUP($C559,tab_Agências[],6,FALSE)</f>
        <v>São João da Boa Vista</v>
      </c>
      <c r="I559" s="8" t="str">
        <f>VLOOKUP($C559,tab_Agências[],7,FALSE)</f>
        <v>Rua Marechal Deodoro, 345 - Centro, São João da Boa Vista, 13870-223</v>
      </c>
      <c r="J559" s="8" t="str">
        <f>VLOOKUP($C559,tab_Agências[],8,FALSE)</f>
        <v>(19) 3633-1510</v>
      </c>
      <c r="K559" s="8" t="str">
        <f>VLOOKUP($C559,tab_Agências[],9,FALSE)</f>
        <v>(19) 3633-1510</v>
      </c>
      <c r="L559" s="8" t="str">
        <f>VLOOKUP($C559,tab_Agências[],10,FALSE)</f>
        <v>sjboavista@cetesbnet.sp.gov.br</v>
      </c>
    </row>
    <row r="560" spans="1:12" x14ac:dyDescent="0.25">
      <c r="A560" s="8">
        <v>3549805</v>
      </c>
      <c r="B560" s="8" t="s">
        <v>1498</v>
      </c>
      <c r="C560" s="9">
        <v>36</v>
      </c>
      <c r="D560" s="10" t="str">
        <f>VLOOKUP($C560,tab_Agências[],2,FALSE)</f>
        <v>Agência Ambiental de São José do Rio Preto</v>
      </c>
      <c r="E560" s="8" t="str">
        <f>VLOOKUP($C560,tab_Agências[],3,FALSE)</f>
        <v>Avenida Mário Andreazza,</v>
      </c>
      <c r="F560" s="8" t="str">
        <f>VLOOKUP($C560,tab_Agências[],4,FALSE)</f>
        <v>Jardim São Marcos</v>
      </c>
      <c r="G560" s="8" t="str">
        <f>VLOOKUP($C560,tab_Agências[],5,FALSE)</f>
        <v>15081-490</v>
      </c>
      <c r="H560" s="8" t="str">
        <f>VLOOKUP($C560,tab_Agências[],6,FALSE)</f>
        <v>São José do Rio Preto</v>
      </c>
      <c r="I560" s="8" t="str">
        <f>VLOOKUP($C560,tab_Agências[],7,FALSE)</f>
        <v>Avenida Mário Andreazza, - Jardim São Marcos, São José do Rio Preto, 15081-490</v>
      </c>
      <c r="J560" s="8" t="str">
        <f>VLOOKUP($C560,tab_Agências[],8,FALSE)</f>
        <v>(17) 3218-4300</v>
      </c>
      <c r="K560" s="8" t="str">
        <f>VLOOKUP($C560,tab_Agências[],9,FALSE)</f>
        <v>(17) 3218-4300</v>
      </c>
      <c r="L560" s="8" t="str">
        <f>VLOOKUP($C560,tab_Agências[],10,FALSE)</f>
        <v>riopreto@cetesbnet.sp.gov.br</v>
      </c>
    </row>
    <row r="561" spans="1:12" x14ac:dyDescent="0.25">
      <c r="A561" s="8">
        <v>3549904</v>
      </c>
      <c r="B561" s="8" t="s">
        <v>1499</v>
      </c>
      <c r="C561" s="9">
        <v>37</v>
      </c>
      <c r="D561" s="10" t="str">
        <f>VLOOKUP($C561,tab_Agências[],2,FALSE)</f>
        <v>Agência Ambiental de São José dos Campos</v>
      </c>
      <c r="E561" s="8" t="str">
        <f>VLOOKUP($C561,tab_Agências[],3,FALSE)</f>
        <v>Avenida Olivo Gomes, 100</v>
      </c>
      <c r="F561" s="8" t="str">
        <f>VLOOKUP($C561,tab_Agências[],4,FALSE)</f>
        <v>Parque da Cidade/Santana</v>
      </c>
      <c r="G561" s="8" t="str">
        <f>VLOOKUP($C561,tab_Agências[],5,FALSE)</f>
        <v>12211-115</v>
      </c>
      <c r="H561" s="8" t="str">
        <f>VLOOKUP($C561,tab_Agências[],6,FALSE)</f>
        <v>São José dos Campos</v>
      </c>
      <c r="I561" s="8" t="str">
        <f>VLOOKUP($C561,tab_Agências[],7,FALSE)</f>
        <v>Avenida Olivo Gomes, 100 - Parque da Cidade/Santana, São José dos Campos, 12211-115</v>
      </c>
      <c r="J561" s="8" t="str">
        <f>VLOOKUP($C561,tab_Agências[],8,FALSE)</f>
        <v>(12) 3911-9536</v>
      </c>
      <c r="K561" s="8" t="str">
        <f>VLOOKUP($C561,tab_Agências[],9,FALSE)</f>
        <v>(12) 3911-9536</v>
      </c>
      <c r="L561" s="8" t="str">
        <f>VLOOKUP($C561,tab_Agências[],10,FALSE)</f>
        <v>sjcampos@cetesbnet.sp.gov.br</v>
      </c>
    </row>
    <row r="562" spans="1:12" x14ac:dyDescent="0.25">
      <c r="A562" s="8">
        <v>3549953</v>
      </c>
      <c r="B562" s="8" t="s">
        <v>1500</v>
      </c>
      <c r="C562" s="9">
        <v>14</v>
      </c>
      <c r="D562" s="10" t="str">
        <f>VLOOKUP($C562,tab_Agências[],2,FALSE)</f>
        <v>Agência Ambiental de Embu das Artes</v>
      </c>
      <c r="E562" s="8" t="str">
        <f>VLOOKUP($C562,tab_Agências[],3,FALSE)</f>
        <v>Rua João Paulo I, 495</v>
      </c>
      <c r="F562" s="8" t="str">
        <f>VLOOKUP($C562,tab_Agências[],4,FALSE)</f>
        <v>Jardim São Luiz</v>
      </c>
      <c r="G562" s="8" t="str">
        <f>VLOOKUP($C562,tab_Agências[],5,FALSE)</f>
        <v>06816-550</v>
      </c>
      <c r="H562" s="8" t="str">
        <f>VLOOKUP($C562,tab_Agências[],6,FALSE)</f>
        <v>Embu das Artes</v>
      </c>
      <c r="I562" s="8" t="str">
        <f>VLOOKUP($C562,tab_Agências[],7,FALSE)</f>
        <v>Rua João Paulo I, 495 - Jardim São Luiz, Embu das Artes, 06816-550</v>
      </c>
      <c r="J562" s="8" t="str">
        <f>VLOOKUP($C562,tab_Agências[],8,FALSE)</f>
        <v>(11) 4704-8835</v>
      </c>
      <c r="K562" s="8" t="str">
        <f>VLOOKUP($C562,tab_Agências[],9,FALSE)</f>
        <v>(11) 4704-8835</v>
      </c>
      <c r="L562" s="8" t="str">
        <f>VLOOKUP($C562,tab_Agências[],10,FALSE)</f>
        <v>embu@cetesbnet.sp.gov.br</v>
      </c>
    </row>
    <row r="563" spans="1:12" x14ac:dyDescent="0.25">
      <c r="A563" s="8">
        <v>3550001</v>
      </c>
      <c r="B563" s="8" t="s">
        <v>1501</v>
      </c>
      <c r="C563" s="9">
        <v>40</v>
      </c>
      <c r="D563" s="10" t="str">
        <f>VLOOKUP($C563,tab_Agências[],2,FALSE)</f>
        <v>Agência Ambiental de Taubaté</v>
      </c>
      <c r="E563" s="8" t="str">
        <f>VLOOKUP($C563,tab_Agências[],3,FALSE)</f>
        <v>Avenida Itambé, 38</v>
      </c>
      <c r="F563" s="8" t="str">
        <f>VLOOKUP($C563,tab_Agências[],4,FALSE)</f>
        <v>Sta. Luzia</v>
      </c>
      <c r="G563" s="8" t="str">
        <f>VLOOKUP($C563,tab_Agências[],5,FALSE)</f>
        <v>12091-200</v>
      </c>
      <c r="H563" s="8" t="str">
        <f>VLOOKUP($C563,tab_Agências[],6,FALSE)</f>
        <v>Taubaté</v>
      </c>
      <c r="I563" s="8" t="str">
        <f>VLOOKUP($C563,tab_Agências[],7,FALSE)</f>
        <v>Avenida Itambé, 38 - Sta. Luzia, Taubaté, 12091-200</v>
      </c>
      <c r="J563" s="8" t="str">
        <f>VLOOKUP($C563,tab_Agências[],8,FALSE)</f>
        <v>(12) 3634-8222</v>
      </c>
      <c r="K563" s="8" t="str">
        <f>VLOOKUP($C563,tab_Agências[],9,FALSE)</f>
        <v>(12) 3634-8234</v>
      </c>
      <c r="L563" s="8" t="str">
        <f>VLOOKUP($C563,tab_Agências[],10,FALSE)</f>
        <v>taubate@cetesbnet.sp.gov.br</v>
      </c>
    </row>
    <row r="564" spans="1:12" x14ac:dyDescent="0.25">
      <c r="A564" s="8">
        <v>3550100</v>
      </c>
      <c r="B564" s="8" t="s">
        <v>1502</v>
      </c>
      <c r="C564" s="9">
        <v>9</v>
      </c>
      <c r="D564" s="10" t="str">
        <f>VLOOKUP($C564,tab_Agências[],2,FALSE)</f>
        <v>Agência Ambiental de Botucatu</v>
      </c>
      <c r="E564" s="8" t="str">
        <f>VLOOKUP($C564,tab_Agências[],3,FALSE)</f>
        <v>Rua João Morato da Conceição, 525</v>
      </c>
      <c r="F564" s="8" t="str">
        <f>VLOOKUP($C564,tab_Agências[],4,FALSE)</f>
        <v>Vila Maria</v>
      </c>
      <c r="G564" s="8" t="str">
        <f>VLOOKUP($C564,tab_Agências[],5,FALSE)</f>
        <v>18611-358</v>
      </c>
      <c r="H564" s="8" t="str">
        <f>VLOOKUP($C564,tab_Agências[],6,FALSE)</f>
        <v>Botucatu</v>
      </c>
      <c r="I564" s="8" t="str">
        <f>VLOOKUP($C564,tab_Agências[],7,FALSE)</f>
        <v>Rua João Morato da Conceição, 525 - Vila Maria, Botucatu, 18611-358</v>
      </c>
      <c r="J564" s="8" t="str">
        <f>VLOOKUP($C564,tab_Agências[],8,FALSE)</f>
        <v>(14) 3882-1134</v>
      </c>
      <c r="K564" s="8" t="str">
        <f>VLOOKUP($C564,tab_Agências[],9,FALSE)</f>
        <v>(14) 3882-1134</v>
      </c>
      <c r="L564" s="8" t="str">
        <f>VLOOKUP($C564,tab_Agências[],10,FALSE)</f>
        <v>botucatu@cetesbnet.sp.gov.br</v>
      </c>
    </row>
    <row r="565" spans="1:12" x14ac:dyDescent="0.25">
      <c r="A565" s="8">
        <v>3550209</v>
      </c>
      <c r="B565" s="8" t="s">
        <v>1503</v>
      </c>
      <c r="C565" s="9">
        <v>17</v>
      </c>
      <c r="D565" s="10" t="str">
        <f>VLOOKUP($C565,tab_Agências[],2,FALSE)</f>
        <v>Agência Ambiental de Itapetininga</v>
      </c>
      <c r="E565" s="8" t="str">
        <f>VLOOKUP($C565,tab_Agências[],3,FALSE)</f>
        <v>Rua General Carneiro, 196</v>
      </c>
      <c r="F565" s="8" t="str">
        <f>VLOOKUP($C565,tab_Agências[],4,FALSE)</f>
        <v>Centro</v>
      </c>
      <c r="G565" s="8" t="str">
        <f>VLOOKUP($C565,tab_Agências[],5,FALSE)</f>
        <v>18200-024</v>
      </c>
      <c r="H565" s="8" t="str">
        <f>VLOOKUP($C565,tab_Agências[],6,FALSE)</f>
        <v>Itapetininga</v>
      </c>
      <c r="I565" s="8" t="str">
        <f>VLOOKUP($C565,tab_Agências[],7,FALSE)</f>
        <v>Rua General Carneiro, 196 - Centro, Itapetininga, 18200-024</v>
      </c>
      <c r="J565" s="8" t="str">
        <f>VLOOKUP($C565,tab_Agências[],8,FALSE)</f>
        <v>(15) 3272-2888</v>
      </c>
      <c r="K565" s="8" t="str">
        <f>VLOOKUP($C565,tab_Agências[],9,FALSE)</f>
        <v>(15) 3272-2891</v>
      </c>
      <c r="L565" s="8" t="str">
        <f>VLOOKUP($C565,tab_Agências[],10,FALSE)</f>
        <v>itapetininga@cetesbnet.sp.gov.br</v>
      </c>
    </row>
    <row r="566" spans="1:12" x14ac:dyDescent="0.25">
      <c r="A566" s="8">
        <v>3550308</v>
      </c>
      <c r="B566" s="8" t="s">
        <v>1504</v>
      </c>
      <c r="C566" s="9">
        <v>44</v>
      </c>
      <c r="D566" s="10" t="e">
        <f>VLOOKUP($C566,tab_Agências[],2,FALSE)</f>
        <v>#N/A</v>
      </c>
      <c r="E566" s="8" t="e">
        <f>VLOOKUP($C566,tab_Agências[],3,FALSE)</f>
        <v>#N/A</v>
      </c>
      <c r="F566" s="8" t="e">
        <f>VLOOKUP($C566,tab_Agências[],4,FALSE)</f>
        <v>#N/A</v>
      </c>
      <c r="G566" s="8" t="e">
        <f>VLOOKUP($C566,tab_Agências[],5,FALSE)</f>
        <v>#N/A</v>
      </c>
      <c r="H566" s="8" t="e">
        <f>VLOOKUP($C566,tab_Agências[],6,FALSE)</f>
        <v>#N/A</v>
      </c>
      <c r="I566" s="8" t="e">
        <f>VLOOKUP($C566,tab_Agências[],7,FALSE)</f>
        <v>#N/A</v>
      </c>
      <c r="J566" s="8" t="e">
        <f>VLOOKUP($C566,tab_Agências[],8,FALSE)</f>
        <v>#N/A</v>
      </c>
      <c r="K566" s="8" t="e">
        <f>VLOOKUP($C566,tab_Agências[],9,FALSE)</f>
        <v>#N/A</v>
      </c>
      <c r="L566" s="8" t="e">
        <f>VLOOKUP($C566,tab_Agências[],10,FALSE)</f>
        <v>#N/A</v>
      </c>
    </row>
    <row r="567" spans="1:12" x14ac:dyDescent="0.25">
      <c r="A567" s="8">
        <v>3550407</v>
      </c>
      <c r="B567" s="8" t="s">
        <v>1505</v>
      </c>
      <c r="C567" s="9">
        <v>28</v>
      </c>
      <c r="D567" s="10" t="str">
        <f>VLOOKUP($C567,tab_Agências[],2,FALSE)</f>
        <v>Agência Ambiental de Piracicaba</v>
      </c>
      <c r="E567" s="8" t="str">
        <f>VLOOKUP($C567,tab_Agências[],3,FALSE)</f>
        <v>Rua do Rosário, 566</v>
      </c>
      <c r="F567" s="8" t="str">
        <f>VLOOKUP($C567,tab_Agências[],4,FALSE)</f>
        <v>Centro</v>
      </c>
      <c r="G567" s="8" t="str">
        <f>VLOOKUP($C567,tab_Agências[],5,FALSE)</f>
        <v>13400-183</v>
      </c>
      <c r="H567" s="8" t="str">
        <f>VLOOKUP($C567,tab_Agências[],6,FALSE)</f>
        <v>Piracicaba</v>
      </c>
      <c r="I567" s="8" t="str">
        <f>VLOOKUP($C567,tab_Agências[],7,FALSE)</f>
        <v>Rua do Rosário, 566 - Centro, Piracicaba, 13400-183</v>
      </c>
      <c r="J567" s="8" t="str">
        <f>VLOOKUP($C567,tab_Agências[],8,FALSE)</f>
        <v>(19) 3402-6863</v>
      </c>
      <c r="K567" s="8" t="str">
        <f>VLOOKUP($C567,tab_Agências[],9,FALSE)</f>
        <v>(19) 3402-6863</v>
      </c>
      <c r="L567" s="8" t="str">
        <f>VLOOKUP($C567,tab_Agências[],10,FALSE)</f>
        <v>piracicaba@cetesbnet.sp.gov.br</v>
      </c>
    </row>
    <row r="568" spans="1:12" x14ac:dyDescent="0.25">
      <c r="A568" s="8">
        <v>3550506</v>
      </c>
      <c r="B568" s="8" t="s">
        <v>1506</v>
      </c>
      <c r="C568" s="9">
        <v>4</v>
      </c>
      <c r="D568" s="10" t="str">
        <f>VLOOKUP($C568,tab_Agências[],2,FALSE)</f>
        <v>Agência Ambiental de Assis</v>
      </c>
      <c r="E568" s="8" t="str">
        <f>VLOOKUP($C568,tab_Agências[],3,FALSE)</f>
        <v>Via Chico Mendes, 75</v>
      </c>
      <c r="F568" s="8" t="str">
        <f>VLOOKUP($C568,tab_Agências[],4,FALSE)</f>
        <v>Quinta dos Flamboyants</v>
      </c>
      <c r="G568" s="8" t="str">
        <f>VLOOKUP($C568,tab_Agências[],5,FALSE)</f>
        <v>19810-005</v>
      </c>
      <c r="H568" s="8" t="str">
        <f>VLOOKUP($C568,tab_Agências[],6,FALSE)</f>
        <v>Assis</v>
      </c>
      <c r="I568" s="8" t="str">
        <f>VLOOKUP($C568,tab_Agências[],7,FALSE)</f>
        <v>Via Chico Mendes, 75 - Quinta dos Flamboyants, Assis, 19810-005</v>
      </c>
      <c r="J568" s="8" t="str">
        <f>VLOOKUP($C568,tab_Agências[],8,FALSE)</f>
        <v>(18) 3324-4177</v>
      </c>
      <c r="K568" s="8" t="str">
        <f>VLOOKUP($C568,tab_Agências[],9,FALSE)</f>
        <v>(18) 3324-4177</v>
      </c>
      <c r="L568" s="8" t="str">
        <f>VLOOKUP($C568,tab_Agências[],10,FALSE)</f>
        <v>assis@cetesbnet.sp.gov.br</v>
      </c>
    </row>
    <row r="569" spans="1:12" x14ac:dyDescent="0.25">
      <c r="A569" s="8">
        <v>3550605</v>
      </c>
      <c r="B569" s="8" t="s">
        <v>1507</v>
      </c>
      <c r="C569" s="9">
        <v>18</v>
      </c>
      <c r="D569" s="10" t="str">
        <f>VLOOKUP($C569,tab_Agências[],2,FALSE)</f>
        <v>Agência Ambiental de Itu</v>
      </c>
      <c r="E569" s="8" t="str">
        <f>VLOOKUP($C569,tab_Agências[],3,FALSE)</f>
        <v>Rua Santa Rita, 1165</v>
      </c>
      <c r="F569" s="8" t="str">
        <f>VLOOKUP($C569,tab_Agências[],4,FALSE)</f>
        <v>Centro</v>
      </c>
      <c r="G569" s="8" t="str">
        <f>VLOOKUP($C569,tab_Agências[],5,FALSE)</f>
        <v>13300-065</v>
      </c>
      <c r="H569" s="8" t="str">
        <f>VLOOKUP($C569,tab_Agências[],6,FALSE)</f>
        <v>Itu</v>
      </c>
      <c r="I569" s="8" t="str">
        <f>VLOOKUP($C569,tab_Agências[],7,FALSE)</f>
        <v>Rua Santa Rita, 1165 - Centro, Itu, 13300-065</v>
      </c>
      <c r="J569" s="8" t="str">
        <f>VLOOKUP($C569,tab_Agências[],8,FALSE)</f>
        <v>(11) 4013-3419</v>
      </c>
      <c r="K569" s="8" t="str">
        <f>VLOOKUP($C569,tab_Agências[],9,FALSE)</f>
        <v>(11) 4013-3419</v>
      </c>
      <c r="L569" s="8" t="str">
        <f>VLOOKUP($C569,tab_Agências[],10,FALSE)</f>
        <v>itu@cetesbnet.sp.gov.br</v>
      </c>
    </row>
    <row r="570" spans="1:12" x14ac:dyDescent="0.25">
      <c r="A570" s="8">
        <v>3550704</v>
      </c>
      <c r="B570" s="8" t="s">
        <v>1508</v>
      </c>
      <c r="C570" s="9">
        <v>38</v>
      </c>
      <c r="D570" s="10" t="str">
        <f>VLOOKUP($C570,tab_Agências[],2,FALSE)</f>
        <v>Agência Ambiental de São Sebastião</v>
      </c>
      <c r="E570" s="8" t="str">
        <f>VLOOKUP($C570,tab_Agências[],3,FALSE)</f>
        <v>Rua Francisco da Cruz Maldonado, 132</v>
      </c>
      <c r="F570" s="8" t="str">
        <f>VLOOKUP($C570,tab_Agências[],4,FALSE)</f>
        <v>Portal da Olaria</v>
      </c>
      <c r="G570" s="8" t="str">
        <f>VLOOKUP($C570,tab_Agências[],5,FALSE)</f>
        <v>11600-000</v>
      </c>
      <c r="H570" s="8" t="str">
        <f>VLOOKUP($C570,tab_Agências[],6,FALSE)</f>
        <v>São Sebastião</v>
      </c>
      <c r="I570" s="8" t="str">
        <f>VLOOKUP($C570,tab_Agências[],7,FALSE)</f>
        <v>Rua Francisco da Cruz Maldonado, 132 - Portal da Olaria, São Sebastião, 11600-000</v>
      </c>
      <c r="J570" s="8" t="str">
        <f>VLOOKUP($C570,tab_Agências[],8,FALSE)</f>
        <v>(12) 3862-2300</v>
      </c>
      <c r="K570" s="8" t="str">
        <f>VLOOKUP($C570,tab_Agências[],9,FALSE)</f>
        <v>(12) 3862-2300</v>
      </c>
      <c r="L570" s="8" t="str">
        <f>VLOOKUP($C570,tab_Agências[],10,FALSE)</f>
        <v>ssebastiao@cetesbnet.sp.gov.br</v>
      </c>
    </row>
    <row r="571" spans="1:12" x14ac:dyDescent="0.25">
      <c r="A571" s="8">
        <v>3550803</v>
      </c>
      <c r="B571" s="8" t="s">
        <v>1509</v>
      </c>
      <c r="C571" s="9">
        <v>35</v>
      </c>
      <c r="D571" s="10" t="str">
        <f>VLOOKUP($C571,tab_Agências[],2,FALSE)</f>
        <v>Agência Ambiental de São João da Boa Vista</v>
      </c>
      <c r="E571" s="8" t="str">
        <f>VLOOKUP($C571,tab_Agências[],3,FALSE)</f>
        <v>Rua Marechal Deodoro, 345</v>
      </c>
      <c r="F571" s="8" t="str">
        <f>VLOOKUP($C571,tab_Agências[],4,FALSE)</f>
        <v>Centro</v>
      </c>
      <c r="G571" s="8" t="str">
        <f>VLOOKUP($C571,tab_Agências[],5,FALSE)</f>
        <v>13870-223</v>
      </c>
      <c r="H571" s="8" t="str">
        <f>VLOOKUP($C571,tab_Agências[],6,FALSE)</f>
        <v>São João da Boa Vista</v>
      </c>
      <c r="I571" s="8" t="str">
        <f>VLOOKUP($C571,tab_Agências[],7,FALSE)</f>
        <v>Rua Marechal Deodoro, 345 - Centro, São João da Boa Vista, 13870-223</v>
      </c>
      <c r="J571" s="8" t="str">
        <f>VLOOKUP($C571,tab_Agências[],8,FALSE)</f>
        <v>(19) 3633-1510</v>
      </c>
      <c r="K571" s="8" t="str">
        <f>VLOOKUP($C571,tab_Agências[],9,FALSE)</f>
        <v>(19) 3633-1510</v>
      </c>
      <c r="L571" s="8" t="str">
        <f>VLOOKUP($C571,tab_Agências[],10,FALSE)</f>
        <v>sjboavista@cetesbnet.sp.gov.br</v>
      </c>
    </row>
    <row r="572" spans="1:12" x14ac:dyDescent="0.25">
      <c r="A572" s="8">
        <v>3550902</v>
      </c>
      <c r="B572" s="8" t="s">
        <v>1510</v>
      </c>
      <c r="C572" s="9">
        <v>31</v>
      </c>
      <c r="D572" s="10" t="str">
        <f>VLOOKUP($C572,tab_Agências[],2,FALSE)</f>
        <v>Agência Ambiental de Ribeirão Preto</v>
      </c>
      <c r="E572" s="8" t="str">
        <f>VLOOKUP($C572,tab_Agências[],3,FALSE)</f>
        <v>Avenida Presidente Kennedy, 1760</v>
      </c>
      <c r="F572" s="8" t="str">
        <f>VLOOKUP($C572,tab_Agências[],4,FALSE)</f>
        <v>Ribeirânia</v>
      </c>
      <c r="G572" s="8" t="str">
        <f>VLOOKUP($C572,tab_Agências[],5,FALSE)</f>
        <v>14096-350</v>
      </c>
      <c r="H572" s="8" t="str">
        <f>VLOOKUP($C572,tab_Agências[],6,FALSE)</f>
        <v>Ribeirão Preto</v>
      </c>
      <c r="I572" s="8" t="str">
        <f>VLOOKUP($C572,tab_Agências[],7,FALSE)</f>
        <v>Avenida Presidente Kennedy, 1760 - Ribeirânia, Ribeirão Preto, 14096-350</v>
      </c>
      <c r="J572" s="8" t="str">
        <f>VLOOKUP($C572,tab_Agências[],8,FALSE)</f>
        <v>(16) 3617-4700</v>
      </c>
      <c r="K572" s="8" t="str">
        <f>VLOOKUP($C572,tab_Agências[],9,FALSE)</f>
        <v>(16) 3617-4207</v>
      </c>
      <c r="L572" s="8" t="str">
        <f>VLOOKUP($C572,tab_Agências[],10,FALSE)</f>
        <v>ribeirao@cetesbnet.sp.gov.br</v>
      </c>
    </row>
    <row r="573" spans="1:12" x14ac:dyDescent="0.25">
      <c r="A573" s="8">
        <v>3551009</v>
      </c>
      <c r="B573" s="8" t="s">
        <v>1511</v>
      </c>
      <c r="C573" s="9">
        <v>33</v>
      </c>
      <c r="D573" s="10" t="str">
        <f>VLOOKUP($C573,tab_Agências[],2,FALSE)</f>
        <v>Agência Ambiental de Santos</v>
      </c>
      <c r="E573" s="8" t="str">
        <f>VLOOKUP($C573,tab_Agências[],3,FALSE)</f>
        <v>Rua Delfim Moreira, 56</v>
      </c>
      <c r="F573" s="8" t="str">
        <f>VLOOKUP($C573,tab_Agências[],4,FALSE)</f>
        <v>Embaré</v>
      </c>
      <c r="G573" s="8" t="str">
        <f>VLOOKUP($C573,tab_Agências[],5,FALSE)</f>
        <v>11040-100</v>
      </c>
      <c r="H573" s="8" t="str">
        <f>VLOOKUP($C573,tab_Agências[],6,FALSE)</f>
        <v>Santos</v>
      </c>
      <c r="I573" s="8" t="str">
        <f>VLOOKUP($C573,tab_Agências[],7,FALSE)</f>
        <v>Rua Delfim Moreira, 56 - Embaré, Santos, 11040-100</v>
      </c>
      <c r="J573" s="8" t="str">
        <f>VLOOKUP($C573,tab_Agências[],8,FALSE)</f>
        <v>(13) 3227-7767</v>
      </c>
      <c r="K573" s="8" t="str">
        <f>VLOOKUP($C573,tab_Agências[],9,FALSE)</f>
        <v>(13) 3227-7767</v>
      </c>
      <c r="L573" s="8" t="str">
        <f>VLOOKUP($C573,tab_Agências[],10,FALSE)</f>
        <v>santos@cetesbnet.sp.gov.br</v>
      </c>
    </row>
    <row r="574" spans="1:12" x14ac:dyDescent="0.25">
      <c r="A574" s="8">
        <v>3551108</v>
      </c>
      <c r="B574" s="8" t="s">
        <v>1512</v>
      </c>
      <c r="C574" s="9">
        <v>17</v>
      </c>
      <c r="D574" s="10" t="str">
        <f>VLOOKUP($C574,tab_Agências[],2,FALSE)</f>
        <v>Agência Ambiental de Itapetininga</v>
      </c>
      <c r="E574" s="8" t="str">
        <f>VLOOKUP($C574,tab_Agências[],3,FALSE)</f>
        <v>Rua General Carneiro, 196</v>
      </c>
      <c r="F574" s="8" t="str">
        <f>VLOOKUP($C574,tab_Agências[],4,FALSE)</f>
        <v>Centro</v>
      </c>
      <c r="G574" s="8" t="str">
        <f>VLOOKUP($C574,tab_Agências[],5,FALSE)</f>
        <v>18200-024</v>
      </c>
      <c r="H574" s="8" t="str">
        <f>VLOOKUP($C574,tab_Agências[],6,FALSE)</f>
        <v>Itapetininga</v>
      </c>
      <c r="I574" s="8" t="str">
        <f>VLOOKUP($C574,tab_Agências[],7,FALSE)</f>
        <v>Rua General Carneiro, 196 - Centro, Itapetininga, 18200-024</v>
      </c>
      <c r="J574" s="8" t="str">
        <f>VLOOKUP($C574,tab_Agências[],8,FALSE)</f>
        <v>(15) 3272-2888</v>
      </c>
      <c r="K574" s="8" t="str">
        <f>VLOOKUP($C574,tab_Agências[],9,FALSE)</f>
        <v>(15) 3272-2891</v>
      </c>
      <c r="L574" s="8" t="str">
        <f>VLOOKUP($C574,tab_Agências[],10,FALSE)</f>
        <v>itapetininga@cetesbnet.sp.gov.br</v>
      </c>
    </row>
    <row r="575" spans="1:12" x14ac:dyDescent="0.25">
      <c r="A575" s="8">
        <v>3551207</v>
      </c>
      <c r="B575" s="8" t="s">
        <v>1513</v>
      </c>
      <c r="C575" s="9">
        <v>6</v>
      </c>
      <c r="D575" s="10" t="str">
        <f>VLOOKUP($C575,tab_Agências[],2,FALSE)</f>
        <v>Agência Ambiental de Avaré</v>
      </c>
      <c r="E575" s="8" t="str">
        <f>VLOOKUP($C575,tab_Agências[],3,FALSE)</f>
        <v>Avenida Governador Mário Covas, 525</v>
      </c>
      <c r="F575" s="8" t="str">
        <f>VLOOKUP($C575,tab_Agências[],4,FALSE)</f>
        <v>Vila Industrial</v>
      </c>
      <c r="G575" s="8" t="str">
        <f>VLOOKUP($C575,tab_Agências[],5,FALSE)</f>
        <v>18705-851</v>
      </c>
      <c r="H575" s="8" t="str">
        <f>VLOOKUP($C575,tab_Agências[],6,FALSE)</f>
        <v>Avaré</v>
      </c>
      <c r="I575" s="8" t="str">
        <f>VLOOKUP($C575,tab_Agências[],7,FALSE)</f>
        <v>Avenida Governador Mário Covas, 525 - Vila Industrial, Avaré, 18705-851</v>
      </c>
      <c r="J575" s="8" t="str">
        <f>VLOOKUP($C575,tab_Agências[],8,FALSE)</f>
        <v>(14) 3732-4900</v>
      </c>
      <c r="K575" s="8" t="str">
        <f>VLOOKUP($C575,tab_Agências[],9,FALSE)</f>
        <v xml:space="preserve"> </v>
      </c>
      <c r="L575" s="8" t="str">
        <f>VLOOKUP($C575,tab_Agências[],10,FALSE)</f>
        <v>avare@cetesbnet.sp.gov.br</v>
      </c>
    </row>
    <row r="576" spans="1:12" x14ac:dyDescent="0.25">
      <c r="A576" s="8">
        <v>3551306</v>
      </c>
      <c r="B576" s="8" t="s">
        <v>1514</v>
      </c>
      <c r="C576" s="9">
        <v>41</v>
      </c>
      <c r="D576" s="10" t="str">
        <f>VLOOKUP($C576,tab_Agências[],2,FALSE)</f>
        <v>Agência Ambiental de Votuporanga</v>
      </c>
      <c r="E576" s="8" t="str">
        <f>VLOOKUP($C576,tab_Agências[],3,FALSE)</f>
        <v>Avenida Deputado Aureo Ferreira, 1724</v>
      </c>
      <c r="F576" s="8" t="str">
        <f>VLOOKUP($C576,tab_Agências[],4,FALSE)</f>
        <v>Vila Paes</v>
      </c>
      <c r="G576" s="8" t="str">
        <f>VLOOKUP($C576,tab_Agências[],5,FALSE)</f>
        <v>15500-112</v>
      </c>
      <c r="H576" s="8" t="str">
        <f>VLOOKUP($C576,tab_Agências[],6,FALSE)</f>
        <v>Votuporanga</v>
      </c>
      <c r="I576" s="8" t="str">
        <f>VLOOKUP($C576,tab_Agências[],7,FALSE)</f>
        <v>Avenida Deputado Aureo Ferreira, 1724 - Vila Paes, Votuporanga, 15500-112</v>
      </c>
      <c r="J576" s="8" t="str">
        <f>VLOOKUP($C576,tab_Agências[],8,FALSE)</f>
        <v>(17) 3421-4004</v>
      </c>
      <c r="K576" s="8" t="str">
        <f>VLOOKUP($C576,tab_Agências[],9,FALSE)</f>
        <v>(17) 3421-4004</v>
      </c>
      <c r="L576" s="8" t="str">
        <f>VLOOKUP($C576,tab_Agências[],10,FALSE)</f>
        <v>votuporanga@cetesbnet.sp.gov.br</v>
      </c>
    </row>
    <row r="577" spans="1:12" x14ac:dyDescent="0.25">
      <c r="A577" s="8">
        <v>3551405</v>
      </c>
      <c r="B577" s="8" t="s">
        <v>1515</v>
      </c>
      <c r="C577" s="9">
        <v>31</v>
      </c>
      <c r="D577" s="10" t="str">
        <f>VLOOKUP($C577,tab_Agências[],2,FALSE)</f>
        <v>Agência Ambiental de Ribeirão Preto</v>
      </c>
      <c r="E577" s="8" t="str">
        <f>VLOOKUP($C577,tab_Agências[],3,FALSE)</f>
        <v>Avenida Presidente Kennedy, 1760</v>
      </c>
      <c r="F577" s="8" t="str">
        <f>VLOOKUP($C577,tab_Agências[],4,FALSE)</f>
        <v>Ribeirânia</v>
      </c>
      <c r="G577" s="8" t="str">
        <f>VLOOKUP($C577,tab_Agências[],5,FALSE)</f>
        <v>14096-350</v>
      </c>
      <c r="H577" s="8" t="str">
        <f>VLOOKUP($C577,tab_Agências[],6,FALSE)</f>
        <v>Ribeirão Preto</v>
      </c>
      <c r="I577" s="8" t="str">
        <f>VLOOKUP($C577,tab_Agências[],7,FALSE)</f>
        <v>Avenida Presidente Kennedy, 1760 - Ribeirânia, Ribeirão Preto, 14096-350</v>
      </c>
      <c r="J577" s="8" t="str">
        <f>VLOOKUP($C577,tab_Agências[],8,FALSE)</f>
        <v>(16) 3617-4700</v>
      </c>
      <c r="K577" s="8" t="str">
        <f>VLOOKUP($C577,tab_Agências[],9,FALSE)</f>
        <v>(16) 3617-4207</v>
      </c>
      <c r="L577" s="8" t="str">
        <f>VLOOKUP($C577,tab_Agências[],10,FALSE)</f>
        <v>ribeirao@cetesbnet.sp.gov.br</v>
      </c>
    </row>
    <row r="578" spans="1:12" x14ac:dyDescent="0.25">
      <c r="A578" s="8">
        <v>3551603</v>
      </c>
      <c r="B578" s="8" t="s">
        <v>1516</v>
      </c>
      <c r="C578" s="9">
        <v>25</v>
      </c>
      <c r="D578" s="10" t="str">
        <f>VLOOKUP($C578,tab_Agências[],2,FALSE)</f>
        <v>Agência Ambiental de Mogi Guaçu</v>
      </c>
      <c r="E578" s="8" t="str">
        <f>VLOOKUP($C578,tab_Agências[],3,FALSE)</f>
        <v>Rua Hugo Pancieira, 400</v>
      </c>
      <c r="F578" s="8" t="str">
        <f>VLOOKUP($C578,tab_Agências[],4,FALSE)</f>
        <v>Pedregulhal</v>
      </c>
      <c r="G578" s="8" t="str">
        <f>VLOOKUP($C578,tab_Agências[],5,FALSE)</f>
        <v>13845-190</v>
      </c>
      <c r="H578" s="8" t="str">
        <f>VLOOKUP($C578,tab_Agências[],6,FALSE)</f>
        <v>Mogi Guaçu</v>
      </c>
      <c r="I578" s="8" t="str">
        <f>VLOOKUP($C578,tab_Agências[],7,FALSE)</f>
        <v>Rua Hugo Pancieira, 400 - Pedregulhal, Mogi Guaçu, 13845-190</v>
      </c>
      <c r="J578" s="8" t="str">
        <f>VLOOKUP($C578,tab_Agências[],8,FALSE)</f>
        <v>(19) 3818-0396</v>
      </c>
      <c r="K578" s="8" t="str">
        <f>VLOOKUP($C578,tab_Agências[],9,FALSE)</f>
        <v>(19) 3818-0396</v>
      </c>
      <c r="L578" s="8" t="str">
        <f>VLOOKUP($C578,tab_Agências[],10,FALSE)</f>
        <v>mogiguacu@cetesbnet.sp.gov.br</v>
      </c>
    </row>
    <row r="579" spans="1:12" x14ac:dyDescent="0.25">
      <c r="A579" s="8">
        <v>3551504</v>
      </c>
      <c r="B579" s="8" t="s">
        <v>1517</v>
      </c>
      <c r="C579" s="9">
        <v>31</v>
      </c>
      <c r="D579" s="10" t="str">
        <f>VLOOKUP($C579,tab_Agências[],2,FALSE)</f>
        <v>Agência Ambiental de Ribeirão Preto</v>
      </c>
      <c r="E579" s="8" t="str">
        <f>VLOOKUP($C579,tab_Agências[],3,FALSE)</f>
        <v>Avenida Presidente Kennedy, 1760</v>
      </c>
      <c r="F579" s="8" t="str">
        <f>VLOOKUP($C579,tab_Agências[],4,FALSE)</f>
        <v>Ribeirânia</v>
      </c>
      <c r="G579" s="8" t="str">
        <f>VLOOKUP($C579,tab_Agências[],5,FALSE)</f>
        <v>14096-350</v>
      </c>
      <c r="H579" s="8" t="str">
        <f>VLOOKUP($C579,tab_Agências[],6,FALSE)</f>
        <v>Ribeirão Preto</v>
      </c>
      <c r="I579" s="8" t="str">
        <f>VLOOKUP($C579,tab_Agências[],7,FALSE)</f>
        <v>Avenida Presidente Kennedy, 1760 - Ribeirânia, Ribeirão Preto, 14096-350</v>
      </c>
      <c r="J579" s="8" t="str">
        <f>VLOOKUP($C579,tab_Agências[],8,FALSE)</f>
        <v>(16) 3617-4700</v>
      </c>
      <c r="K579" s="8" t="str">
        <f>VLOOKUP($C579,tab_Agências[],9,FALSE)</f>
        <v>(16) 3617-4207</v>
      </c>
      <c r="L579" s="8" t="str">
        <f>VLOOKUP($C579,tab_Agências[],10,FALSE)</f>
        <v>ribeirao@cetesbnet.sp.gov.br</v>
      </c>
    </row>
    <row r="580" spans="1:12" x14ac:dyDescent="0.25">
      <c r="A580" s="8">
        <v>3551702</v>
      </c>
      <c r="B580" s="8" t="s">
        <v>1518</v>
      </c>
      <c r="C580" s="9">
        <v>31</v>
      </c>
      <c r="D580" s="10" t="str">
        <f>VLOOKUP($C580,tab_Agências[],2,FALSE)</f>
        <v>Agência Ambiental de Ribeirão Preto</v>
      </c>
      <c r="E580" s="8" t="str">
        <f>VLOOKUP($C580,tab_Agências[],3,FALSE)</f>
        <v>Avenida Presidente Kennedy, 1760</v>
      </c>
      <c r="F580" s="8" t="str">
        <f>VLOOKUP($C580,tab_Agências[],4,FALSE)</f>
        <v>Ribeirânia</v>
      </c>
      <c r="G580" s="8" t="str">
        <f>VLOOKUP($C580,tab_Agências[],5,FALSE)</f>
        <v>14096-350</v>
      </c>
      <c r="H580" s="8" t="str">
        <f>VLOOKUP($C580,tab_Agências[],6,FALSE)</f>
        <v>Ribeirão Preto</v>
      </c>
      <c r="I580" s="8" t="str">
        <f>VLOOKUP($C580,tab_Agências[],7,FALSE)</f>
        <v>Avenida Presidente Kennedy, 1760 - Ribeirânia, Ribeirão Preto, 14096-350</v>
      </c>
      <c r="J580" s="8" t="str">
        <f>VLOOKUP($C580,tab_Agências[],8,FALSE)</f>
        <v>(16) 3617-4700</v>
      </c>
      <c r="K580" s="8" t="str">
        <f>VLOOKUP($C580,tab_Agências[],9,FALSE)</f>
        <v>(16) 3617-4207</v>
      </c>
      <c r="L580" s="8" t="str">
        <f>VLOOKUP($C580,tab_Agências[],10,FALSE)</f>
        <v>ribeirao@cetesbnet.sp.gov.br</v>
      </c>
    </row>
    <row r="581" spans="1:12" x14ac:dyDescent="0.25">
      <c r="A581" s="8">
        <v>3551801</v>
      </c>
      <c r="B581" s="8" t="s">
        <v>1519</v>
      </c>
      <c r="C581" s="9">
        <v>30</v>
      </c>
      <c r="D581" s="10" t="str">
        <f>VLOOKUP($C581,tab_Agências[],2,FALSE)</f>
        <v>Agência Ambiental de Registro</v>
      </c>
      <c r="E581" s="8" t="str">
        <f>VLOOKUP($C581,tab_Agências[],3,FALSE)</f>
        <v>Rua São Bento, 249</v>
      </c>
      <c r="F581" s="8" t="str">
        <f>VLOOKUP($C581,tab_Agências[],4,FALSE)</f>
        <v>Jardim São Nicolau</v>
      </c>
      <c r="G581" s="8" t="str">
        <f>VLOOKUP($C581,tab_Agências[],5,FALSE)</f>
        <v>11900-000</v>
      </c>
      <c r="H581" s="8" t="str">
        <f>VLOOKUP($C581,tab_Agências[],6,FALSE)</f>
        <v>Registro</v>
      </c>
      <c r="I581" s="8" t="str">
        <f>VLOOKUP($C581,tab_Agências[],7,FALSE)</f>
        <v>Rua São Bento, 249 - Jardim São Nicolau, Registro, 11900-000</v>
      </c>
      <c r="J581" s="8" t="str">
        <f>VLOOKUP($C581,tab_Agências[],8,FALSE)</f>
        <v>(13) 3822-3855</v>
      </c>
      <c r="K581" s="8" t="str">
        <f>VLOOKUP($C581,tab_Agências[],9,FALSE)</f>
        <v>(13) 3822-4437</v>
      </c>
      <c r="L581" s="8" t="str">
        <f>VLOOKUP($C581,tab_Agências[],10,FALSE)</f>
        <v>registro@cetesbnet.sp.gov.br</v>
      </c>
    </row>
    <row r="582" spans="1:12" x14ac:dyDescent="0.25">
      <c r="A582" s="8">
        <v>3551900</v>
      </c>
      <c r="B582" s="8" t="s">
        <v>1520</v>
      </c>
      <c r="C582" s="9">
        <v>7</v>
      </c>
      <c r="D582" s="10" t="str">
        <f>VLOOKUP($C582,tab_Agências[],2,FALSE)</f>
        <v>Agência Ambiental de Barretos</v>
      </c>
      <c r="E582" s="8" t="str">
        <f>VLOOKUP($C582,tab_Agências[],3,FALSE)</f>
        <v>Rua Bolívia, 2255</v>
      </c>
      <c r="F582" s="8" t="str">
        <f>VLOOKUP($C582,tab_Agências[],4,FALSE)</f>
        <v>América</v>
      </c>
      <c r="G582" s="8" t="str">
        <f>VLOOKUP($C582,tab_Agências[],5,FALSE)</f>
        <v>14783-197</v>
      </c>
      <c r="H582" s="8" t="str">
        <f>VLOOKUP($C582,tab_Agências[],6,FALSE)</f>
        <v>Barretos</v>
      </c>
      <c r="I582" s="8" t="str">
        <f>VLOOKUP($C582,tab_Agências[],7,FALSE)</f>
        <v>Rua Bolívia, 2255 - América, Barretos, 14783-197</v>
      </c>
      <c r="J582" s="8" t="str">
        <f>VLOOKUP($C582,tab_Agências[],8,FALSE)</f>
        <v>(17) 3322-2655</v>
      </c>
      <c r="K582" s="8" t="str">
        <f>VLOOKUP($C582,tab_Agências[],9,FALSE)</f>
        <v>(17) 3322-2952</v>
      </c>
      <c r="L582" s="8" t="str">
        <f>VLOOKUP($C582,tab_Agências[],10,FALSE)</f>
        <v>barretos@cetesbnet.sp.gov.br</v>
      </c>
    </row>
    <row r="583" spans="1:12" x14ac:dyDescent="0.25">
      <c r="A583" s="8">
        <v>3552007</v>
      </c>
      <c r="B583" s="8" t="s">
        <v>1521</v>
      </c>
      <c r="C583" s="9">
        <v>40</v>
      </c>
      <c r="D583" s="10" t="str">
        <f>VLOOKUP($C583,tab_Agências[],2,FALSE)</f>
        <v>Agência Ambiental de Taubaté</v>
      </c>
      <c r="E583" s="8" t="str">
        <f>VLOOKUP($C583,tab_Agências[],3,FALSE)</f>
        <v>Avenida Itambé, 38</v>
      </c>
      <c r="F583" s="8" t="str">
        <f>VLOOKUP($C583,tab_Agências[],4,FALSE)</f>
        <v>Sta. Luzia</v>
      </c>
      <c r="G583" s="8" t="str">
        <f>VLOOKUP($C583,tab_Agências[],5,FALSE)</f>
        <v>12091-200</v>
      </c>
      <c r="H583" s="8" t="str">
        <f>VLOOKUP($C583,tab_Agências[],6,FALSE)</f>
        <v>Taubaté</v>
      </c>
      <c r="I583" s="8" t="str">
        <f>VLOOKUP($C583,tab_Agências[],7,FALSE)</f>
        <v>Avenida Itambé, 38 - Sta. Luzia, Taubaté, 12091-200</v>
      </c>
      <c r="J583" s="8" t="str">
        <f>VLOOKUP($C583,tab_Agências[],8,FALSE)</f>
        <v>(12) 3634-8222</v>
      </c>
      <c r="K583" s="8" t="str">
        <f>VLOOKUP($C583,tab_Agências[],9,FALSE)</f>
        <v>(12) 3634-8234</v>
      </c>
      <c r="L583" s="8" t="str">
        <f>VLOOKUP($C583,tab_Agências[],10,FALSE)</f>
        <v>taubate@cetesbnet.sp.gov.br</v>
      </c>
    </row>
    <row r="584" spans="1:12" x14ac:dyDescent="0.25">
      <c r="A584" s="8">
        <v>3552106</v>
      </c>
      <c r="B584" s="8" t="s">
        <v>1522</v>
      </c>
      <c r="C584" s="9">
        <v>25</v>
      </c>
      <c r="D584" s="10" t="str">
        <f>VLOOKUP($C584,tab_Agências[],2,FALSE)</f>
        <v>Agência Ambiental de Mogi Guaçu</v>
      </c>
      <c r="E584" s="8" t="str">
        <f>VLOOKUP($C584,tab_Agências[],3,FALSE)</f>
        <v>Rua Hugo Pancieira, 400</v>
      </c>
      <c r="F584" s="8" t="str">
        <f>VLOOKUP($C584,tab_Agências[],4,FALSE)</f>
        <v>Pedregulhal</v>
      </c>
      <c r="G584" s="8" t="str">
        <f>VLOOKUP($C584,tab_Agências[],5,FALSE)</f>
        <v>13845-190</v>
      </c>
      <c r="H584" s="8" t="str">
        <f>VLOOKUP($C584,tab_Agências[],6,FALSE)</f>
        <v>Mogi Guaçu</v>
      </c>
      <c r="I584" s="8" t="str">
        <f>VLOOKUP($C584,tab_Agências[],7,FALSE)</f>
        <v>Rua Hugo Pancieira, 400 - Pedregulhal, Mogi Guaçu, 13845-190</v>
      </c>
      <c r="J584" s="8" t="str">
        <f>VLOOKUP($C584,tab_Agências[],8,FALSE)</f>
        <v>(19) 3818-0396</v>
      </c>
      <c r="K584" s="8" t="str">
        <f>VLOOKUP($C584,tab_Agências[],9,FALSE)</f>
        <v>(19) 3818-0396</v>
      </c>
      <c r="L584" s="8" t="str">
        <f>VLOOKUP($C584,tab_Agências[],10,FALSE)</f>
        <v>mogiguacu@cetesbnet.sp.gov.br</v>
      </c>
    </row>
    <row r="585" spans="1:12" x14ac:dyDescent="0.25">
      <c r="A585" s="8">
        <v>3552205</v>
      </c>
      <c r="B585" s="8" t="s">
        <v>1523</v>
      </c>
      <c r="C585" s="9">
        <v>39</v>
      </c>
      <c r="D585" s="10" t="str">
        <f>VLOOKUP($C585,tab_Agências[],2,FALSE)</f>
        <v>Agência Ambiental de Sorocaba</v>
      </c>
      <c r="E585" s="8" t="str">
        <f>VLOOKUP($C585,tab_Agências[],3,FALSE)</f>
        <v>Avenida Américo de Carvalho, 820</v>
      </c>
      <c r="F585" s="8" t="str">
        <f>VLOOKUP($C585,tab_Agências[],4,FALSE)</f>
        <v>Jardim Europa</v>
      </c>
      <c r="G585" s="8" t="str">
        <f>VLOOKUP($C585,tab_Agências[],5,FALSE)</f>
        <v>18045-000</v>
      </c>
      <c r="H585" s="8" t="str">
        <f>VLOOKUP($C585,tab_Agências[],6,FALSE)</f>
        <v>Sorocaba</v>
      </c>
      <c r="I585" s="8" t="str">
        <f>VLOOKUP($C585,tab_Agências[],7,FALSE)</f>
        <v>Avenida Américo de Carvalho, 820 - Jardim Europa, Sorocaba, 18045-000</v>
      </c>
      <c r="J585" s="8" t="str">
        <f>VLOOKUP($C585,tab_Agências[],8,FALSE)</f>
        <v>(15) 3222-2065</v>
      </c>
      <c r="K585" s="8" t="str">
        <f>VLOOKUP($C585,tab_Agências[],9,FALSE)</f>
        <v>(15) 3222-2065</v>
      </c>
      <c r="L585" s="8" t="str">
        <f>VLOOKUP($C585,tab_Agências[],10,FALSE)</f>
        <v>sorocaba@cetesbnet.sp.gov.br</v>
      </c>
    </row>
    <row r="586" spans="1:12" x14ac:dyDescent="0.25">
      <c r="A586" s="8">
        <v>3552304</v>
      </c>
      <c r="B586" s="8" t="s">
        <v>1524</v>
      </c>
      <c r="C586" s="9">
        <v>20</v>
      </c>
      <c r="D586" s="10" t="str">
        <f>VLOOKUP($C586,tab_Agências[],2,FALSE)</f>
        <v>Agência Ambiental de Jales</v>
      </c>
      <c r="E586" s="8" t="str">
        <f>VLOOKUP($C586,tab_Agências[],3,FALSE)</f>
        <v>Rua Nova Iorque, 1016</v>
      </c>
      <c r="F586" s="8" t="str">
        <f>VLOOKUP($C586,tab_Agências[],4,FALSE)</f>
        <v>Jardim Monte Rrey</v>
      </c>
      <c r="G586" s="8" t="str">
        <f>VLOOKUP($C586,tab_Agências[],5,FALSE)</f>
        <v>15703-326</v>
      </c>
      <c r="H586" s="8" t="str">
        <f>VLOOKUP($C586,tab_Agências[],6,FALSE)</f>
        <v>Jales</v>
      </c>
      <c r="I586" s="8" t="str">
        <f>VLOOKUP($C586,tab_Agências[],7,FALSE)</f>
        <v>Rua Nova Iorque, 1016 - Jardim Monte Rrey, Jales, 15703-326</v>
      </c>
      <c r="J586" s="8" t="str">
        <f>VLOOKUP($C586,tab_Agências[],8,FALSE)</f>
        <v>(17) 3621-1042</v>
      </c>
      <c r="K586" s="8" t="str">
        <f>VLOOKUP($C586,tab_Agências[],9,FALSE)</f>
        <v>(17) 3621-1042</v>
      </c>
      <c r="L586" s="8" t="str">
        <f>VLOOKUP($C586,tab_Agências[],10,FALSE)</f>
        <v>jales@cetesbnet.sp.gov.br</v>
      </c>
    </row>
    <row r="587" spans="1:12" x14ac:dyDescent="0.25">
      <c r="A587" s="8">
        <v>3552403</v>
      </c>
      <c r="B587" s="8" t="s">
        <v>1525</v>
      </c>
      <c r="C587" s="9">
        <v>1</v>
      </c>
      <c r="D587" s="10" t="str">
        <f>VLOOKUP($C587,tab_Agências[],2,FALSE)</f>
        <v>Agência Ambiental de Americana</v>
      </c>
      <c r="E587" s="8" t="str">
        <f>VLOOKUP($C587,tab_Agências[],3,FALSE)</f>
        <v>Rua Florindo Cibin, 435</v>
      </c>
      <c r="F587" s="8" t="str">
        <f>VLOOKUP($C587,tab_Agências[],4,FALSE)</f>
        <v>Vila Medon</v>
      </c>
      <c r="G587" s="8" t="str">
        <f>VLOOKUP($C587,tab_Agências[],5,FALSE)</f>
        <v>13465-230</v>
      </c>
      <c r="H587" s="8" t="str">
        <f>VLOOKUP($C587,tab_Agências[],6,FALSE)</f>
        <v>Americana</v>
      </c>
      <c r="I587" s="8" t="str">
        <f>VLOOKUP($C587,tab_Agências[],7,FALSE)</f>
        <v>Rua Florindo Cibin, 435 - Vila Medon, Americana, 13465-230</v>
      </c>
      <c r="J587" s="8" t="str">
        <f>VLOOKUP($C587,tab_Agências[],8,FALSE)</f>
        <v>(19) 3461-1550</v>
      </c>
      <c r="K587" s="8" t="str">
        <f>VLOOKUP($C587,tab_Agências[],9,FALSE)</f>
        <v>(19) 3461-1550</v>
      </c>
      <c r="L587" s="8" t="str">
        <f>VLOOKUP($C587,tab_Agências[],10,FALSE)</f>
        <v>americana@cetesbnet.sp.gov.br</v>
      </c>
    </row>
    <row r="588" spans="1:12" x14ac:dyDescent="0.25">
      <c r="A588" s="8">
        <v>3552551</v>
      </c>
      <c r="B588" s="8" t="s">
        <v>1526</v>
      </c>
      <c r="C588" s="9">
        <v>20</v>
      </c>
      <c r="D588" s="10" t="str">
        <f>VLOOKUP($C588,tab_Agências[],2,FALSE)</f>
        <v>Agência Ambiental de Jales</v>
      </c>
      <c r="E588" s="8" t="str">
        <f>VLOOKUP($C588,tab_Agências[],3,FALSE)</f>
        <v>Rua Nova Iorque, 1016</v>
      </c>
      <c r="F588" s="8" t="str">
        <f>VLOOKUP($C588,tab_Agências[],4,FALSE)</f>
        <v>Jardim Monte Rrey</v>
      </c>
      <c r="G588" s="8" t="str">
        <f>VLOOKUP($C588,tab_Agências[],5,FALSE)</f>
        <v>15703-326</v>
      </c>
      <c r="H588" s="8" t="str">
        <f>VLOOKUP($C588,tab_Agências[],6,FALSE)</f>
        <v>Jales</v>
      </c>
      <c r="I588" s="8" t="str">
        <f>VLOOKUP($C588,tab_Agências[],7,FALSE)</f>
        <v>Rua Nova Iorque, 1016 - Jardim Monte Rrey, Jales, 15703-326</v>
      </c>
      <c r="J588" s="8" t="str">
        <f>VLOOKUP($C588,tab_Agências[],8,FALSE)</f>
        <v>(17) 3621-1042</v>
      </c>
      <c r="K588" s="8" t="str">
        <f>VLOOKUP($C588,tab_Agências[],9,FALSE)</f>
        <v>(17) 3621-1042</v>
      </c>
      <c r="L588" s="8" t="str">
        <f>VLOOKUP($C588,tab_Agências[],10,FALSE)</f>
        <v>jales@cetesbnet.sp.gov.br</v>
      </c>
    </row>
    <row r="589" spans="1:12" x14ac:dyDescent="0.25">
      <c r="A589" s="8">
        <v>3552502</v>
      </c>
      <c r="B589" s="8" t="s">
        <v>1527</v>
      </c>
      <c r="C589" s="9">
        <v>24</v>
      </c>
      <c r="D589" s="10" t="str">
        <f>VLOOKUP($C589,tab_Agências[],2,FALSE)</f>
        <v>Agência Ambiental de Mogi das Cruzes</v>
      </c>
      <c r="E589" s="8" t="str">
        <f>VLOOKUP($C589,tab_Agências[],3,FALSE)</f>
        <v>Avenida João XXIII, 165</v>
      </c>
      <c r="F589" s="8" t="str">
        <f>VLOOKUP($C589,tab_Agências[],4,FALSE)</f>
        <v>Socorro</v>
      </c>
      <c r="G589" s="8" t="str">
        <f>VLOOKUP($C589,tab_Agências[],5,FALSE)</f>
        <v>08830-000</v>
      </c>
      <c r="H589" s="8" t="str">
        <f>VLOOKUP($C589,tab_Agências[],6,FALSE)</f>
        <v>Mogi das Cruzes</v>
      </c>
      <c r="I589" s="8" t="str">
        <f>VLOOKUP($C589,tab_Agências[],7,FALSE)</f>
        <v>Avenida João XXIII, 165 - Socorro, Mogi das Cruzes, 08830-000</v>
      </c>
      <c r="J589" s="8" t="str">
        <f>VLOOKUP($C589,tab_Agências[],8,FALSE)</f>
        <v>(11) 4725-7490</v>
      </c>
      <c r="K589" s="8" t="str">
        <f>VLOOKUP($C589,tab_Agências[],9,FALSE)</f>
        <v xml:space="preserve"> </v>
      </c>
      <c r="L589" s="8" t="str">
        <f>VLOOKUP($C589,tab_Agências[],10,FALSE)</f>
        <v>mogi@cetesbnet.sp.gov.br</v>
      </c>
    </row>
    <row r="590" spans="1:12" x14ac:dyDescent="0.25">
      <c r="A590" s="8">
        <v>3552601</v>
      </c>
      <c r="B590" s="8" t="s">
        <v>1528</v>
      </c>
      <c r="C590" s="9">
        <v>36</v>
      </c>
      <c r="D590" s="10" t="str">
        <f>VLOOKUP($C590,tab_Agências[],2,FALSE)</f>
        <v>Agência Ambiental de São José do Rio Preto</v>
      </c>
      <c r="E590" s="8" t="str">
        <f>VLOOKUP($C590,tab_Agências[],3,FALSE)</f>
        <v>Avenida Mário Andreazza,</v>
      </c>
      <c r="F590" s="8" t="str">
        <f>VLOOKUP($C590,tab_Agências[],4,FALSE)</f>
        <v>Jardim São Marcos</v>
      </c>
      <c r="G590" s="8" t="str">
        <f>VLOOKUP($C590,tab_Agências[],5,FALSE)</f>
        <v>15081-490</v>
      </c>
      <c r="H590" s="8" t="str">
        <f>VLOOKUP($C590,tab_Agências[],6,FALSE)</f>
        <v>São José do Rio Preto</v>
      </c>
      <c r="I590" s="8" t="str">
        <f>VLOOKUP($C590,tab_Agências[],7,FALSE)</f>
        <v>Avenida Mário Andreazza, - Jardim São Marcos, São José do Rio Preto, 15081-490</v>
      </c>
      <c r="J590" s="8" t="str">
        <f>VLOOKUP($C590,tab_Agências[],8,FALSE)</f>
        <v>(17) 3218-4300</v>
      </c>
      <c r="K590" s="8" t="str">
        <f>VLOOKUP($C590,tab_Agências[],9,FALSE)</f>
        <v>(17) 3218-4300</v>
      </c>
      <c r="L590" s="8" t="str">
        <f>VLOOKUP($C590,tab_Agências[],10,FALSE)</f>
        <v>riopreto@cetesbnet.sp.gov.br</v>
      </c>
    </row>
    <row r="591" spans="1:12" x14ac:dyDescent="0.25">
      <c r="A591" s="8">
        <v>3552700</v>
      </c>
      <c r="B591" s="8" t="s">
        <v>1529</v>
      </c>
      <c r="C591" s="9">
        <v>3</v>
      </c>
      <c r="D591" s="10" t="str">
        <f>VLOOKUP($C591,tab_Agências[],2,FALSE)</f>
        <v>Agência Ambiental de Araraquara</v>
      </c>
      <c r="E591" s="8" t="str">
        <f>VLOOKUP($C591,tab_Agências[],3,FALSE)</f>
        <v>Avenida Castro Alves, 1271</v>
      </c>
      <c r="F591" s="8" t="str">
        <f>VLOOKUP($C591,tab_Agências[],4,FALSE)</f>
        <v>Carmo</v>
      </c>
      <c r="G591" s="8" t="str">
        <f>VLOOKUP($C591,tab_Agências[],5,FALSE)</f>
        <v>14800-140</v>
      </c>
      <c r="H591" s="8" t="str">
        <f>VLOOKUP($C591,tab_Agências[],6,FALSE)</f>
        <v>Araraquara</v>
      </c>
      <c r="I591" s="8" t="str">
        <f>VLOOKUP($C591,tab_Agências[],7,FALSE)</f>
        <v>Avenida Castro Alves, 1271 - Carmo, Araraquara, 14800-140</v>
      </c>
      <c r="J591" s="8" t="str">
        <f>VLOOKUP($C591,tab_Agências[],8,FALSE)</f>
        <v>(16) 3332-2211</v>
      </c>
      <c r="K591" s="8" t="str">
        <f>VLOOKUP($C591,tab_Agências[],9,FALSE)</f>
        <v>(16) 3332-2211</v>
      </c>
      <c r="L591" s="8" t="str">
        <f>VLOOKUP($C591,tab_Agências[],10,FALSE)</f>
        <v>araraquara@cetesbnet.sp.gov.br</v>
      </c>
    </row>
    <row r="592" spans="1:12" x14ac:dyDescent="0.25">
      <c r="A592" s="8">
        <v>3552809</v>
      </c>
      <c r="B592" s="8" t="s">
        <v>1530</v>
      </c>
      <c r="C592" s="9">
        <v>14</v>
      </c>
      <c r="D592" s="10" t="str">
        <f>VLOOKUP($C592,tab_Agências[],2,FALSE)</f>
        <v>Agência Ambiental de Embu das Artes</v>
      </c>
      <c r="E592" s="8" t="str">
        <f>VLOOKUP($C592,tab_Agências[],3,FALSE)</f>
        <v>Rua João Paulo I, 495</v>
      </c>
      <c r="F592" s="8" t="str">
        <f>VLOOKUP($C592,tab_Agências[],4,FALSE)</f>
        <v>Jardim São Luiz</v>
      </c>
      <c r="G592" s="8" t="str">
        <f>VLOOKUP($C592,tab_Agências[],5,FALSE)</f>
        <v>06816-550</v>
      </c>
      <c r="H592" s="8" t="str">
        <f>VLOOKUP($C592,tab_Agências[],6,FALSE)</f>
        <v>Embu das Artes</v>
      </c>
      <c r="I592" s="8" t="str">
        <f>VLOOKUP($C592,tab_Agências[],7,FALSE)</f>
        <v>Rua João Paulo I, 495 - Jardim São Luiz, Embu das Artes, 06816-550</v>
      </c>
      <c r="J592" s="8" t="str">
        <f>VLOOKUP($C592,tab_Agências[],8,FALSE)</f>
        <v>(11) 4704-8835</v>
      </c>
      <c r="K592" s="8" t="str">
        <f>VLOOKUP($C592,tab_Agências[],9,FALSE)</f>
        <v>(11) 4704-8835</v>
      </c>
      <c r="L592" s="8" t="str">
        <f>VLOOKUP($C592,tab_Agências[],10,FALSE)</f>
        <v>embu@cetesbnet.sp.gov.br</v>
      </c>
    </row>
    <row r="593" spans="1:12" x14ac:dyDescent="0.25">
      <c r="A593" s="8">
        <v>3552908</v>
      </c>
      <c r="B593" s="8" t="s">
        <v>1531</v>
      </c>
      <c r="C593" s="9">
        <v>29</v>
      </c>
      <c r="D593" s="10" t="str">
        <f>VLOOKUP($C593,tab_Agências[],2,FALSE)</f>
        <v>Agência Ambiental de Presidente Prudente</v>
      </c>
      <c r="E593" s="8" t="str">
        <f>VLOOKUP($C593,tab_Agências[],3,FALSE)</f>
        <v>Rua João Gonçalves Foz, 1738</v>
      </c>
      <c r="F593" s="8" t="str">
        <f>VLOOKUP($C593,tab_Agências[],4,FALSE)</f>
        <v>Jardim das Rosas</v>
      </c>
      <c r="G593" s="8" t="str">
        <f>VLOOKUP($C593,tab_Agências[],5,FALSE)</f>
        <v>19060-050</v>
      </c>
      <c r="H593" s="8" t="str">
        <f>VLOOKUP($C593,tab_Agências[],6,FALSE)</f>
        <v>Presidente Prudente</v>
      </c>
      <c r="I593" s="8" t="str">
        <f>VLOOKUP($C593,tab_Agências[],7,FALSE)</f>
        <v>Rua João Gonçalves Foz, 1738 - Jardim das Rosas, Presidente Prudente, 19060-050</v>
      </c>
      <c r="J593" s="8" t="str">
        <f>VLOOKUP($C593,tab_Agências[],8,FALSE)</f>
        <v>(18) 3223-5001</v>
      </c>
      <c r="K593" s="8" t="str">
        <f>VLOOKUP($C593,tab_Agências[],9,FALSE)</f>
        <v xml:space="preserve"> </v>
      </c>
      <c r="L593" s="8" t="str">
        <f>VLOOKUP($C593,tab_Agências[],10,FALSE)</f>
        <v>prudente@cetesbnet.sp.gov.br</v>
      </c>
    </row>
    <row r="594" spans="1:12" x14ac:dyDescent="0.25">
      <c r="A594" s="8">
        <v>3553005</v>
      </c>
      <c r="B594" s="8" t="s">
        <v>1532</v>
      </c>
      <c r="C594" s="9">
        <v>6</v>
      </c>
      <c r="D594" s="10" t="str">
        <f>VLOOKUP($C594,tab_Agências[],2,FALSE)</f>
        <v>Agência Ambiental de Avaré</v>
      </c>
      <c r="E594" s="8" t="str">
        <f>VLOOKUP($C594,tab_Agências[],3,FALSE)</f>
        <v>Avenida Governador Mário Covas, 525</v>
      </c>
      <c r="F594" s="8" t="str">
        <f>VLOOKUP($C594,tab_Agências[],4,FALSE)</f>
        <v>Vila Industrial</v>
      </c>
      <c r="G594" s="8" t="str">
        <f>VLOOKUP($C594,tab_Agências[],5,FALSE)</f>
        <v>18705-851</v>
      </c>
      <c r="H594" s="8" t="str">
        <f>VLOOKUP($C594,tab_Agências[],6,FALSE)</f>
        <v>Avaré</v>
      </c>
      <c r="I594" s="8" t="str">
        <f>VLOOKUP($C594,tab_Agências[],7,FALSE)</f>
        <v>Avenida Governador Mário Covas, 525 - Vila Industrial, Avaré, 18705-851</v>
      </c>
      <c r="J594" s="8" t="str">
        <f>VLOOKUP($C594,tab_Agências[],8,FALSE)</f>
        <v>(14) 3732-4900</v>
      </c>
      <c r="K594" s="8" t="str">
        <f>VLOOKUP($C594,tab_Agências[],9,FALSE)</f>
        <v xml:space="preserve"> </v>
      </c>
      <c r="L594" s="8" t="str">
        <f>VLOOKUP($C594,tab_Agências[],10,FALSE)</f>
        <v>avare@cetesbnet.sp.gov.br</v>
      </c>
    </row>
    <row r="595" spans="1:12" x14ac:dyDescent="0.25">
      <c r="A595" s="8">
        <v>3553104</v>
      </c>
      <c r="B595" s="8" t="s">
        <v>1533</v>
      </c>
      <c r="C595" s="9">
        <v>19</v>
      </c>
      <c r="D595" s="10" t="str">
        <f>VLOOKUP($C595,tab_Agências[],2,FALSE)</f>
        <v>Agência Ambiental de Jaboticabal</v>
      </c>
      <c r="E595" s="8" t="str">
        <f>VLOOKUP($C595,tab_Agências[],3,FALSE)</f>
        <v>Avenida Angelo Morello, 60</v>
      </c>
      <c r="F595" s="8" t="str">
        <f>VLOOKUP($C595,tab_Agências[],4,FALSE)</f>
        <v>Jardim Santa Rosa</v>
      </c>
      <c r="G595" s="8" t="str">
        <f>VLOOKUP($C595,tab_Agências[],5,FALSE)</f>
        <v>14875-290</v>
      </c>
      <c r="H595" s="8" t="str">
        <f>VLOOKUP($C595,tab_Agências[],6,FALSE)</f>
        <v>Jaboticabal</v>
      </c>
      <c r="I595" s="8" t="str">
        <f>VLOOKUP($C595,tab_Agências[],7,FALSE)</f>
        <v>Avenida Angelo Morello, 60 - Jardim Santa Rosa, Jaboticabal, 14875-290</v>
      </c>
      <c r="J595" s="8" t="str">
        <f>VLOOKUP($C595,tab_Agências[],8,FALSE)</f>
        <v>(16) 3203-9400</v>
      </c>
      <c r="K595" s="8" t="str">
        <f>VLOOKUP($C595,tab_Agências[],9,FALSE)</f>
        <v>(16) 3203-9400</v>
      </c>
      <c r="L595" s="8" t="str">
        <f>VLOOKUP($C595,tab_Agências[],10,FALSE)</f>
        <v>jaboticabal@cetesbnet.sp.gov.br</v>
      </c>
    </row>
    <row r="596" spans="1:12" x14ac:dyDescent="0.25">
      <c r="A596" s="8">
        <v>3553203</v>
      </c>
      <c r="B596" s="8" t="s">
        <v>1534</v>
      </c>
      <c r="C596" s="9">
        <v>19</v>
      </c>
      <c r="D596" s="10" t="str">
        <f>VLOOKUP($C596,tab_Agências[],2,FALSE)</f>
        <v>Agência Ambiental de Jaboticabal</v>
      </c>
      <c r="E596" s="8" t="str">
        <f>VLOOKUP($C596,tab_Agências[],3,FALSE)</f>
        <v>Avenida Angelo Morello, 60</v>
      </c>
      <c r="F596" s="8" t="str">
        <f>VLOOKUP($C596,tab_Agências[],4,FALSE)</f>
        <v>Jardim Santa Rosa</v>
      </c>
      <c r="G596" s="8" t="str">
        <f>VLOOKUP($C596,tab_Agências[],5,FALSE)</f>
        <v>14875-290</v>
      </c>
      <c r="H596" s="8" t="str">
        <f>VLOOKUP($C596,tab_Agências[],6,FALSE)</f>
        <v>Jaboticabal</v>
      </c>
      <c r="I596" s="8" t="str">
        <f>VLOOKUP($C596,tab_Agências[],7,FALSE)</f>
        <v>Avenida Angelo Morello, 60 - Jardim Santa Rosa, Jaboticabal, 14875-290</v>
      </c>
      <c r="J596" s="8" t="str">
        <f>VLOOKUP($C596,tab_Agências[],8,FALSE)</f>
        <v>(16) 3203-9400</v>
      </c>
      <c r="K596" s="8" t="str">
        <f>VLOOKUP($C596,tab_Agências[],9,FALSE)</f>
        <v>(16) 3203-9400</v>
      </c>
      <c r="L596" s="8" t="str">
        <f>VLOOKUP($C596,tab_Agências[],10,FALSE)</f>
        <v>jaboticabal@cetesbnet.sp.gov.br</v>
      </c>
    </row>
    <row r="597" spans="1:12" x14ac:dyDescent="0.25">
      <c r="A597" s="8">
        <v>3553302</v>
      </c>
      <c r="B597" s="8" t="s">
        <v>1535</v>
      </c>
      <c r="C597" s="9">
        <v>35</v>
      </c>
      <c r="D597" s="10" t="str">
        <f>VLOOKUP($C597,tab_Agências[],2,FALSE)</f>
        <v>Agência Ambiental de São João da Boa Vista</v>
      </c>
      <c r="E597" s="8" t="str">
        <f>VLOOKUP($C597,tab_Agências[],3,FALSE)</f>
        <v>Rua Marechal Deodoro, 345</v>
      </c>
      <c r="F597" s="8" t="str">
        <f>VLOOKUP($C597,tab_Agências[],4,FALSE)</f>
        <v>Centro</v>
      </c>
      <c r="G597" s="8" t="str">
        <f>VLOOKUP($C597,tab_Agências[],5,FALSE)</f>
        <v>13870-223</v>
      </c>
      <c r="H597" s="8" t="str">
        <f>VLOOKUP($C597,tab_Agências[],6,FALSE)</f>
        <v>São João da Boa Vista</v>
      </c>
      <c r="I597" s="8" t="str">
        <f>VLOOKUP($C597,tab_Agências[],7,FALSE)</f>
        <v>Rua Marechal Deodoro, 345 - Centro, São João da Boa Vista, 13870-223</v>
      </c>
      <c r="J597" s="8" t="str">
        <f>VLOOKUP($C597,tab_Agências[],8,FALSE)</f>
        <v>(19) 3633-1510</v>
      </c>
      <c r="K597" s="8" t="str">
        <f>VLOOKUP($C597,tab_Agências[],9,FALSE)</f>
        <v>(19) 3633-1510</v>
      </c>
      <c r="L597" s="8" t="str">
        <f>VLOOKUP($C597,tab_Agências[],10,FALSE)</f>
        <v>sjboavista@cetesbnet.sp.gov.br</v>
      </c>
    </row>
    <row r="598" spans="1:12" x14ac:dyDescent="0.25">
      <c r="A598" s="8">
        <v>3553401</v>
      </c>
      <c r="B598" s="8" t="s">
        <v>1536</v>
      </c>
      <c r="C598" s="9">
        <v>41</v>
      </c>
      <c r="D598" s="10" t="str">
        <f>VLOOKUP($C598,tab_Agências[],2,FALSE)</f>
        <v>Agência Ambiental de Votuporanga</v>
      </c>
      <c r="E598" s="8" t="str">
        <f>VLOOKUP($C598,tab_Agências[],3,FALSE)</f>
        <v>Avenida Deputado Aureo Ferreira, 1724</v>
      </c>
      <c r="F598" s="8" t="str">
        <f>VLOOKUP($C598,tab_Agências[],4,FALSE)</f>
        <v>Vila Paes</v>
      </c>
      <c r="G598" s="8" t="str">
        <f>VLOOKUP($C598,tab_Agências[],5,FALSE)</f>
        <v>15500-112</v>
      </c>
      <c r="H598" s="8" t="str">
        <f>VLOOKUP($C598,tab_Agências[],6,FALSE)</f>
        <v>Votuporanga</v>
      </c>
      <c r="I598" s="8" t="str">
        <f>VLOOKUP($C598,tab_Agências[],7,FALSE)</f>
        <v>Avenida Deputado Aureo Ferreira, 1724 - Vila Paes, Votuporanga, 15500-112</v>
      </c>
      <c r="J598" s="8" t="str">
        <f>VLOOKUP($C598,tab_Agências[],8,FALSE)</f>
        <v>(17) 3421-4004</v>
      </c>
      <c r="K598" s="8" t="str">
        <f>VLOOKUP($C598,tab_Agências[],9,FALSE)</f>
        <v>(17) 3421-4004</v>
      </c>
      <c r="L598" s="8" t="str">
        <f>VLOOKUP($C598,tab_Agências[],10,FALSE)</f>
        <v>votuporanga@cetesbnet.sp.gov.br</v>
      </c>
    </row>
    <row r="599" spans="1:12" x14ac:dyDescent="0.25">
      <c r="A599" s="8">
        <v>3553500</v>
      </c>
      <c r="B599" s="8" t="s">
        <v>1537</v>
      </c>
      <c r="C599" s="9">
        <v>39</v>
      </c>
      <c r="D599" s="10" t="str">
        <f>VLOOKUP($C599,tab_Agências[],2,FALSE)</f>
        <v>Agência Ambiental de Sorocaba</v>
      </c>
      <c r="E599" s="8" t="str">
        <f>VLOOKUP($C599,tab_Agências[],3,FALSE)</f>
        <v>Avenida Américo de Carvalho, 820</v>
      </c>
      <c r="F599" s="8" t="str">
        <f>VLOOKUP($C599,tab_Agências[],4,FALSE)</f>
        <v>Jardim Europa</v>
      </c>
      <c r="G599" s="8" t="str">
        <f>VLOOKUP($C599,tab_Agências[],5,FALSE)</f>
        <v>18045-000</v>
      </c>
      <c r="H599" s="8" t="str">
        <f>VLOOKUP($C599,tab_Agências[],6,FALSE)</f>
        <v>Sorocaba</v>
      </c>
      <c r="I599" s="8" t="str">
        <f>VLOOKUP($C599,tab_Agências[],7,FALSE)</f>
        <v>Avenida Américo de Carvalho, 820 - Jardim Europa, Sorocaba, 18045-000</v>
      </c>
      <c r="J599" s="8" t="str">
        <f>VLOOKUP($C599,tab_Agências[],8,FALSE)</f>
        <v>(15) 3222-2065</v>
      </c>
      <c r="K599" s="8" t="str">
        <f>VLOOKUP($C599,tab_Agências[],9,FALSE)</f>
        <v>(15) 3222-2065</v>
      </c>
      <c r="L599" s="8" t="str">
        <f>VLOOKUP($C599,tab_Agências[],10,FALSE)</f>
        <v>sorocaba@cetesbnet.sp.gov.br</v>
      </c>
    </row>
    <row r="600" spans="1:12" x14ac:dyDescent="0.25">
      <c r="A600" s="8">
        <v>3553609</v>
      </c>
      <c r="B600" s="8" t="s">
        <v>1538</v>
      </c>
      <c r="C600" s="9">
        <v>35</v>
      </c>
      <c r="D600" s="10" t="str">
        <f>VLOOKUP($C600,tab_Agências[],2,FALSE)</f>
        <v>Agência Ambiental de São João da Boa Vista</v>
      </c>
      <c r="E600" s="8" t="str">
        <f>VLOOKUP($C600,tab_Agências[],3,FALSE)</f>
        <v>Rua Marechal Deodoro, 345</v>
      </c>
      <c r="F600" s="8" t="str">
        <f>VLOOKUP($C600,tab_Agências[],4,FALSE)</f>
        <v>Centro</v>
      </c>
      <c r="G600" s="8" t="str">
        <f>VLOOKUP($C600,tab_Agências[],5,FALSE)</f>
        <v>13870-223</v>
      </c>
      <c r="H600" s="8" t="str">
        <f>VLOOKUP($C600,tab_Agências[],6,FALSE)</f>
        <v>São João da Boa Vista</v>
      </c>
      <c r="I600" s="8" t="str">
        <f>VLOOKUP($C600,tab_Agências[],7,FALSE)</f>
        <v>Rua Marechal Deodoro, 345 - Centro, São João da Boa Vista, 13870-223</v>
      </c>
      <c r="J600" s="8" t="str">
        <f>VLOOKUP($C600,tab_Agências[],8,FALSE)</f>
        <v>(19) 3633-1510</v>
      </c>
      <c r="K600" s="8" t="str">
        <f>VLOOKUP($C600,tab_Agências[],9,FALSE)</f>
        <v>(19) 3633-1510</v>
      </c>
      <c r="L600" s="8" t="str">
        <f>VLOOKUP($C600,tab_Agências[],10,FALSE)</f>
        <v>sjboavista@cetesbnet.sp.gov.br</v>
      </c>
    </row>
    <row r="601" spans="1:12" x14ac:dyDescent="0.25">
      <c r="A601" s="8">
        <v>3553658</v>
      </c>
      <c r="B601" s="8" t="s">
        <v>1539</v>
      </c>
      <c r="C601" s="9">
        <v>19</v>
      </c>
      <c r="D601" s="10" t="str">
        <f>VLOOKUP($C601,tab_Agências[],2,FALSE)</f>
        <v>Agência Ambiental de Jaboticabal</v>
      </c>
      <c r="E601" s="8" t="str">
        <f>VLOOKUP($C601,tab_Agências[],3,FALSE)</f>
        <v>Avenida Angelo Morello, 60</v>
      </c>
      <c r="F601" s="8" t="str">
        <f>VLOOKUP($C601,tab_Agências[],4,FALSE)</f>
        <v>Jardim Santa Rosa</v>
      </c>
      <c r="G601" s="8" t="str">
        <f>VLOOKUP($C601,tab_Agências[],5,FALSE)</f>
        <v>14875-290</v>
      </c>
      <c r="H601" s="8" t="str">
        <f>VLOOKUP($C601,tab_Agências[],6,FALSE)</f>
        <v>Jaboticabal</v>
      </c>
      <c r="I601" s="8" t="str">
        <f>VLOOKUP($C601,tab_Agências[],7,FALSE)</f>
        <v>Avenida Angelo Morello, 60 - Jardim Santa Rosa, Jaboticabal, 14875-290</v>
      </c>
      <c r="J601" s="8" t="str">
        <f>VLOOKUP($C601,tab_Agências[],8,FALSE)</f>
        <v>(16) 3203-9400</v>
      </c>
      <c r="K601" s="8" t="str">
        <f>VLOOKUP($C601,tab_Agências[],9,FALSE)</f>
        <v>(16) 3203-9400</v>
      </c>
      <c r="L601" s="8" t="str">
        <f>VLOOKUP($C601,tab_Agências[],10,FALSE)</f>
        <v>jaboticabal@cetesbnet.sp.gov.br</v>
      </c>
    </row>
    <row r="602" spans="1:12" x14ac:dyDescent="0.25">
      <c r="A602" s="8">
        <v>3553708</v>
      </c>
      <c r="B602" s="8" t="s">
        <v>1540</v>
      </c>
      <c r="C602" s="9">
        <v>19</v>
      </c>
      <c r="D602" s="10" t="str">
        <f>VLOOKUP($C602,tab_Agências[],2,FALSE)</f>
        <v>Agência Ambiental de Jaboticabal</v>
      </c>
      <c r="E602" s="8" t="str">
        <f>VLOOKUP($C602,tab_Agências[],3,FALSE)</f>
        <v>Avenida Angelo Morello, 60</v>
      </c>
      <c r="F602" s="8" t="str">
        <f>VLOOKUP($C602,tab_Agências[],4,FALSE)</f>
        <v>Jardim Santa Rosa</v>
      </c>
      <c r="G602" s="8" t="str">
        <f>VLOOKUP($C602,tab_Agências[],5,FALSE)</f>
        <v>14875-290</v>
      </c>
      <c r="H602" s="8" t="str">
        <f>VLOOKUP($C602,tab_Agências[],6,FALSE)</f>
        <v>Jaboticabal</v>
      </c>
      <c r="I602" s="8" t="str">
        <f>VLOOKUP($C602,tab_Agências[],7,FALSE)</f>
        <v>Avenida Angelo Morello, 60 - Jardim Santa Rosa, Jaboticabal, 14875-290</v>
      </c>
      <c r="J602" s="8" t="str">
        <f>VLOOKUP($C602,tab_Agências[],8,FALSE)</f>
        <v>(16) 3203-9400</v>
      </c>
      <c r="K602" s="8" t="str">
        <f>VLOOKUP($C602,tab_Agências[],9,FALSE)</f>
        <v>(16) 3203-9400</v>
      </c>
      <c r="L602" s="8" t="str">
        <f>VLOOKUP($C602,tab_Agências[],10,FALSE)</f>
        <v>jaboticabal@cetesbnet.sp.gov.br</v>
      </c>
    </row>
    <row r="603" spans="1:12" x14ac:dyDescent="0.25">
      <c r="A603" s="8">
        <v>3553807</v>
      </c>
      <c r="B603" s="8" t="s">
        <v>1541</v>
      </c>
      <c r="C603" s="9">
        <v>6</v>
      </c>
      <c r="D603" s="10" t="str">
        <f>VLOOKUP($C603,tab_Agências[],2,FALSE)</f>
        <v>Agência Ambiental de Avaré</v>
      </c>
      <c r="E603" s="8" t="str">
        <f>VLOOKUP($C603,tab_Agências[],3,FALSE)</f>
        <v>Avenida Governador Mário Covas, 525</v>
      </c>
      <c r="F603" s="8" t="str">
        <f>VLOOKUP($C603,tab_Agências[],4,FALSE)</f>
        <v>Vila Industrial</v>
      </c>
      <c r="G603" s="8" t="str">
        <f>VLOOKUP($C603,tab_Agências[],5,FALSE)</f>
        <v>18705-851</v>
      </c>
      <c r="H603" s="8" t="str">
        <f>VLOOKUP($C603,tab_Agências[],6,FALSE)</f>
        <v>Avaré</v>
      </c>
      <c r="I603" s="8" t="str">
        <f>VLOOKUP($C603,tab_Agências[],7,FALSE)</f>
        <v>Avenida Governador Mário Covas, 525 - Vila Industrial, Avaré, 18705-851</v>
      </c>
      <c r="J603" s="8" t="str">
        <f>VLOOKUP($C603,tab_Agências[],8,FALSE)</f>
        <v>(14) 3732-4900</v>
      </c>
      <c r="K603" s="8" t="str">
        <f>VLOOKUP($C603,tab_Agências[],9,FALSE)</f>
        <v xml:space="preserve"> </v>
      </c>
      <c r="L603" s="8" t="str">
        <f>VLOOKUP($C603,tab_Agências[],10,FALSE)</f>
        <v>avare@cetesbnet.sp.gov.br</v>
      </c>
    </row>
    <row r="604" spans="1:12" x14ac:dyDescent="0.25">
      <c r="A604" s="8">
        <v>3553856</v>
      </c>
      <c r="B604" s="8" t="s">
        <v>1542</v>
      </c>
      <c r="C604" s="9">
        <v>11</v>
      </c>
      <c r="D604" s="10" t="str">
        <f>VLOOKUP($C604,tab_Agências[],2,FALSE)</f>
        <v>Agência Ambiental de Capão Bonito</v>
      </c>
      <c r="E604" s="8" t="str">
        <f>VLOOKUP($C604,tab_Agências[],3,FALSE)</f>
        <v>Rua Denise, 131</v>
      </c>
      <c r="F604" s="8" t="str">
        <f>VLOOKUP($C604,tab_Agências[],4,FALSE)</f>
        <v>Terras de Imbirucu</v>
      </c>
      <c r="G604" s="8" t="str">
        <f>VLOOKUP($C604,tab_Agências[],5,FALSE)</f>
        <v>18304-700</v>
      </c>
      <c r="H604" s="8" t="str">
        <f>VLOOKUP($C604,tab_Agências[],6,FALSE)</f>
        <v>Capão Bonito</v>
      </c>
      <c r="I604" s="8" t="str">
        <f>VLOOKUP($C604,tab_Agências[],7,FALSE)</f>
        <v>Rua Denise, 131 - Terras de Imbirucu, Capão Bonito, 18304-700</v>
      </c>
      <c r="J604" s="8" t="str">
        <f>VLOOKUP($C604,tab_Agências[],8,FALSE)</f>
        <v>(15) 3542-3885</v>
      </c>
      <c r="K604" s="8" t="str">
        <f>VLOOKUP($C604,tab_Agências[],9,FALSE)</f>
        <v>(15) 3542-3885</v>
      </c>
      <c r="L604" s="8" t="str">
        <f>VLOOKUP($C604,tab_Agências[],10,FALSE)</f>
        <v>capaobonito@cetesbnet.sp.gov.br</v>
      </c>
    </row>
    <row r="605" spans="1:12" x14ac:dyDescent="0.25">
      <c r="A605" s="8">
        <v>3553906</v>
      </c>
      <c r="B605" s="8" t="s">
        <v>1543</v>
      </c>
      <c r="C605" s="9">
        <v>29</v>
      </c>
      <c r="D605" s="10" t="str">
        <f>VLOOKUP($C605,tab_Agências[],2,FALSE)</f>
        <v>Agência Ambiental de Presidente Prudente</v>
      </c>
      <c r="E605" s="8" t="str">
        <f>VLOOKUP($C605,tab_Agências[],3,FALSE)</f>
        <v>Rua João Gonçalves Foz, 1738</v>
      </c>
      <c r="F605" s="8" t="str">
        <f>VLOOKUP($C605,tab_Agências[],4,FALSE)</f>
        <v>Jardim das Rosas</v>
      </c>
      <c r="G605" s="8" t="str">
        <f>VLOOKUP($C605,tab_Agências[],5,FALSE)</f>
        <v>19060-050</v>
      </c>
      <c r="H605" s="8" t="str">
        <f>VLOOKUP($C605,tab_Agências[],6,FALSE)</f>
        <v>Presidente Prudente</v>
      </c>
      <c r="I605" s="8" t="str">
        <f>VLOOKUP($C605,tab_Agências[],7,FALSE)</f>
        <v>Rua João Gonçalves Foz, 1738 - Jardim das Rosas, Presidente Prudente, 19060-050</v>
      </c>
      <c r="J605" s="8" t="str">
        <f>VLOOKUP($C605,tab_Agências[],8,FALSE)</f>
        <v>(18) 3223-5001</v>
      </c>
      <c r="K605" s="8" t="str">
        <f>VLOOKUP($C605,tab_Agências[],9,FALSE)</f>
        <v xml:space="preserve"> </v>
      </c>
      <c r="L605" s="8" t="str">
        <f>VLOOKUP($C605,tab_Agências[],10,FALSE)</f>
        <v>prudente@cetesbnet.sp.gov.br</v>
      </c>
    </row>
    <row r="606" spans="1:12" x14ac:dyDescent="0.25">
      <c r="A606" s="8">
        <v>3553955</v>
      </c>
      <c r="B606" s="8" t="s">
        <v>1544</v>
      </c>
      <c r="C606" s="9">
        <v>4</v>
      </c>
      <c r="D606" s="10" t="str">
        <f>VLOOKUP($C606,tab_Agências[],2,FALSE)</f>
        <v>Agência Ambiental de Assis</v>
      </c>
      <c r="E606" s="8" t="str">
        <f>VLOOKUP($C606,tab_Agências[],3,FALSE)</f>
        <v>Via Chico Mendes, 75</v>
      </c>
      <c r="F606" s="8" t="str">
        <f>VLOOKUP($C606,tab_Agências[],4,FALSE)</f>
        <v>Quinta dos Flamboyants</v>
      </c>
      <c r="G606" s="8" t="str">
        <f>VLOOKUP($C606,tab_Agências[],5,FALSE)</f>
        <v>19810-005</v>
      </c>
      <c r="H606" s="8" t="str">
        <f>VLOOKUP($C606,tab_Agências[],6,FALSE)</f>
        <v>Assis</v>
      </c>
      <c r="I606" s="8" t="str">
        <f>VLOOKUP($C606,tab_Agências[],7,FALSE)</f>
        <v>Via Chico Mendes, 75 - Quinta dos Flamboyants, Assis, 19810-005</v>
      </c>
      <c r="J606" s="8" t="str">
        <f>VLOOKUP($C606,tab_Agências[],8,FALSE)</f>
        <v>(18) 3324-4177</v>
      </c>
      <c r="K606" s="8" t="str">
        <f>VLOOKUP($C606,tab_Agências[],9,FALSE)</f>
        <v>(18) 3324-4177</v>
      </c>
      <c r="L606" s="8" t="str">
        <f>VLOOKUP($C606,tab_Agências[],10,FALSE)</f>
        <v>assis@cetesbnet.sp.gov.br</v>
      </c>
    </row>
    <row r="607" spans="1:12" x14ac:dyDescent="0.25">
      <c r="A607" s="8">
        <v>3554003</v>
      </c>
      <c r="B607" s="8" t="s">
        <v>1545</v>
      </c>
      <c r="C607" s="9">
        <v>39</v>
      </c>
      <c r="D607" s="10" t="str">
        <f>VLOOKUP($C607,tab_Agências[],2,FALSE)</f>
        <v>Agência Ambiental de Sorocaba</v>
      </c>
      <c r="E607" s="8" t="str">
        <f>VLOOKUP($C607,tab_Agências[],3,FALSE)</f>
        <v>Avenida Américo de Carvalho, 820</v>
      </c>
      <c r="F607" s="8" t="str">
        <f>VLOOKUP($C607,tab_Agências[],4,FALSE)</f>
        <v>Jardim Europa</v>
      </c>
      <c r="G607" s="8" t="str">
        <f>VLOOKUP($C607,tab_Agências[],5,FALSE)</f>
        <v>18045-000</v>
      </c>
      <c r="H607" s="8" t="str">
        <f>VLOOKUP($C607,tab_Agências[],6,FALSE)</f>
        <v>Sorocaba</v>
      </c>
      <c r="I607" s="8" t="str">
        <f>VLOOKUP($C607,tab_Agências[],7,FALSE)</f>
        <v>Avenida Américo de Carvalho, 820 - Jardim Europa, Sorocaba, 18045-000</v>
      </c>
      <c r="J607" s="8" t="str">
        <f>VLOOKUP($C607,tab_Agências[],8,FALSE)</f>
        <v>(15) 3222-2065</v>
      </c>
      <c r="K607" s="8" t="str">
        <f>VLOOKUP($C607,tab_Agências[],9,FALSE)</f>
        <v>(15) 3222-2065</v>
      </c>
      <c r="L607" s="8" t="str">
        <f>VLOOKUP($C607,tab_Agências[],10,FALSE)</f>
        <v>sorocaba@cetesbnet.sp.gov.br</v>
      </c>
    </row>
    <row r="608" spans="1:12" x14ac:dyDescent="0.25">
      <c r="A608" s="8">
        <v>3554102</v>
      </c>
      <c r="B608" s="8" t="s">
        <v>1546</v>
      </c>
      <c r="C608" s="9">
        <v>40</v>
      </c>
      <c r="D608" s="10" t="str">
        <f>VLOOKUP($C608,tab_Agências[],2,FALSE)</f>
        <v>Agência Ambiental de Taubaté</v>
      </c>
      <c r="E608" s="8" t="str">
        <f>VLOOKUP($C608,tab_Agências[],3,FALSE)</f>
        <v>Avenida Itambé, 38</v>
      </c>
      <c r="F608" s="8" t="str">
        <f>VLOOKUP($C608,tab_Agências[],4,FALSE)</f>
        <v>Sta. Luzia</v>
      </c>
      <c r="G608" s="8" t="str">
        <f>VLOOKUP($C608,tab_Agências[],5,FALSE)</f>
        <v>12091-200</v>
      </c>
      <c r="H608" s="8" t="str">
        <f>VLOOKUP($C608,tab_Agências[],6,FALSE)</f>
        <v>Taubaté</v>
      </c>
      <c r="I608" s="8" t="str">
        <f>VLOOKUP($C608,tab_Agências[],7,FALSE)</f>
        <v>Avenida Itambé, 38 - Sta. Luzia, Taubaté, 12091-200</v>
      </c>
      <c r="J608" s="8" t="str">
        <f>VLOOKUP($C608,tab_Agências[],8,FALSE)</f>
        <v>(12) 3634-8222</v>
      </c>
      <c r="K608" s="8" t="str">
        <f>VLOOKUP($C608,tab_Agências[],9,FALSE)</f>
        <v>(12) 3634-8234</v>
      </c>
      <c r="L608" s="8" t="str">
        <f>VLOOKUP($C608,tab_Agências[],10,FALSE)</f>
        <v>taubate@cetesbnet.sp.gov.br</v>
      </c>
    </row>
    <row r="609" spans="1:12" x14ac:dyDescent="0.25">
      <c r="A609" s="8">
        <v>3554201</v>
      </c>
      <c r="B609" s="8" t="s">
        <v>1547</v>
      </c>
      <c r="C609" s="9">
        <v>6</v>
      </c>
      <c r="D609" s="10" t="str">
        <f>VLOOKUP($C609,tab_Agências[],2,FALSE)</f>
        <v>Agência Ambiental de Avaré</v>
      </c>
      <c r="E609" s="8" t="str">
        <f>VLOOKUP($C609,tab_Agências[],3,FALSE)</f>
        <v>Avenida Governador Mário Covas, 525</v>
      </c>
      <c r="F609" s="8" t="str">
        <f>VLOOKUP($C609,tab_Agências[],4,FALSE)</f>
        <v>Vila Industrial</v>
      </c>
      <c r="G609" s="8" t="str">
        <f>VLOOKUP($C609,tab_Agências[],5,FALSE)</f>
        <v>18705-851</v>
      </c>
      <c r="H609" s="8" t="str">
        <f>VLOOKUP($C609,tab_Agências[],6,FALSE)</f>
        <v>Avaré</v>
      </c>
      <c r="I609" s="8" t="str">
        <f>VLOOKUP($C609,tab_Agências[],7,FALSE)</f>
        <v>Avenida Governador Mário Covas, 525 - Vila Industrial, Avaré, 18705-851</v>
      </c>
      <c r="J609" s="8" t="str">
        <f>VLOOKUP($C609,tab_Agências[],8,FALSE)</f>
        <v>(14) 3732-4900</v>
      </c>
      <c r="K609" s="8" t="str">
        <f>VLOOKUP($C609,tab_Agências[],9,FALSE)</f>
        <v xml:space="preserve"> </v>
      </c>
      <c r="L609" s="8" t="str">
        <f>VLOOKUP($C609,tab_Agências[],10,FALSE)</f>
        <v>avare@cetesbnet.sp.gov.br</v>
      </c>
    </row>
    <row r="610" spans="1:12" x14ac:dyDescent="0.25">
      <c r="A610" s="8">
        <v>3554300</v>
      </c>
      <c r="B610" s="8" t="s">
        <v>1548</v>
      </c>
      <c r="C610" s="9">
        <v>29</v>
      </c>
      <c r="D610" s="10" t="str">
        <f>VLOOKUP($C610,tab_Agências[],2,FALSE)</f>
        <v>Agência Ambiental de Presidente Prudente</v>
      </c>
      <c r="E610" s="8" t="str">
        <f>VLOOKUP($C610,tab_Agências[],3,FALSE)</f>
        <v>Rua João Gonçalves Foz, 1738</v>
      </c>
      <c r="F610" s="8" t="str">
        <f>VLOOKUP($C610,tab_Agências[],4,FALSE)</f>
        <v>Jardim das Rosas</v>
      </c>
      <c r="G610" s="8" t="str">
        <f>VLOOKUP($C610,tab_Agências[],5,FALSE)</f>
        <v>19060-050</v>
      </c>
      <c r="H610" s="8" t="str">
        <f>VLOOKUP($C610,tab_Agências[],6,FALSE)</f>
        <v>Presidente Prudente</v>
      </c>
      <c r="I610" s="8" t="str">
        <f>VLOOKUP($C610,tab_Agências[],7,FALSE)</f>
        <v>Rua João Gonçalves Foz, 1738 - Jardim das Rosas, Presidente Prudente, 19060-050</v>
      </c>
      <c r="J610" s="8" t="str">
        <f>VLOOKUP($C610,tab_Agências[],8,FALSE)</f>
        <v>(18) 3223-5001</v>
      </c>
      <c r="K610" s="8" t="str">
        <f>VLOOKUP($C610,tab_Agências[],9,FALSE)</f>
        <v xml:space="preserve"> </v>
      </c>
      <c r="L610" s="8" t="str">
        <f>VLOOKUP($C610,tab_Agências[],10,FALSE)</f>
        <v>prudente@cetesbnet.sp.gov.br</v>
      </c>
    </row>
    <row r="611" spans="1:12" x14ac:dyDescent="0.25">
      <c r="A611" s="8">
        <v>3554409</v>
      </c>
      <c r="B611" s="8" t="s">
        <v>1549</v>
      </c>
      <c r="C611" s="9">
        <v>7</v>
      </c>
      <c r="D611" s="10" t="str">
        <f>VLOOKUP($C611,tab_Agências[],2,FALSE)</f>
        <v>Agência Ambiental de Barretos</v>
      </c>
      <c r="E611" s="8" t="str">
        <f>VLOOKUP($C611,tab_Agências[],3,FALSE)</f>
        <v>Rua Bolívia, 2255</v>
      </c>
      <c r="F611" s="8" t="str">
        <f>VLOOKUP($C611,tab_Agências[],4,FALSE)</f>
        <v>América</v>
      </c>
      <c r="G611" s="8" t="str">
        <f>VLOOKUP($C611,tab_Agências[],5,FALSE)</f>
        <v>14783-197</v>
      </c>
      <c r="H611" s="8" t="str">
        <f>VLOOKUP($C611,tab_Agências[],6,FALSE)</f>
        <v>Barretos</v>
      </c>
      <c r="I611" s="8" t="str">
        <f>VLOOKUP($C611,tab_Agências[],7,FALSE)</f>
        <v>Rua Bolívia, 2255 - América, Barretos, 14783-197</v>
      </c>
      <c r="J611" s="8" t="str">
        <f>VLOOKUP($C611,tab_Agências[],8,FALSE)</f>
        <v>(17) 3322-2655</v>
      </c>
      <c r="K611" s="8" t="str">
        <f>VLOOKUP($C611,tab_Agências[],9,FALSE)</f>
        <v>(17) 3322-2952</v>
      </c>
      <c r="L611" s="8" t="str">
        <f>VLOOKUP($C611,tab_Agências[],10,FALSE)</f>
        <v>barretos@cetesbnet.sp.gov.br</v>
      </c>
    </row>
    <row r="612" spans="1:12" x14ac:dyDescent="0.25">
      <c r="A612" s="8">
        <v>3554508</v>
      </c>
      <c r="B612" s="8" t="s">
        <v>1550</v>
      </c>
      <c r="C612" s="9">
        <v>18</v>
      </c>
      <c r="D612" s="10" t="str">
        <f>VLOOKUP($C612,tab_Agências[],2,FALSE)</f>
        <v>Agência Ambiental de Itu</v>
      </c>
      <c r="E612" s="8" t="str">
        <f>VLOOKUP($C612,tab_Agências[],3,FALSE)</f>
        <v>Rua Santa Rita, 1165</v>
      </c>
      <c r="F612" s="8" t="str">
        <f>VLOOKUP($C612,tab_Agências[],4,FALSE)</f>
        <v>Centro</v>
      </c>
      <c r="G612" s="8" t="str">
        <f>VLOOKUP($C612,tab_Agências[],5,FALSE)</f>
        <v>13300-065</v>
      </c>
      <c r="H612" s="8" t="str">
        <f>VLOOKUP($C612,tab_Agências[],6,FALSE)</f>
        <v>Itu</v>
      </c>
      <c r="I612" s="8" t="str">
        <f>VLOOKUP($C612,tab_Agências[],7,FALSE)</f>
        <v>Rua Santa Rita, 1165 - Centro, Itu, 13300-065</v>
      </c>
      <c r="J612" s="8" t="str">
        <f>VLOOKUP($C612,tab_Agências[],8,FALSE)</f>
        <v>(11) 4013-3419</v>
      </c>
      <c r="K612" s="8" t="str">
        <f>VLOOKUP($C612,tab_Agências[],9,FALSE)</f>
        <v>(11) 4013-3419</v>
      </c>
      <c r="L612" s="8" t="str">
        <f>VLOOKUP($C612,tab_Agências[],10,FALSE)</f>
        <v>itu@cetesbnet.sp.gov.br</v>
      </c>
    </row>
    <row r="613" spans="1:12" x14ac:dyDescent="0.25">
      <c r="A613" s="8">
        <v>3554607</v>
      </c>
      <c r="B613" s="8" t="s">
        <v>1551</v>
      </c>
      <c r="C613" s="9">
        <v>4</v>
      </c>
      <c r="D613" s="10" t="str">
        <f>VLOOKUP($C613,tab_Agências[],2,FALSE)</f>
        <v>Agência Ambiental de Assis</v>
      </c>
      <c r="E613" s="8" t="str">
        <f>VLOOKUP($C613,tab_Agências[],3,FALSE)</f>
        <v>Via Chico Mendes, 75</v>
      </c>
      <c r="F613" s="8" t="str">
        <f>VLOOKUP($C613,tab_Agências[],4,FALSE)</f>
        <v>Quinta dos Flamboyants</v>
      </c>
      <c r="G613" s="8" t="str">
        <f>VLOOKUP($C613,tab_Agências[],5,FALSE)</f>
        <v>19810-005</v>
      </c>
      <c r="H613" s="8" t="str">
        <f>VLOOKUP($C613,tab_Agências[],6,FALSE)</f>
        <v>Assis</v>
      </c>
      <c r="I613" s="8" t="str">
        <f>VLOOKUP($C613,tab_Agências[],7,FALSE)</f>
        <v>Via Chico Mendes, 75 - Quinta dos Flamboyants, Assis, 19810-005</v>
      </c>
      <c r="J613" s="8" t="str">
        <f>VLOOKUP($C613,tab_Agências[],8,FALSE)</f>
        <v>(18) 3324-4177</v>
      </c>
      <c r="K613" s="8" t="str">
        <f>VLOOKUP($C613,tab_Agências[],9,FALSE)</f>
        <v>(18) 3324-4177</v>
      </c>
      <c r="L613" s="8" t="str">
        <f>VLOOKUP($C613,tab_Agências[],10,FALSE)</f>
        <v>assis@cetesbnet.sp.gov.br</v>
      </c>
    </row>
    <row r="614" spans="1:12" x14ac:dyDescent="0.25">
      <c r="A614" s="8">
        <v>3554656</v>
      </c>
      <c r="B614" s="8" t="s">
        <v>1552</v>
      </c>
      <c r="C614" s="9">
        <v>9</v>
      </c>
      <c r="D614" s="10" t="str">
        <f>VLOOKUP($C614,tab_Agências[],2,FALSE)</f>
        <v>Agência Ambiental de Botucatu</v>
      </c>
      <c r="E614" s="8" t="str">
        <f>VLOOKUP($C614,tab_Agências[],3,FALSE)</f>
        <v>Rua João Morato da Conceição, 525</v>
      </c>
      <c r="F614" s="8" t="str">
        <f>VLOOKUP($C614,tab_Agências[],4,FALSE)</f>
        <v>Vila Maria</v>
      </c>
      <c r="G614" s="8" t="str">
        <f>VLOOKUP($C614,tab_Agências[],5,FALSE)</f>
        <v>18611-358</v>
      </c>
      <c r="H614" s="8" t="str">
        <f>VLOOKUP($C614,tab_Agências[],6,FALSE)</f>
        <v>Botucatu</v>
      </c>
      <c r="I614" s="8" t="str">
        <f>VLOOKUP($C614,tab_Agências[],7,FALSE)</f>
        <v>Rua João Morato da Conceição, 525 - Vila Maria, Botucatu, 18611-358</v>
      </c>
      <c r="J614" s="8" t="str">
        <f>VLOOKUP($C614,tab_Agências[],8,FALSE)</f>
        <v>(14) 3882-1134</v>
      </c>
      <c r="K614" s="8" t="str">
        <f>VLOOKUP($C614,tab_Agências[],9,FALSE)</f>
        <v>(14) 3882-1134</v>
      </c>
      <c r="L614" s="8" t="str">
        <f>VLOOKUP($C614,tab_Agências[],10,FALSE)</f>
        <v>botucatu@cetesbnet.sp.gov.br</v>
      </c>
    </row>
    <row r="615" spans="1:12" x14ac:dyDescent="0.25">
      <c r="A615" s="8">
        <v>3554706</v>
      </c>
      <c r="B615" s="8" t="s">
        <v>1553</v>
      </c>
      <c r="C615" s="9">
        <v>34</v>
      </c>
      <c r="D615" s="10" t="str">
        <f>VLOOKUP($C615,tab_Agências[],2,FALSE)</f>
        <v>Agência Ambiental de São Carlos</v>
      </c>
      <c r="E615" s="8" t="str">
        <f>VLOOKUP($C615,tab_Agências[],3,FALSE)</f>
        <v>Avenida das Azaléias, 700</v>
      </c>
      <c r="F615" s="8" t="str">
        <f>VLOOKUP($C615,tab_Agências[],4,FALSE)</f>
        <v>Cidade Jardim</v>
      </c>
      <c r="G615" s="8" t="str">
        <f>VLOOKUP($C615,tab_Agências[],5,FALSE)</f>
        <v>13566-500</v>
      </c>
      <c r="H615" s="8" t="str">
        <f>VLOOKUP($C615,tab_Agências[],6,FALSE)</f>
        <v>São Carlos</v>
      </c>
      <c r="I615" s="8" t="str">
        <f>VLOOKUP($C615,tab_Agências[],7,FALSE)</f>
        <v>Avenida das Azaléias, 700 - Cidade Jardim, São Carlos, 13566-500</v>
      </c>
      <c r="J615" s="8" t="str">
        <f>VLOOKUP($C615,tab_Agências[],8,FALSE)</f>
        <v>(16) 3361-2004</v>
      </c>
      <c r="K615" s="8" t="str">
        <f>VLOOKUP($C615,tab_Agências[],9,FALSE)</f>
        <v>(16) 3361-2004</v>
      </c>
      <c r="L615" s="8" t="str">
        <f>VLOOKUP($C615,tab_Agências[],10,FALSE)</f>
        <v>saocarlos@cetesbnet.sp.gov.br</v>
      </c>
    </row>
    <row r="616" spans="1:12" x14ac:dyDescent="0.25">
      <c r="A616" s="8">
        <v>3554755</v>
      </c>
      <c r="B616" s="8" t="s">
        <v>1554</v>
      </c>
      <c r="C616" s="9">
        <v>3</v>
      </c>
      <c r="D616" s="10" t="str">
        <f>VLOOKUP($C616,tab_Agências[],2,FALSE)</f>
        <v>Agência Ambiental de Araraquara</v>
      </c>
      <c r="E616" s="8" t="str">
        <f>VLOOKUP($C616,tab_Agências[],3,FALSE)</f>
        <v>Avenida Castro Alves, 1271</v>
      </c>
      <c r="F616" s="8" t="str">
        <f>VLOOKUP($C616,tab_Agências[],4,FALSE)</f>
        <v>Carmo</v>
      </c>
      <c r="G616" s="8" t="str">
        <f>VLOOKUP($C616,tab_Agências[],5,FALSE)</f>
        <v>14800-140</v>
      </c>
      <c r="H616" s="8" t="str">
        <f>VLOOKUP($C616,tab_Agências[],6,FALSE)</f>
        <v>Araraquara</v>
      </c>
      <c r="I616" s="8" t="str">
        <f>VLOOKUP($C616,tab_Agências[],7,FALSE)</f>
        <v>Avenida Castro Alves, 1271 - Carmo, Araraquara, 14800-140</v>
      </c>
      <c r="J616" s="8" t="str">
        <f>VLOOKUP($C616,tab_Agências[],8,FALSE)</f>
        <v>(16) 3332-2211</v>
      </c>
      <c r="K616" s="8" t="str">
        <f>VLOOKUP($C616,tab_Agências[],9,FALSE)</f>
        <v>(16) 3332-2211</v>
      </c>
      <c r="L616" s="8" t="str">
        <f>VLOOKUP($C616,tab_Agências[],10,FALSE)</f>
        <v>araraquara@cetesbnet.sp.gov.br</v>
      </c>
    </row>
    <row r="617" spans="1:12" x14ac:dyDescent="0.25">
      <c r="A617" s="8">
        <v>3554805</v>
      </c>
      <c r="B617" s="8" t="s">
        <v>1555</v>
      </c>
      <c r="C617" s="9">
        <v>40</v>
      </c>
      <c r="D617" s="10" t="str">
        <f>VLOOKUP($C617,tab_Agências[],2,FALSE)</f>
        <v>Agência Ambiental de Taubaté</v>
      </c>
      <c r="E617" s="8" t="str">
        <f>VLOOKUP($C617,tab_Agências[],3,FALSE)</f>
        <v>Avenida Itambé, 38</v>
      </c>
      <c r="F617" s="8" t="str">
        <f>VLOOKUP($C617,tab_Agências[],4,FALSE)</f>
        <v>Sta. Luzia</v>
      </c>
      <c r="G617" s="8" t="str">
        <f>VLOOKUP($C617,tab_Agências[],5,FALSE)</f>
        <v>12091-200</v>
      </c>
      <c r="H617" s="8" t="str">
        <f>VLOOKUP($C617,tab_Agências[],6,FALSE)</f>
        <v>Taubaté</v>
      </c>
      <c r="I617" s="8" t="str">
        <f>VLOOKUP($C617,tab_Agências[],7,FALSE)</f>
        <v>Avenida Itambé, 38 - Sta. Luzia, Taubaté, 12091-200</v>
      </c>
      <c r="J617" s="8" t="str">
        <f>VLOOKUP($C617,tab_Agências[],8,FALSE)</f>
        <v>(12) 3634-8222</v>
      </c>
      <c r="K617" s="8" t="str">
        <f>VLOOKUP($C617,tab_Agências[],9,FALSE)</f>
        <v>(12) 3634-8234</v>
      </c>
      <c r="L617" s="8" t="str">
        <f>VLOOKUP($C617,tab_Agências[],10,FALSE)</f>
        <v>taubate@cetesbnet.sp.gov.br</v>
      </c>
    </row>
    <row r="618" spans="1:12" x14ac:dyDescent="0.25">
      <c r="A618" s="8">
        <v>3554904</v>
      </c>
      <c r="B618" s="8" t="s">
        <v>1556</v>
      </c>
      <c r="C618" s="9">
        <v>20</v>
      </c>
      <c r="D618" s="10" t="str">
        <f>VLOOKUP($C618,tab_Agências[],2,FALSE)</f>
        <v>Agência Ambiental de Jales</v>
      </c>
      <c r="E618" s="8" t="str">
        <f>VLOOKUP($C618,tab_Agências[],3,FALSE)</f>
        <v>Rua Nova Iorque, 1016</v>
      </c>
      <c r="F618" s="8" t="str">
        <f>VLOOKUP($C618,tab_Agências[],4,FALSE)</f>
        <v>Jardim Monte Rrey</v>
      </c>
      <c r="G618" s="8" t="str">
        <f>VLOOKUP($C618,tab_Agências[],5,FALSE)</f>
        <v>15703-326</v>
      </c>
      <c r="H618" s="8" t="str">
        <f>VLOOKUP($C618,tab_Agências[],6,FALSE)</f>
        <v>Jales</v>
      </c>
      <c r="I618" s="8" t="str">
        <f>VLOOKUP($C618,tab_Agências[],7,FALSE)</f>
        <v>Rua Nova Iorque, 1016 - Jardim Monte Rrey, Jales, 15703-326</v>
      </c>
      <c r="J618" s="8" t="str">
        <f>VLOOKUP($C618,tab_Agências[],8,FALSE)</f>
        <v>(17) 3621-1042</v>
      </c>
      <c r="K618" s="8" t="str">
        <f>VLOOKUP($C618,tab_Agências[],9,FALSE)</f>
        <v>(17) 3621-1042</v>
      </c>
      <c r="L618" s="8" t="str">
        <f>VLOOKUP($C618,tab_Agências[],10,FALSE)</f>
        <v>jales@cetesbnet.sp.gov.br</v>
      </c>
    </row>
    <row r="619" spans="1:12" x14ac:dyDescent="0.25">
      <c r="A619" s="8">
        <v>3554953</v>
      </c>
      <c r="B619" s="8" t="s">
        <v>1557</v>
      </c>
      <c r="C619" s="9">
        <v>5</v>
      </c>
      <c r="D619" s="10" t="str">
        <f>VLOOKUP($C619,tab_Agências[],2,FALSE)</f>
        <v>Agência Ambiental de Atibaia</v>
      </c>
      <c r="E619" s="8" t="str">
        <f>VLOOKUP($C619,tab_Agências[],3,FALSE)</f>
        <v>Avenida Nove de Julho, 266</v>
      </c>
      <c r="F619" s="8" t="str">
        <f>VLOOKUP($C619,tab_Agências[],4,FALSE)</f>
        <v>Centro</v>
      </c>
      <c r="G619" s="8" t="str">
        <f>VLOOKUP($C619,tab_Agências[],5,FALSE)</f>
        <v>12940-580</v>
      </c>
      <c r="H619" s="8" t="str">
        <f>VLOOKUP($C619,tab_Agências[],6,FALSE)</f>
        <v>Atibaia</v>
      </c>
      <c r="I619" s="8" t="str">
        <f>VLOOKUP($C619,tab_Agências[],7,FALSE)</f>
        <v>Avenida Nove de Julho, 266 - Centro, Atibaia, 12940-580</v>
      </c>
      <c r="J619" s="8" t="str">
        <f>VLOOKUP($C619,tab_Agências[],8,FALSE)</f>
        <v>(11) 4411-0662</v>
      </c>
      <c r="K619" s="8" t="str">
        <f>VLOOKUP($C619,tab_Agências[],9,FALSE)</f>
        <v>(11) 4411-0662</v>
      </c>
      <c r="L619" s="8" t="str">
        <f>VLOOKUP($C619,tab_Agências[],10,FALSE)</f>
        <v>atibaia@cetesbnet.sp.gov.br</v>
      </c>
    </row>
    <row r="620" spans="1:12" x14ac:dyDescent="0.25">
      <c r="A620" s="8">
        <v>3555000</v>
      </c>
      <c r="B620" s="8" t="s">
        <v>1558</v>
      </c>
      <c r="C620" s="9">
        <v>23</v>
      </c>
      <c r="D620" s="10" t="str">
        <f>VLOOKUP($C620,tab_Agências[],2,FALSE)</f>
        <v>Agência Ambiental de Marília</v>
      </c>
      <c r="E620" s="8" t="str">
        <f>VLOOKUP($C620,tab_Agências[],3,FALSE)</f>
        <v>Rua Santa Helena, 436</v>
      </c>
      <c r="F620" s="8" t="str">
        <f>VLOOKUP($C620,tab_Agências[],4,FALSE)</f>
        <v>Jardim Alvorada</v>
      </c>
      <c r="G620" s="8" t="str">
        <f>VLOOKUP($C620,tab_Agências[],5,FALSE)</f>
        <v>17513-322</v>
      </c>
      <c r="H620" s="8" t="str">
        <f>VLOOKUP($C620,tab_Agências[],6,FALSE)</f>
        <v>Marília</v>
      </c>
      <c r="I620" s="8" t="str">
        <f>VLOOKUP($C620,tab_Agências[],7,FALSE)</f>
        <v>Rua Santa Helena, 436 - Jardim Alvorada, Marília, 17513-322</v>
      </c>
      <c r="J620" s="8" t="str">
        <f>VLOOKUP($C620,tab_Agências[],8,FALSE)</f>
        <v>(14) 3422-4666</v>
      </c>
      <c r="K620" s="8" t="str">
        <f>VLOOKUP($C620,tab_Agências[],9,FALSE)</f>
        <v>(14) 3422-4666</v>
      </c>
      <c r="L620" s="8" t="str">
        <f>VLOOKUP($C620,tab_Agências[],10,FALSE)</f>
        <v>marilia@cetesbnet.sp.gov.br</v>
      </c>
    </row>
    <row r="621" spans="1:12" x14ac:dyDescent="0.25">
      <c r="A621" s="8">
        <v>3555109</v>
      </c>
      <c r="B621" s="8" t="s">
        <v>1559</v>
      </c>
      <c r="C621" s="9">
        <v>13</v>
      </c>
      <c r="D621" s="10" t="str">
        <f>VLOOKUP($C621,tab_Agências[],2,FALSE)</f>
        <v>Agência Ambiental de Dracena</v>
      </c>
      <c r="E621" s="8" t="str">
        <f>VLOOKUP($C621,tab_Agências[],3,FALSE)</f>
        <v>Rua Tomé de Souza, 438</v>
      </c>
      <c r="F621" s="8" t="str">
        <f>VLOOKUP($C621,tab_Agências[],4,FALSE)</f>
        <v>Centro</v>
      </c>
      <c r="G621" s="8" t="str">
        <f>VLOOKUP($C621,tab_Agências[],5,FALSE)</f>
        <v>17900-000</v>
      </c>
      <c r="H621" s="8" t="str">
        <f>VLOOKUP($C621,tab_Agências[],6,FALSE)</f>
        <v>Dracena</v>
      </c>
      <c r="I621" s="8" t="str">
        <f>VLOOKUP($C621,tab_Agências[],7,FALSE)</f>
        <v>Rua Tomé de Souza, 438 - Centro, Dracena, 17900-000</v>
      </c>
      <c r="J621" s="8" t="str">
        <f>VLOOKUP($C621,tab_Agências[],8,FALSE)</f>
        <v>(18) 3822-3166</v>
      </c>
      <c r="K621" s="8" t="str">
        <f>VLOOKUP($C621,tab_Agências[],9,FALSE)</f>
        <v>(18) 3822-3166</v>
      </c>
      <c r="L621" s="8" t="str">
        <f>VLOOKUP($C621,tab_Agências[],10,FALSE)</f>
        <v>dracena@cetesbnet.sp.gov.br</v>
      </c>
    </row>
    <row r="622" spans="1:12" x14ac:dyDescent="0.25">
      <c r="A622" s="8">
        <v>3555208</v>
      </c>
      <c r="B622" s="8" t="s">
        <v>1560</v>
      </c>
      <c r="C622" s="9">
        <v>2</v>
      </c>
      <c r="D622" s="10" t="str">
        <f>VLOOKUP($C622,tab_Agências[],2,FALSE)</f>
        <v>Agência Ambiental de Araçatuba</v>
      </c>
      <c r="E622" s="8" t="str">
        <f>VLOOKUP($C622,tab_Agências[],3,FALSE)</f>
        <v>Rua Ten. Alcides Teodoro dos Santos, 260</v>
      </c>
      <c r="F622" s="8" t="str">
        <f>VLOOKUP($C622,tab_Agências[],4,FALSE)</f>
        <v>Aviação</v>
      </c>
      <c r="G622" s="8" t="str">
        <f>VLOOKUP($C622,tab_Agências[],5,FALSE)</f>
        <v>16055-557</v>
      </c>
      <c r="H622" s="8" t="str">
        <f>VLOOKUP($C622,tab_Agências[],6,FALSE)</f>
        <v>Araçatuba</v>
      </c>
      <c r="I622" s="8" t="str">
        <f>VLOOKUP($C622,tab_Agências[],7,FALSE)</f>
        <v>Rua Ten. Alcides Teodoro dos Santos, 260 - Aviação, Araçatuba, 16055-557</v>
      </c>
      <c r="J622" s="8" t="str">
        <f>VLOOKUP($C622,tab_Agências[],8,FALSE)</f>
        <v>(18) 3608-8053</v>
      </c>
      <c r="K622" s="8" t="str">
        <f>VLOOKUP($C622,tab_Agências[],9,FALSE)</f>
        <v>(18) 3608-7197</v>
      </c>
      <c r="L622" s="8" t="str">
        <f>VLOOKUP($C622,tab_Agências[],10,FALSE)</f>
        <v>aracatuba@cetesbnet.sp.gov.br</v>
      </c>
    </row>
    <row r="623" spans="1:12" x14ac:dyDescent="0.25">
      <c r="A623" s="8">
        <v>3555307</v>
      </c>
      <c r="B623" s="8" t="s">
        <v>1561</v>
      </c>
      <c r="C623" s="9">
        <v>20</v>
      </c>
      <c r="D623" s="10" t="str">
        <f>VLOOKUP($C623,tab_Agências[],2,FALSE)</f>
        <v>Agência Ambiental de Jales</v>
      </c>
      <c r="E623" s="8" t="str">
        <f>VLOOKUP($C623,tab_Agências[],3,FALSE)</f>
        <v>Rua Nova Iorque, 1016</v>
      </c>
      <c r="F623" s="8" t="str">
        <f>VLOOKUP($C623,tab_Agências[],4,FALSE)</f>
        <v>Jardim Monte Rrey</v>
      </c>
      <c r="G623" s="8" t="str">
        <f>VLOOKUP($C623,tab_Agências[],5,FALSE)</f>
        <v>15703-326</v>
      </c>
      <c r="H623" s="8" t="str">
        <f>VLOOKUP($C623,tab_Agências[],6,FALSE)</f>
        <v>Jales</v>
      </c>
      <c r="I623" s="8" t="str">
        <f>VLOOKUP($C623,tab_Agências[],7,FALSE)</f>
        <v>Rua Nova Iorque, 1016 - Jardim Monte Rrey, Jales, 15703-326</v>
      </c>
      <c r="J623" s="8" t="str">
        <f>VLOOKUP($C623,tab_Agências[],8,FALSE)</f>
        <v>(17) 3621-1042</v>
      </c>
      <c r="K623" s="8" t="str">
        <f>VLOOKUP($C623,tab_Agências[],9,FALSE)</f>
        <v>(17) 3621-1042</v>
      </c>
      <c r="L623" s="8" t="str">
        <f>VLOOKUP($C623,tab_Agências[],10,FALSE)</f>
        <v>jales@cetesbnet.sp.gov.br</v>
      </c>
    </row>
    <row r="624" spans="1:12" x14ac:dyDescent="0.25">
      <c r="A624" s="8">
        <v>3555356</v>
      </c>
      <c r="B624" s="8" t="s">
        <v>1562</v>
      </c>
      <c r="C624" s="9">
        <v>36</v>
      </c>
      <c r="D624" s="10" t="str">
        <f>VLOOKUP($C624,tab_Agências[],2,FALSE)</f>
        <v>Agência Ambiental de São José do Rio Preto</v>
      </c>
      <c r="E624" s="8" t="str">
        <f>VLOOKUP($C624,tab_Agências[],3,FALSE)</f>
        <v>Avenida Mário Andreazza,</v>
      </c>
      <c r="F624" s="8" t="str">
        <f>VLOOKUP($C624,tab_Agências[],4,FALSE)</f>
        <v>Jardim São Marcos</v>
      </c>
      <c r="G624" s="8" t="str">
        <f>VLOOKUP($C624,tab_Agências[],5,FALSE)</f>
        <v>15081-490</v>
      </c>
      <c r="H624" s="8" t="str">
        <f>VLOOKUP($C624,tab_Agências[],6,FALSE)</f>
        <v>São José do Rio Preto</v>
      </c>
      <c r="I624" s="8" t="str">
        <f>VLOOKUP($C624,tab_Agências[],7,FALSE)</f>
        <v>Avenida Mário Andreazza, - Jardim São Marcos, São José do Rio Preto, 15081-490</v>
      </c>
      <c r="J624" s="8" t="str">
        <f>VLOOKUP($C624,tab_Agências[],8,FALSE)</f>
        <v>(17) 3218-4300</v>
      </c>
      <c r="K624" s="8" t="str">
        <f>VLOOKUP($C624,tab_Agências[],9,FALSE)</f>
        <v>(17) 3218-4300</v>
      </c>
      <c r="L624" s="8" t="str">
        <f>VLOOKUP($C624,tab_Agências[],10,FALSE)</f>
        <v>riopreto@cetesbnet.sp.gov.br</v>
      </c>
    </row>
    <row r="625" spans="1:12" x14ac:dyDescent="0.25">
      <c r="A625" s="8">
        <v>3555406</v>
      </c>
      <c r="B625" s="8" t="s">
        <v>1563</v>
      </c>
      <c r="C625" s="9">
        <v>38</v>
      </c>
      <c r="D625" s="10" t="str">
        <f>VLOOKUP($C625,tab_Agências[],2,FALSE)</f>
        <v>Agência Ambiental de São Sebastião</v>
      </c>
      <c r="E625" s="8" t="str">
        <f>VLOOKUP($C625,tab_Agências[],3,FALSE)</f>
        <v>Rua Francisco da Cruz Maldonado, 132</v>
      </c>
      <c r="F625" s="8" t="str">
        <f>VLOOKUP($C625,tab_Agências[],4,FALSE)</f>
        <v>Portal da Olaria</v>
      </c>
      <c r="G625" s="8" t="str">
        <f>VLOOKUP($C625,tab_Agências[],5,FALSE)</f>
        <v>11600-000</v>
      </c>
      <c r="H625" s="8" t="str">
        <f>VLOOKUP($C625,tab_Agências[],6,FALSE)</f>
        <v>São Sebastião</v>
      </c>
      <c r="I625" s="8" t="str">
        <f>VLOOKUP($C625,tab_Agências[],7,FALSE)</f>
        <v>Rua Francisco da Cruz Maldonado, 132 - Portal da Olaria, São Sebastião, 11600-000</v>
      </c>
      <c r="J625" s="8" t="str">
        <f>VLOOKUP($C625,tab_Agências[],8,FALSE)</f>
        <v>(12) 3862-2300</v>
      </c>
      <c r="K625" s="8" t="str">
        <f>VLOOKUP($C625,tab_Agências[],9,FALSE)</f>
        <v>(12) 3862-2300</v>
      </c>
      <c r="L625" s="8" t="str">
        <f>VLOOKUP($C625,tab_Agências[],10,FALSE)</f>
        <v>ssebastiao@cetesbnet.sp.gov.br</v>
      </c>
    </row>
    <row r="626" spans="1:12" x14ac:dyDescent="0.25">
      <c r="A626" s="8">
        <v>3555505</v>
      </c>
      <c r="B626" s="8" t="s">
        <v>1564</v>
      </c>
      <c r="C626" s="9">
        <v>8</v>
      </c>
      <c r="D626" s="10" t="str">
        <f>VLOOKUP($C626,tab_Agências[],2,FALSE)</f>
        <v>Agência Ambiental de Bauru</v>
      </c>
      <c r="E626" s="8" t="str">
        <f>VLOOKUP($C626,tab_Agências[],3,FALSE)</f>
        <v>Avenida Rodrigues Alves, 138</v>
      </c>
      <c r="F626" s="8" t="str">
        <f>VLOOKUP($C626,tab_Agências[],4,FALSE)</f>
        <v>Vila Coralina</v>
      </c>
      <c r="G626" s="8" t="str">
        <f>VLOOKUP($C626,tab_Agências[],5,FALSE)</f>
        <v>17030-000</v>
      </c>
      <c r="H626" s="8" t="str">
        <f>VLOOKUP($C626,tab_Agências[],6,FALSE)</f>
        <v>Bauru</v>
      </c>
      <c r="I626" s="8" t="str">
        <f>VLOOKUP($C626,tab_Agências[],7,FALSE)</f>
        <v>Avenida Rodrigues Alves, 138 - Vila Coralina, Bauru, 17030-000</v>
      </c>
      <c r="J626" s="8" t="str">
        <f>VLOOKUP($C626,tab_Agências[],8,FALSE)</f>
        <v>(14) 3203-2058</v>
      </c>
      <c r="K626" s="8" t="str">
        <f>VLOOKUP($C626,tab_Agências[],9,FALSE)</f>
        <v>(14) 3203-2344</v>
      </c>
      <c r="L626" s="8" t="str">
        <f>VLOOKUP($C626,tab_Agências[],10,FALSE)</f>
        <v>bauru@cetesbnet.sp.gov.br</v>
      </c>
    </row>
    <row r="627" spans="1:12" x14ac:dyDescent="0.25">
      <c r="A627" s="8">
        <v>3555604</v>
      </c>
      <c r="B627" s="8" t="s">
        <v>1565</v>
      </c>
      <c r="C627" s="9">
        <v>36</v>
      </c>
      <c r="D627" s="10" t="str">
        <f>VLOOKUP($C627,tab_Agências[],2,FALSE)</f>
        <v>Agência Ambiental de São José do Rio Preto</v>
      </c>
      <c r="E627" s="8" t="str">
        <f>VLOOKUP($C627,tab_Agências[],3,FALSE)</f>
        <v>Avenida Mário Andreazza,</v>
      </c>
      <c r="F627" s="8" t="str">
        <f>VLOOKUP($C627,tab_Agências[],4,FALSE)</f>
        <v>Jardim São Marcos</v>
      </c>
      <c r="G627" s="8" t="str">
        <f>VLOOKUP($C627,tab_Agências[],5,FALSE)</f>
        <v>15081-490</v>
      </c>
      <c r="H627" s="8" t="str">
        <f>VLOOKUP($C627,tab_Agências[],6,FALSE)</f>
        <v>São José do Rio Preto</v>
      </c>
      <c r="I627" s="8" t="str">
        <f>VLOOKUP($C627,tab_Agências[],7,FALSE)</f>
        <v>Avenida Mário Andreazza, - Jardim São Marcos, São José do Rio Preto, 15081-490</v>
      </c>
      <c r="J627" s="8" t="str">
        <f>VLOOKUP($C627,tab_Agências[],8,FALSE)</f>
        <v>(17) 3218-4300</v>
      </c>
      <c r="K627" s="8" t="str">
        <f>VLOOKUP($C627,tab_Agências[],9,FALSE)</f>
        <v>(17) 3218-4300</v>
      </c>
      <c r="L627" s="8" t="str">
        <f>VLOOKUP($C627,tab_Agências[],10,FALSE)</f>
        <v>riopreto@cetesbnet.sp.gov.br</v>
      </c>
    </row>
    <row r="628" spans="1:12" x14ac:dyDescent="0.25">
      <c r="A628" s="8">
        <v>3555703</v>
      </c>
      <c r="B628" s="8" t="s">
        <v>1566</v>
      </c>
      <c r="C628" s="9">
        <v>36</v>
      </c>
      <c r="D628" s="10" t="str">
        <f>VLOOKUP($C628,tab_Agências[],2,FALSE)</f>
        <v>Agência Ambiental de São José do Rio Preto</v>
      </c>
      <c r="E628" s="8" t="str">
        <f>VLOOKUP($C628,tab_Agências[],3,FALSE)</f>
        <v>Avenida Mário Andreazza,</v>
      </c>
      <c r="F628" s="8" t="str">
        <f>VLOOKUP($C628,tab_Agências[],4,FALSE)</f>
        <v>Jardim São Marcos</v>
      </c>
      <c r="G628" s="8" t="str">
        <f>VLOOKUP($C628,tab_Agências[],5,FALSE)</f>
        <v>15081-490</v>
      </c>
      <c r="H628" s="8" t="str">
        <f>VLOOKUP($C628,tab_Agências[],6,FALSE)</f>
        <v>São José do Rio Preto</v>
      </c>
      <c r="I628" s="8" t="str">
        <f>VLOOKUP($C628,tab_Agências[],7,FALSE)</f>
        <v>Avenida Mário Andreazza, - Jardim São Marcos, São José do Rio Preto, 15081-490</v>
      </c>
      <c r="J628" s="8" t="str">
        <f>VLOOKUP($C628,tab_Agências[],8,FALSE)</f>
        <v>(17) 3218-4300</v>
      </c>
      <c r="K628" s="8" t="str">
        <f>VLOOKUP($C628,tab_Agências[],9,FALSE)</f>
        <v>(17) 3218-4300</v>
      </c>
      <c r="L628" s="8" t="str">
        <f>VLOOKUP($C628,tab_Agências[],10,FALSE)</f>
        <v>riopreto@cetesbnet.sp.gov.br</v>
      </c>
    </row>
    <row r="629" spans="1:12" x14ac:dyDescent="0.25">
      <c r="A629" s="8">
        <v>3555802</v>
      </c>
      <c r="B629" s="8" t="s">
        <v>1567</v>
      </c>
      <c r="C629" s="9">
        <v>20</v>
      </c>
      <c r="D629" s="10" t="str">
        <f>VLOOKUP($C629,tab_Agências[],2,FALSE)</f>
        <v>Agência Ambiental de Jales</v>
      </c>
      <c r="E629" s="8" t="str">
        <f>VLOOKUP($C629,tab_Agências[],3,FALSE)</f>
        <v>Rua Nova Iorque, 1016</v>
      </c>
      <c r="F629" s="8" t="str">
        <f>VLOOKUP($C629,tab_Agências[],4,FALSE)</f>
        <v>Jardim Monte Rrey</v>
      </c>
      <c r="G629" s="8" t="str">
        <f>VLOOKUP($C629,tab_Agências[],5,FALSE)</f>
        <v>15703-326</v>
      </c>
      <c r="H629" s="8" t="str">
        <f>VLOOKUP($C629,tab_Agências[],6,FALSE)</f>
        <v>Jales</v>
      </c>
      <c r="I629" s="8" t="str">
        <f>VLOOKUP($C629,tab_Agências[],7,FALSE)</f>
        <v>Rua Nova Iorque, 1016 - Jardim Monte Rrey, Jales, 15703-326</v>
      </c>
      <c r="J629" s="8" t="str">
        <f>VLOOKUP($C629,tab_Agências[],8,FALSE)</f>
        <v>(17) 3621-1042</v>
      </c>
      <c r="K629" s="8" t="str">
        <f>VLOOKUP($C629,tab_Agências[],9,FALSE)</f>
        <v>(17) 3621-1042</v>
      </c>
      <c r="L629" s="8" t="str">
        <f>VLOOKUP($C629,tab_Agências[],10,FALSE)</f>
        <v>jales@cetesbnet.sp.gov.br</v>
      </c>
    </row>
    <row r="630" spans="1:12" x14ac:dyDescent="0.25">
      <c r="A630" s="8">
        <v>3555901</v>
      </c>
      <c r="B630" s="8" t="s">
        <v>1568</v>
      </c>
      <c r="C630" s="9">
        <v>23</v>
      </c>
      <c r="D630" s="10" t="str">
        <f>VLOOKUP($C630,tab_Agências[],2,FALSE)</f>
        <v>Agência Ambiental de Marília</v>
      </c>
      <c r="E630" s="8" t="str">
        <f>VLOOKUP($C630,tab_Agências[],3,FALSE)</f>
        <v>Rua Santa Helena, 436</v>
      </c>
      <c r="F630" s="8" t="str">
        <f>VLOOKUP($C630,tab_Agências[],4,FALSE)</f>
        <v>Jardim Alvorada</v>
      </c>
      <c r="G630" s="8" t="str">
        <f>VLOOKUP($C630,tab_Agências[],5,FALSE)</f>
        <v>17513-322</v>
      </c>
      <c r="H630" s="8" t="str">
        <f>VLOOKUP($C630,tab_Agências[],6,FALSE)</f>
        <v>Marília</v>
      </c>
      <c r="I630" s="8" t="str">
        <f>VLOOKUP($C630,tab_Agências[],7,FALSE)</f>
        <v>Rua Santa Helena, 436 - Jardim Alvorada, Marília, 17513-322</v>
      </c>
      <c r="J630" s="8" t="str">
        <f>VLOOKUP($C630,tab_Agências[],8,FALSE)</f>
        <v>(14) 3422-4666</v>
      </c>
      <c r="K630" s="8" t="str">
        <f>VLOOKUP($C630,tab_Agências[],9,FALSE)</f>
        <v>(14) 3422-4666</v>
      </c>
      <c r="L630" s="8" t="str">
        <f>VLOOKUP($C630,tab_Agências[],10,FALSE)</f>
        <v>marilia@cetesbnet.sp.gov.br</v>
      </c>
    </row>
    <row r="631" spans="1:12" x14ac:dyDescent="0.25">
      <c r="A631" s="8">
        <v>3556008</v>
      </c>
      <c r="B631" s="8" t="s">
        <v>1569</v>
      </c>
      <c r="C631" s="9">
        <v>36</v>
      </c>
      <c r="D631" s="10" t="str">
        <f>VLOOKUP($C631,tab_Agências[],2,FALSE)</f>
        <v>Agência Ambiental de São José do Rio Preto</v>
      </c>
      <c r="E631" s="8" t="str">
        <f>VLOOKUP($C631,tab_Agências[],3,FALSE)</f>
        <v>Avenida Mário Andreazza,</v>
      </c>
      <c r="F631" s="8" t="str">
        <f>VLOOKUP($C631,tab_Agências[],4,FALSE)</f>
        <v>Jardim São Marcos</v>
      </c>
      <c r="G631" s="8" t="str">
        <f>VLOOKUP($C631,tab_Agências[],5,FALSE)</f>
        <v>15081-490</v>
      </c>
      <c r="H631" s="8" t="str">
        <f>VLOOKUP($C631,tab_Agências[],6,FALSE)</f>
        <v>São José do Rio Preto</v>
      </c>
      <c r="I631" s="8" t="str">
        <f>VLOOKUP($C631,tab_Agências[],7,FALSE)</f>
        <v>Avenida Mário Andreazza, - Jardim São Marcos, São José do Rio Preto, 15081-490</v>
      </c>
      <c r="J631" s="8" t="str">
        <f>VLOOKUP($C631,tab_Agências[],8,FALSE)</f>
        <v>(17) 3218-4300</v>
      </c>
      <c r="K631" s="8" t="str">
        <f>VLOOKUP($C631,tab_Agências[],9,FALSE)</f>
        <v>(17) 3218-4300</v>
      </c>
      <c r="L631" s="8" t="str">
        <f>VLOOKUP($C631,tab_Agências[],10,FALSE)</f>
        <v>riopreto@cetesbnet.sp.gov.br</v>
      </c>
    </row>
    <row r="632" spans="1:12" x14ac:dyDescent="0.25">
      <c r="A632" s="8">
        <v>3556107</v>
      </c>
      <c r="B632" s="8" t="s">
        <v>1570</v>
      </c>
      <c r="C632" s="9">
        <v>41</v>
      </c>
      <c r="D632" s="10" t="str">
        <f>VLOOKUP($C632,tab_Agências[],2,FALSE)</f>
        <v>Agência Ambiental de Votuporanga</v>
      </c>
      <c r="E632" s="8" t="str">
        <f>VLOOKUP($C632,tab_Agências[],3,FALSE)</f>
        <v>Avenida Deputado Aureo Ferreira, 1724</v>
      </c>
      <c r="F632" s="8" t="str">
        <f>VLOOKUP($C632,tab_Agências[],4,FALSE)</f>
        <v>Vila Paes</v>
      </c>
      <c r="G632" s="8" t="str">
        <f>VLOOKUP($C632,tab_Agências[],5,FALSE)</f>
        <v>15500-112</v>
      </c>
      <c r="H632" s="8" t="str">
        <f>VLOOKUP($C632,tab_Agências[],6,FALSE)</f>
        <v>Votuporanga</v>
      </c>
      <c r="I632" s="8" t="str">
        <f>VLOOKUP($C632,tab_Agências[],7,FALSE)</f>
        <v>Avenida Deputado Aureo Ferreira, 1724 - Vila Paes, Votuporanga, 15500-112</v>
      </c>
      <c r="J632" s="8" t="str">
        <f>VLOOKUP($C632,tab_Agências[],8,FALSE)</f>
        <v>(17) 3421-4004</v>
      </c>
      <c r="K632" s="8" t="str">
        <f>VLOOKUP($C632,tab_Agências[],9,FALSE)</f>
        <v>(17) 3421-4004</v>
      </c>
      <c r="L632" s="8" t="str">
        <f>VLOOKUP($C632,tab_Agências[],10,FALSE)</f>
        <v>votuporanga@cetesbnet.sp.gov.br</v>
      </c>
    </row>
    <row r="633" spans="1:12" x14ac:dyDescent="0.25">
      <c r="A633" s="8">
        <v>3556206</v>
      </c>
      <c r="B633" s="8" t="s">
        <v>1571</v>
      </c>
      <c r="C633" s="9">
        <v>10</v>
      </c>
      <c r="D633" s="10" t="str">
        <f>VLOOKUP($C633,tab_Agências[],2,FALSE)</f>
        <v>Agência Ambiental de Campinas</v>
      </c>
      <c r="E633" s="8" t="str">
        <f>VLOOKUP($C633,tab_Agências[],3,FALSE)</f>
        <v>Rua São Carlos, 277</v>
      </c>
      <c r="F633" s="8" t="str">
        <f>VLOOKUP($C633,tab_Agências[],4,FALSE)</f>
        <v>Vila Industrial</v>
      </c>
      <c r="G633" s="8" t="str">
        <f>VLOOKUP($C633,tab_Agências[],5,FALSE)</f>
        <v>13035-420</v>
      </c>
      <c r="H633" s="8" t="str">
        <f>VLOOKUP($C633,tab_Agências[],6,FALSE)</f>
        <v>Campinas</v>
      </c>
      <c r="I633" s="8" t="str">
        <f>VLOOKUP($C633,tab_Agências[],7,FALSE)</f>
        <v>Rua São Carlos, 277 - Vila Industrial, Campinas, 13035-420</v>
      </c>
      <c r="J633" s="8" t="str">
        <f>VLOOKUP($C633,tab_Agências[],8,FALSE)</f>
        <v>(19) 3772-6600</v>
      </c>
      <c r="K633" s="8" t="str">
        <f>VLOOKUP($C633,tab_Agências[],9,FALSE)</f>
        <v>(19) 3772-6624</v>
      </c>
      <c r="L633" s="8" t="str">
        <f>VLOOKUP($C633,tab_Agências[],10,FALSE)</f>
        <v>campinasI@cetesbnet.sp.gov.br</v>
      </c>
    </row>
    <row r="634" spans="1:12" x14ac:dyDescent="0.25">
      <c r="A634" s="8">
        <v>3556305</v>
      </c>
      <c r="B634" s="8" t="s">
        <v>1572</v>
      </c>
      <c r="C634" s="9">
        <v>2</v>
      </c>
      <c r="D634" s="10" t="str">
        <f>VLOOKUP($C634,tab_Agências[],2,FALSE)</f>
        <v>Agência Ambiental de Araçatuba</v>
      </c>
      <c r="E634" s="8" t="str">
        <f>VLOOKUP($C634,tab_Agências[],3,FALSE)</f>
        <v>Rua Ten. Alcides Teodoro dos Santos, 260</v>
      </c>
      <c r="F634" s="8" t="str">
        <f>VLOOKUP($C634,tab_Agências[],4,FALSE)</f>
        <v>Aviação</v>
      </c>
      <c r="G634" s="8" t="str">
        <f>VLOOKUP($C634,tab_Agências[],5,FALSE)</f>
        <v>16055-557</v>
      </c>
      <c r="H634" s="8" t="str">
        <f>VLOOKUP($C634,tab_Agências[],6,FALSE)</f>
        <v>Araçatuba</v>
      </c>
      <c r="I634" s="8" t="str">
        <f>VLOOKUP($C634,tab_Agências[],7,FALSE)</f>
        <v>Rua Ten. Alcides Teodoro dos Santos, 260 - Aviação, Araçatuba, 16055-557</v>
      </c>
      <c r="J634" s="8" t="str">
        <f>VLOOKUP($C634,tab_Agências[],8,FALSE)</f>
        <v>(18) 3608-8053</v>
      </c>
      <c r="K634" s="8" t="str">
        <f>VLOOKUP($C634,tab_Agências[],9,FALSE)</f>
        <v>(18) 3608-7197</v>
      </c>
      <c r="L634" s="8" t="str">
        <f>VLOOKUP($C634,tab_Agências[],10,FALSE)</f>
        <v>aracatuba@cetesbnet.sp.gov.br</v>
      </c>
    </row>
    <row r="635" spans="1:12" x14ac:dyDescent="0.25">
      <c r="A635" s="8">
        <v>3556354</v>
      </c>
      <c r="B635" s="8" t="s">
        <v>1573</v>
      </c>
      <c r="C635" s="9">
        <v>5</v>
      </c>
      <c r="D635" s="10" t="str">
        <f>VLOOKUP($C635,tab_Agências[],2,FALSE)</f>
        <v>Agência Ambiental de Atibaia</v>
      </c>
      <c r="E635" s="8" t="str">
        <f>VLOOKUP($C635,tab_Agências[],3,FALSE)</f>
        <v>Avenida Nove de Julho, 266</v>
      </c>
      <c r="F635" s="8" t="str">
        <f>VLOOKUP($C635,tab_Agências[],4,FALSE)</f>
        <v>Centro</v>
      </c>
      <c r="G635" s="8" t="str">
        <f>VLOOKUP($C635,tab_Agências[],5,FALSE)</f>
        <v>12940-580</v>
      </c>
      <c r="H635" s="8" t="str">
        <f>VLOOKUP($C635,tab_Agências[],6,FALSE)</f>
        <v>Atibaia</v>
      </c>
      <c r="I635" s="8" t="str">
        <f>VLOOKUP($C635,tab_Agências[],7,FALSE)</f>
        <v>Avenida Nove de Julho, 266 - Centro, Atibaia, 12940-580</v>
      </c>
      <c r="J635" s="8" t="str">
        <f>VLOOKUP($C635,tab_Agências[],8,FALSE)</f>
        <v>(11) 4411-0662</v>
      </c>
      <c r="K635" s="8" t="str">
        <f>VLOOKUP($C635,tab_Agências[],9,FALSE)</f>
        <v>(11) 4411-0662</v>
      </c>
      <c r="L635" s="8" t="str">
        <f>VLOOKUP($C635,tab_Agências[],10,FALSE)</f>
        <v>atibaia@cetesbnet.sp.gov.br</v>
      </c>
    </row>
    <row r="636" spans="1:12" x14ac:dyDescent="0.25">
      <c r="A636" s="8">
        <v>3556404</v>
      </c>
      <c r="B636" s="8" t="s">
        <v>1574</v>
      </c>
      <c r="C636" s="9">
        <v>35</v>
      </c>
      <c r="D636" s="10" t="str">
        <f>VLOOKUP($C636,tab_Agências[],2,FALSE)</f>
        <v>Agência Ambiental de São João da Boa Vista</v>
      </c>
      <c r="E636" s="8" t="str">
        <f>VLOOKUP($C636,tab_Agências[],3,FALSE)</f>
        <v>Rua Marechal Deodoro, 345</v>
      </c>
      <c r="F636" s="8" t="str">
        <f>VLOOKUP($C636,tab_Agências[],4,FALSE)</f>
        <v>Centro</v>
      </c>
      <c r="G636" s="8" t="str">
        <f>VLOOKUP($C636,tab_Agências[],5,FALSE)</f>
        <v>13870-223</v>
      </c>
      <c r="H636" s="8" t="str">
        <f>VLOOKUP($C636,tab_Agências[],6,FALSE)</f>
        <v>São João da Boa Vista</v>
      </c>
      <c r="I636" s="8" t="str">
        <f>VLOOKUP($C636,tab_Agências[],7,FALSE)</f>
        <v>Rua Marechal Deodoro, 345 - Centro, São João da Boa Vista, 13870-223</v>
      </c>
      <c r="J636" s="8" t="str">
        <f>VLOOKUP($C636,tab_Agências[],8,FALSE)</f>
        <v>(19) 3633-1510</v>
      </c>
      <c r="K636" s="8" t="str">
        <f>VLOOKUP($C636,tab_Agências[],9,FALSE)</f>
        <v>(19) 3633-1510</v>
      </c>
      <c r="L636" s="8" t="str">
        <f>VLOOKUP($C636,tab_Agências[],10,FALSE)</f>
        <v>sjboavista@cetesbnet.sp.gov.br</v>
      </c>
    </row>
    <row r="637" spans="1:12" x14ac:dyDescent="0.25">
      <c r="A637" s="8">
        <v>3556453</v>
      </c>
      <c r="B637" s="8" t="s">
        <v>1575</v>
      </c>
      <c r="C637" s="9">
        <v>14</v>
      </c>
      <c r="D637" s="10" t="str">
        <f>VLOOKUP($C637,tab_Agências[],2,FALSE)</f>
        <v>Agência Ambiental de Embu das Artes</v>
      </c>
      <c r="E637" s="8" t="str">
        <f>VLOOKUP($C637,tab_Agências[],3,FALSE)</f>
        <v>Rua João Paulo I, 495</v>
      </c>
      <c r="F637" s="8" t="str">
        <f>VLOOKUP($C637,tab_Agências[],4,FALSE)</f>
        <v>Jardim São Luiz</v>
      </c>
      <c r="G637" s="8" t="str">
        <f>VLOOKUP($C637,tab_Agências[],5,FALSE)</f>
        <v>06816-550</v>
      </c>
      <c r="H637" s="8" t="str">
        <f>VLOOKUP($C637,tab_Agências[],6,FALSE)</f>
        <v>Embu das Artes</v>
      </c>
      <c r="I637" s="8" t="str">
        <f>VLOOKUP($C637,tab_Agências[],7,FALSE)</f>
        <v>Rua João Paulo I, 495 - Jardim São Luiz, Embu das Artes, 06816-550</v>
      </c>
      <c r="J637" s="8" t="str">
        <f>VLOOKUP($C637,tab_Agências[],8,FALSE)</f>
        <v>(11) 4704-8835</v>
      </c>
      <c r="K637" s="8" t="str">
        <f>VLOOKUP($C637,tab_Agências[],9,FALSE)</f>
        <v>(11) 4704-8835</v>
      </c>
      <c r="L637" s="8" t="str">
        <f>VLOOKUP($C637,tab_Agências[],10,FALSE)</f>
        <v>embu@cetesbnet.sp.gov.br</v>
      </c>
    </row>
    <row r="638" spans="1:12" x14ac:dyDescent="0.25">
      <c r="A638" s="8">
        <v>3556503</v>
      </c>
      <c r="B638" s="8" t="s">
        <v>1576</v>
      </c>
      <c r="C638" s="9">
        <v>21</v>
      </c>
      <c r="D638" s="10" t="str">
        <f>VLOOKUP($C638,tab_Agências[],2,FALSE)</f>
        <v>Agência Ambiental de Jundiaí</v>
      </c>
      <c r="E638" s="8" t="str">
        <f>VLOOKUP($C638,tab_Agências[],3,FALSE)</f>
        <v>Rua João Ferrara, 555</v>
      </c>
      <c r="F638" s="8" t="str">
        <f>VLOOKUP($C638,tab_Agências[],4,FALSE)</f>
        <v>Jardim Pitangueiras II</v>
      </c>
      <c r="G638" s="8" t="str">
        <f>VLOOKUP($C638,tab_Agências[],5,FALSE)</f>
        <v>13206-714</v>
      </c>
      <c r="H638" s="8" t="str">
        <f>VLOOKUP($C638,tab_Agências[],6,FALSE)</f>
        <v>Jundiaí</v>
      </c>
      <c r="I638" s="8" t="str">
        <f>VLOOKUP($C638,tab_Agências[],7,FALSE)</f>
        <v>Rua João Ferrara, 555 - Jardim Pitangueiras II, Jundiaí, 13206-714</v>
      </c>
      <c r="J638" s="8" t="str">
        <f>VLOOKUP($C638,tab_Agências[],8,FALSE)</f>
        <v>(11) 4817-1898</v>
      </c>
      <c r="K638" s="8" t="str">
        <f>VLOOKUP($C638,tab_Agências[],9,FALSE)</f>
        <v>(11) 4587-3597</v>
      </c>
      <c r="L638" s="8" t="str">
        <f>VLOOKUP($C638,tab_Agências[],10,FALSE)</f>
        <v>jundiai@cetesbnet.sp.gov.br</v>
      </c>
    </row>
    <row r="639" spans="1:12" x14ac:dyDescent="0.25">
      <c r="A639" s="8">
        <v>3556602</v>
      </c>
      <c r="B639" s="8" t="s">
        <v>1577</v>
      </c>
      <c r="C639" s="9">
        <v>23</v>
      </c>
      <c r="D639" s="10" t="str">
        <f>VLOOKUP($C639,tab_Agências[],2,FALSE)</f>
        <v>Agência Ambiental de Marília</v>
      </c>
      <c r="E639" s="8" t="str">
        <f>VLOOKUP($C639,tab_Agências[],3,FALSE)</f>
        <v>Rua Santa Helena, 436</v>
      </c>
      <c r="F639" s="8" t="str">
        <f>VLOOKUP($C639,tab_Agências[],4,FALSE)</f>
        <v>Jardim Alvorada</v>
      </c>
      <c r="G639" s="8" t="str">
        <f>VLOOKUP($C639,tab_Agências[],5,FALSE)</f>
        <v>17513-322</v>
      </c>
      <c r="H639" s="8" t="str">
        <f>VLOOKUP($C639,tab_Agências[],6,FALSE)</f>
        <v>Marília</v>
      </c>
      <c r="I639" s="8" t="str">
        <f>VLOOKUP($C639,tab_Agências[],7,FALSE)</f>
        <v>Rua Santa Helena, 436 - Jardim Alvorada, Marília, 17513-322</v>
      </c>
      <c r="J639" s="8" t="str">
        <f>VLOOKUP($C639,tab_Agências[],8,FALSE)</f>
        <v>(14) 3422-4666</v>
      </c>
      <c r="K639" s="8" t="str">
        <f>VLOOKUP($C639,tab_Agências[],9,FALSE)</f>
        <v>(14) 3422-4666</v>
      </c>
      <c r="L639" s="8" t="str">
        <f>VLOOKUP($C639,tab_Agências[],10,FALSE)</f>
        <v>marilia@cetesbnet.sp.gov.br</v>
      </c>
    </row>
    <row r="640" spans="1:12" x14ac:dyDescent="0.25">
      <c r="A640" s="8">
        <v>3556701</v>
      </c>
      <c r="B640" s="8" t="s">
        <v>1578</v>
      </c>
      <c r="C640" s="9">
        <v>10</v>
      </c>
      <c r="D640" s="10" t="str">
        <f>VLOOKUP($C640,tab_Agências[],2,FALSE)</f>
        <v>Agência Ambiental de Campinas</v>
      </c>
      <c r="E640" s="8" t="str">
        <f>VLOOKUP($C640,tab_Agências[],3,FALSE)</f>
        <v>Rua São Carlos, 277</v>
      </c>
      <c r="F640" s="8" t="str">
        <f>VLOOKUP($C640,tab_Agências[],4,FALSE)</f>
        <v>Vila Industrial</v>
      </c>
      <c r="G640" s="8" t="str">
        <f>VLOOKUP($C640,tab_Agências[],5,FALSE)</f>
        <v>13035-420</v>
      </c>
      <c r="H640" s="8" t="str">
        <f>VLOOKUP($C640,tab_Agências[],6,FALSE)</f>
        <v>Campinas</v>
      </c>
      <c r="I640" s="8" t="str">
        <f>VLOOKUP($C640,tab_Agências[],7,FALSE)</f>
        <v>Rua São Carlos, 277 - Vila Industrial, Campinas, 13035-420</v>
      </c>
      <c r="J640" s="8" t="str">
        <f>VLOOKUP($C640,tab_Agências[],8,FALSE)</f>
        <v>(19) 3772-6600</v>
      </c>
      <c r="K640" s="8" t="str">
        <f>VLOOKUP($C640,tab_Agências[],9,FALSE)</f>
        <v>(19) 3772-6624</v>
      </c>
      <c r="L640" s="8" t="str">
        <f>VLOOKUP($C640,tab_Agências[],10,FALSE)</f>
        <v>campinasI@cetesbnet.sp.gov.br</v>
      </c>
    </row>
    <row r="641" spans="1:12" x14ac:dyDescent="0.25">
      <c r="A641" s="8">
        <v>3556800</v>
      </c>
      <c r="B641" s="8" t="s">
        <v>1579</v>
      </c>
      <c r="C641" s="9">
        <v>7</v>
      </c>
      <c r="D641" s="10" t="str">
        <f>VLOOKUP($C641,tab_Agências[],2,FALSE)</f>
        <v>Agência Ambiental de Barretos</v>
      </c>
      <c r="E641" s="8" t="str">
        <f>VLOOKUP($C641,tab_Agências[],3,FALSE)</f>
        <v>Rua Bolívia, 2255</v>
      </c>
      <c r="F641" s="8" t="str">
        <f>VLOOKUP($C641,tab_Agências[],4,FALSE)</f>
        <v>América</v>
      </c>
      <c r="G641" s="8" t="str">
        <f>VLOOKUP($C641,tab_Agências[],5,FALSE)</f>
        <v>14783-197</v>
      </c>
      <c r="H641" s="8" t="str">
        <f>VLOOKUP($C641,tab_Agências[],6,FALSE)</f>
        <v>Barretos</v>
      </c>
      <c r="I641" s="8" t="str">
        <f>VLOOKUP($C641,tab_Agências[],7,FALSE)</f>
        <v>Rua Bolívia, 2255 - América, Barretos, 14783-197</v>
      </c>
      <c r="J641" s="8" t="str">
        <f>VLOOKUP($C641,tab_Agências[],8,FALSE)</f>
        <v>(17) 3322-2655</v>
      </c>
      <c r="K641" s="8" t="str">
        <f>VLOOKUP($C641,tab_Agências[],9,FALSE)</f>
        <v>(17) 3322-2952</v>
      </c>
      <c r="L641" s="8" t="str">
        <f>VLOOKUP($C641,tab_Agências[],10,FALSE)</f>
        <v>barretos@cetesbnet.sp.gov.br</v>
      </c>
    </row>
    <row r="642" spans="1:12" x14ac:dyDescent="0.25">
      <c r="A642" s="8">
        <v>3556909</v>
      </c>
      <c r="B642" s="8" t="s">
        <v>1580</v>
      </c>
      <c r="C642" s="9">
        <v>19</v>
      </c>
      <c r="D642" s="10" t="str">
        <f>VLOOKUP($C642,tab_Agências[],2,FALSE)</f>
        <v>Agência Ambiental de Jaboticabal</v>
      </c>
      <c r="E642" s="8" t="str">
        <f>VLOOKUP($C642,tab_Agências[],3,FALSE)</f>
        <v>Avenida Angelo Morello, 60</v>
      </c>
      <c r="F642" s="8" t="str">
        <f>VLOOKUP($C642,tab_Agências[],4,FALSE)</f>
        <v>Jardim Santa Rosa</v>
      </c>
      <c r="G642" s="8" t="str">
        <f>VLOOKUP($C642,tab_Agências[],5,FALSE)</f>
        <v>14875-290</v>
      </c>
      <c r="H642" s="8" t="str">
        <f>VLOOKUP($C642,tab_Agências[],6,FALSE)</f>
        <v>Jaboticabal</v>
      </c>
      <c r="I642" s="8" t="str">
        <f>VLOOKUP($C642,tab_Agências[],7,FALSE)</f>
        <v>Avenida Angelo Morello, 60 - Jardim Santa Rosa, Jaboticabal, 14875-290</v>
      </c>
      <c r="J642" s="8" t="str">
        <f>VLOOKUP($C642,tab_Agências[],8,FALSE)</f>
        <v>(16) 3203-9400</v>
      </c>
      <c r="K642" s="8" t="str">
        <f>VLOOKUP($C642,tab_Agências[],9,FALSE)</f>
        <v>(16) 3203-9400</v>
      </c>
      <c r="L642" s="8" t="str">
        <f>VLOOKUP($C642,tab_Agências[],10,FALSE)</f>
        <v>jaboticabal@cetesbnet.sp.gov.br</v>
      </c>
    </row>
    <row r="643" spans="1:12" x14ac:dyDescent="0.25">
      <c r="A643" s="8">
        <v>3556958</v>
      </c>
      <c r="B643" s="8" t="s">
        <v>1581</v>
      </c>
      <c r="C643" s="9">
        <v>20</v>
      </c>
      <c r="D643" s="10" t="str">
        <f>VLOOKUP($C643,tab_Agências[],2,FALSE)</f>
        <v>Agência Ambiental de Jales</v>
      </c>
      <c r="E643" s="8" t="str">
        <f>VLOOKUP($C643,tab_Agências[],3,FALSE)</f>
        <v>Rua Nova Iorque, 1016</v>
      </c>
      <c r="F643" s="8" t="str">
        <f>VLOOKUP($C643,tab_Agências[],4,FALSE)</f>
        <v>Jardim Monte Rrey</v>
      </c>
      <c r="G643" s="8" t="str">
        <f>VLOOKUP($C643,tab_Agências[],5,FALSE)</f>
        <v>15703-326</v>
      </c>
      <c r="H643" s="8" t="str">
        <f>VLOOKUP($C643,tab_Agências[],6,FALSE)</f>
        <v>Jales</v>
      </c>
      <c r="I643" s="8" t="str">
        <f>VLOOKUP($C643,tab_Agências[],7,FALSE)</f>
        <v>Rua Nova Iorque, 1016 - Jardim Monte Rrey, Jales, 15703-326</v>
      </c>
      <c r="J643" s="8" t="str">
        <f>VLOOKUP($C643,tab_Agências[],8,FALSE)</f>
        <v>(17) 3621-1042</v>
      </c>
      <c r="K643" s="8" t="str">
        <f>VLOOKUP($C643,tab_Agências[],9,FALSE)</f>
        <v>(17) 3621-1042</v>
      </c>
      <c r="L643" s="8" t="str">
        <f>VLOOKUP($C643,tab_Agências[],10,FALSE)</f>
        <v>jales@cetesbnet.sp.gov.br</v>
      </c>
    </row>
    <row r="644" spans="1:12" x14ac:dyDescent="0.25">
      <c r="A644" s="8">
        <v>3557006</v>
      </c>
      <c r="B644" s="8" t="s">
        <v>1582</v>
      </c>
      <c r="C644" s="9">
        <v>39</v>
      </c>
      <c r="D644" s="10" t="str">
        <f>VLOOKUP($C644,tab_Agências[],2,FALSE)</f>
        <v>Agência Ambiental de Sorocaba</v>
      </c>
      <c r="E644" s="8" t="str">
        <f>VLOOKUP($C644,tab_Agências[],3,FALSE)</f>
        <v>Avenida Américo de Carvalho, 820</v>
      </c>
      <c r="F644" s="8" t="str">
        <f>VLOOKUP($C644,tab_Agências[],4,FALSE)</f>
        <v>Jardim Europa</v>
      </c>
      <c r="G644" s="8" t="str">
        <f>VLOOKUP($C644,tab_Agências[],5,FALSE)</f>
        <v>18045-000</v>
      </c>
      <c r="H644" s="8" t="str">
        <f>VLOOKUP($C644,tab_Agências[],6,FALSE)</f>
        <v>Sorocaba</v>
      </c>
      <c r="I644" s="8" t="str">
        <f>VLOOKUP($C644,tab_Agências[],7,FALSE)</f>
        <v>Avenida Américo de Carvalho, 820 - Jardim Europa, Sorocaba, 18045-000</v>
      </c>
      <c r="J644" s="8" t="str">
        <f>VLOOKUP($C644,tab_Agências[],8,FALSE)</f>
        <v>(15) 3222-2065</v>
      </c>
      <c r="K644" s="8" t="str">
        <f>VLOOKUP($C644,tab_Agências[],9,FALSE)</f>
        <v>(15) 3222-2065</v>
      </c>
      <c r="L644" s="8" t="str">
        <f>VLOOKUP($C644,tab_Agências[],10,FALSE)</f>
        <v>sorocaba@cetesbnet.sp.gov.br</v>
      </c>
    </row>
    <row r="645" spans="1:12" x14ac:dyDescent="0.25">
      <c r="A645" s="8">
        <v>3557105</v>
      </c>
      <c r="B645" s="8" t="s">
        <v>1583</v>
      </c>
      <c r="C645" s="9">
        <v>41</v>
      </c>
      <c r="D645" s="10" t="str">
        <f>VLOOKUP($C645,tab_Agências[],2,FALSE)</f>
        <v>Agência Ambiental de Votuporanga</v>
      </c>
      <c r="E645" s="8" t="str">
        <f>VLOOKUP($C645,tab_Agências[],3,FALSE)</f>
        <v>Avenida Deputado Aureo Ferreira, 1724</v>
      </c>
      <c r="F645" s="8" t="str">
        <f>VLOOKUP($C645,tab_Agências[],4,FALSE)</f>
        <v>Vila Paes</v>
      </c>
      <c r="G645" s="8" t="str">
        <f>VLOOKUP($C645,tab_Agências[],5,FALSE)</f>
        <v>15500-112</v>
      </c>
      <c r="H645" s="8" t="str">
        <f>VLOOKUP($C645,tab_Agências[],6,FALSE)</f>
        <v>Votuporanga</v>
      </c>
      <c r="I645" s="8" t="str">
        <f>VLOOKUP($C645,tab_Agências[],7,FALSE)</f>
        <v>Avenida Deputado Aureo Ferreira, 1724 - Vila Paes, Votuporanga, 15500-112</v>
      </c>
      <c r="J645" s="8" t="str">
        <f>VLOOKUP($C645,tab_Agências[],8,FALSE)</f>
        <v>(17) 3421-4004</v>
      </c>
      <c r="K645" s="8" t="str">
        <f>VLOOKUP($C645,tab_Agências[],9,FALSE)</f>
        <v>(17) 3421-4004</v>
      </c>
      <c r="L645" s="8" t="str">
        <f>VLOOKUP($C645,tab_Agências[],10,FALSE)</f>
        <v>votuporanga@cetesbnet.sp.gov.br</v>
      </c>
    </row>
    <row r="646" spans="1:12" ht="15.75" thickBot="1" x14ac:dyDescent="0.3">
      <c r="A646" s="5">
        <v>3557154</v>
      </c>
      <c r="B646" s="5" t="s">
        <v>1584</v>
      </c>
      <c r="C646" s="11">
        <v>2</v>
      </c>
      <c r="D646" s="10" t="str">
        <f>VLOOKUP($C646,tab_Agências[],2,FALSE)</f>
        <v>Agência Ambiental de Araçatuba</v>
      </c>
      <c r="E646" s="8" t="str">
        <f>VLOOKUP($C646,tab_Agências[],3,FALSE)</f>
        <v>Rua Ten. Alcides Teodoro dos Santos, 260</v>
      </c>
      <c r="F646" s="8" t="str">
        <f>VLOOKUP($C646,tab_Agências[],4,FALSE)</f>
        <v>Aviação</v>
      </c>
      <c r="G646" s="8" t="str">
        <f>VLOOKUP($C646,tab_Agências[],5,FALSE)</f>
        <v>16055-557</v>
      </c>
      <c r="H646" s="8" t="str">
        <f>VLOOKUP($C646,tab_Agências[],6,FALSE)</f>
        <v>Araçatuba</v>
      </c>
      <c r="I646" s="8" t="str">
        <f>VLOOKUP($C646,tab_Agências[],7,FALSE)</f>
        <v>Rua Ten. Alcides Teodoro dos Santos, 260 - Aviação, Araçatuba, 16055-557</v>
      </c>
      <c r="J646" s="8" t="str">
        <f>VLOOKUP($C646,tab_Agências[],8,FALSE)</f>
        <v>(18) 3608-8053</v>
      </c>
      <c r="K646" s="8" t="str">
        <f>VLOOKUP($C646,tab_Agências[],9,FALSE)</f>
        <v>(18) 3608-7197</v>
      </c>
      <c r="L646" s="8" t="str">
        <f>VLOOKUP($C646,tab_Agências[],10,FALSE)</f>
        <v>aracatuba@cetesbnet.sp.gov.br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K44"/>
  <sheetViews>
    <sheetView zoomScale="115" zoomScaleNormal="115" workbookViewId="0">
      <selection activeCell="C10" sqref="C10"/>
    </sheetView>
  </sheetViews>
  <sheetFormatPr defaultColWidth="9.140625" defaultRowHeight="15" x14ac:dyDescent="0.25"/>
  <cols>
    <col min="1" max="1" width="13.140625" bestFit="1" customWidth="1"/>
    <col min="2" max="2" width="40.5703125" style="4" bestFit="1" customWidth="1"/>
    <col min="3" max="3" width="38.28515625" bestFit="1" customWidth="1"/>
    <col min="4" max="4" width="24.7109375" bestFit="1" customWidth="1"/>
    <col min="5" max="5" width="10.7109375" bestFit="1" customWidth="1"/>
    <col min="6" max="6" width="22.42578125" bestFit="1" customWidth="1"/>
    <col min="7" max="7" width="80.42578125" style="4" bestFit="1" customWidth="1"/>
    <col min="8" max="9" width="14.85546875" bestFit="1" customWidth="1"/>
    <col min="10" max="10" width="32.28515625" bestFit="1" customWidth="1"/>
    <col min="11" max="11" width="14.140625" style="4" bestFit="1" customWidth="1"/>
  </cols>
  <sheetData>
    <row r="1" spans="1:11" x14ac:dyDescent="0.25">
      <c r="A1" s="4" t="s">
        <v>1857</v>
      </c>
      <c r="B1" s="4" t="s">
        <v>1585</v>
      </c>
      <c r="C1" s="4" t="s">
        <v>1586</v>
      </c>
      <c r="D1" s="4" t="s">
        <v>1587</v>
      </c>
      <c r="E1" s="4" t="s">
        <v>1588</v>
      </c>
      <c r="F1" s="4" t="s">
        <v>1589</v>
      </c>
      <c r="G1" s="4" t="s">
        <v>1806</v>
      </c>
      <c r="H1" s="4" t="s">
        <v>1590</v>
      </c>
      <c r="I1" s="4" t="s">
        <v>1591</v>
      </c>
      <c r="J1" s="4" t="s">
        <v>1592</v>
      </c>
      <c r="K1" s="4" t="s">
        <v>1860</v>
      </c>
    </row>
    <row r="2" spans="1:11" x14ac:dyDescent="0.25">
      <c r="A2" s="3">
        <v>1</v>
      </c>
      <c r="B2" s="4" t="s">
        <v>1882</v>
      </c>
      <c r="C2" t="s">
        <v>1817</v>
      </c>
      <c r="D2" t="s">
        <v>1636</v>
      </c>
      <c r="E2" t="s">
        <v>1637</v>
      </c>
      <c r="F2" t="s">
        <v>958</v>
      </c>
      <c r="G2" s="4" t="str">
        <f>C2&amp;" - "&amp;D2&amp;", "&amp;F2&amp;", "&amp;E2</f>
        <v>Rua Florindo Cibin, 435 - Vila Medon, Americana, 13465-230</v>
      </c>
      <c r="H2" t="s">
        <v>1638</v>
      </c>
      <c r="I2" t="s">
        <v>1638</v>
      </c>
      <c r="J2" t="s">
        <v>1593</v>
      </c>
      <c r="K2" s="4" t="s">
        <v>1635</v>
      </c>
    </row>
    <row r="3" spans="1:11" x14ac:dyDescent="0.25">
      <c r="A3" s="3">
        <v>2</v>
      </c>
      <c r="B3" s="4" t="s">
        <v>1883</v>
      </c>
      <c r="C3" s="4" t="s">
        <v>1818</v>
      </c>
      <c r="D3" s="4" t="s">
        <v>1640</v>
      </c>
      <c r="E3" s="4" t="s">
        <v>1641</v>
      </c>
      <c r="F3" s="4" t="s">
        <v>971</v>
      </c>
      <c r="G3" s="4" t="str">
        <f t="shared" ref="G3:G44" si="0">C3&amp;" - "&amp;D3&amp;", "&amp;F3&amp;", "&amp;E3</f>
        <v>Rua Ten. Alcides Teodoro dos Santos, 260 - Aviação, Araçatuba, 16055-557</v>
      </c>
      <c r="H3" s="4" t="s">
        <v>1642</v>
      </c>
      <c r="I3" s="4" t="s">
        <v>1643</v>
      </c>
      <c r="J3" s="4" t="s">
        <v>1594</v>
      </c>
      <c r="K3" s="4" t="s">
        <v>1639</v>
      </c>
    </row>
    <row r="4" spans="1:11" x14ac:dyDescent="0.25">
      <c r="A4" s="3">
        <v>3</v>
      </c>
      <c r="B4" s="4" t="s">
        <v>1884</v>
      </c>
      <c r="C4" s="4" t="s">
        <v>1819</v>
      </c>
      <c r="D4" s="4" t="s">
        <v>1645</v>
      </c>
      <c r="E4" s="4" t="s">
        <v>1646</v>
      </c>
      <c r="F4" s="4" t="s">
        <v>976</v>
      </c>
      <c r="G4" s="4" t="str">
        <f t="shared" si="0"/>
        <v>Avenida Castro Alves, 1271 - Carmo, Araraquara, 14800-140</v>
      </c>
      <c r="H4" s="4" t="s">
        <v>1647</v>
      </c>
      <c r="I4" s="4" t="s">
        <v>1647</v>
      </c>
      <c r="J4" s="4" t="s">
        <v>1595</v>
      </c>
      <c r="K4" s="4" t="s">
        <v>1644</v>
      </c>
    </row>
    <row r="5" spans="1:11" x14ac:dyDescent="0.25">
      <c r="A5" s="3">
        <v>4</v>
      </c>
      <c r="B5" s="4" t="s">
        <v>1885</v>
      </c>
      <c r="C5" s="4" t="s">
        <v>1820</v>
      </c>
      <c r="D5" s="4" t="s">
        <v>1649</v>
      </c>
      <c r="E5" s="4" t="s">
        <v>1650</v>
      </c>
      <c r="F5" s="4" t="s">
        <v>986</v>
      </c>
      <c r="G5" s="4" t="str">
        <f t="shared" si="0"/>
        <v>Via Chico Mendes, 75 - Quinta dos Flamboyants, Assis, 19810-005</v>
      </c>
      <c r="H5" s="4" t="s">
        <v>1651</v>
      </c>
      <c r="I5" s="4" t="s">
        <v>1651</v>
      </c>
      <c r="J5" s="4" t="s">
        <v>1596</v>
      </c>
      <c r="K5" s="4" t="s">
        <v>1648</v>
      </c>
    </row>
    <row r="6" spans="1:11" x14ac:dyDescent="0.25">
      <c r="A6" s="3">
        <v>5</v>
      </c>
      <c r="B6" s="4" t="s">
        <v>1886</v>
      </c>
      <c r="C6" s="4" t="s">
        <v>1821</v>
      </c>
      <c r="D6" s="4" t="s">
        <v>1653</v>
      </c>
      <c r="E6" s="4" t="s">
        <v>1654</v>
      </c>
      <c r="F6" s="4" t="s">
        <v>987</v>
      </c>
      <c r="G6" s="4" t="str">
        <f t="shared" si="0"/>
        <v>Avenida Nove de Julho, 266 - Centro, Atibaia, 12940-580</v>
      </c>
      <c r="H6" s="4" t="s">
        <v>1655</v>
      </c>
      <c r="I6" s="4" t="s">
        <v>1655</v>
      </c>
      <c r="J6" s="4" t="s">
        <v>1597</v>
      </c>
      <c r="K6" s="4" t="s">
        <v>1652</v>
      </c>
    </row>
    <row r="7" spans="1:11" x14ac:dyDescent="0.25">
      <c r="A7" s="3">
        <v>6</v>
      </c>
      <c r="B7" s="4" t="s">
        <v>1887</v>
      </c>
      <c r="C7" s="4" t="s">
        <v>1822</v>
      </c>
      <c r="D7" s="4" t="s">
        <v>1657</v>
      </c>
      <c r="E7" s="4" t="s">
        <v>1658</v>
      </c>
      <c r="F7" s="4" t="s">
        <v>991</v>
      </c>
      <c r="G7" s="4" t="str">
        <f t="shared" si="0"/>
        <v>Avenida Governador Mário Covas, 525 - Vila Industrial, Avaré, 18705-851</v>
      </c>
      <c r="H7" s="4" t="s">
        <v>1659</v>
      </c>
      <c r="I7" s="4" t="s">
        <v>1807</v>
      </c>
      <c r="J7" s="4" t="s">
        <v>1598</v>
      </c>
      <c r="K7" s="4" t="s">
        <v>1656</v>
      </c>
    </row>
    <row r="8" spans="1:11" x14ac:dyDescent="0.25">
      <c r="A8" s="3">
        <v>7</v>
      </c>
      <c r="B8" s="4" t="s">
        <v>1888</v>
      </c>
      <c r="C8" s="4" t="s">
        <v>1823</v>
      </c>
      <c r="D8" s="4" t="s">
        <v>1661</v>
      </c>
      <c r="E8" s="4" t="s">
        <v>1662</v>
      </c>
      <c r="F8" s="4" t="s">
        <v>1002</v>
      </c>
      <c r="G8" s="4" t="str">
        <f t="shared" si="0"/>
        <v>Rua Bolívia, 2255 - América, Barretos, 14783-197</v>
      </c>
      <c r="H8" s="4" t="s">
        <v>1663</v>
      </c>
      <c r="I8" s="4" t="s">
        <v>1664</v>
      </c>
      <c r="J8" s="4" t="s">
        <v>1599</v>
      </c>
      <c r="K8" s="4" t="s">
        <v>1660</v>
      </c>
    </row>
    <row r="9" spans="1:11" x14ac:dyDescent="0.25">
      <c r="A9" s="3">
        <v>8</v>
      </c>
      <c r="B9" s="4" t="s">
        <v>1889</v>
      </c>
      <c r="C9" s="4" t="s">
        <v>1881</v>
      </c>
      <c r="D9" s="4" t="s">
        <v>1666</v>
      </c>
      <c r="E9" s="4" t="s">
        <v>1667</v>
      </c>
      <c r="F9" s="4" t="s">
        <v>1007</v>
      </c>
      <c r="G9" s="4" t="str">
        <f t="shared" si="0"/>
        <v>Avenida Rodrigues Alves, 138 - Vila Coralina, Bauru, 17030-000</v>
      </c>
      <c r="H9" s="4" t="s">
        <v>1668</v>
      </c>
      <c r="I9" s="4" t="s">
        <v>1669</v>
      </c>
      <c r="J9" s="4" t="s">
        <v>1600</v>
      </c>
      <c r="K9" s="4" t="s">
        <v>1665</v>
      </c>
    </row>
    <row r="10" spans="1:11" x14ac:dyDescent="0.25">
      <c r="A10" s="3">
        <v>9</v>
      </c>
      <c r="B10" s="4" t="s">
        <v>1890</v>
      </c>
      <c r="C10" s="4" t="s">
        <v>1824</v>
      </c>
      <c r="D10" s="4" t="s">
        <v>1671</v>
      </c>
      <c r="E10" s="4" t="s">
        <v>1672</v>
      </c>
      <c r="F10" s="4" t="s">
        <v>1025</v>
      </c>
      <c r="G10" s="4" t="str">
        <f t="shared" si="0"/>
        <v>Rua João Morato da Conceição, 525 - Vila Maria, Botucatu, 18611-358</v>
      </c>
      <c r="H10" s="4" t="s">
        <v>1673</v>
      </c>
      <c r="I10" s="4" t="s">
        <v>1673</v>
      </c>
      <c r="J10" s="4" t="s">
        <v>1601</v>
      </c>
      <c r="K10" s="4" t="s">
        <v>1670</v>
      </c>
    </row>
    <row r="11" spans="1:11" x14ac:dyDescent="0.25">
      <c r="A11" s="3">
        <v>10</v>
      </c>
      <c r="B11" s="4" t="s">
        <v>1891</v>
      </c>
      <c r="C11" s="4" t="s">
        <v>1825</v>
      </c>
      <c r="D11" s="4" t="s">
        <v>1657</v>
      </c>
      <c r="E11" s="4" t="s">
        <v>1675</v>
      </c>
      <c r="F11" s="4" t="s">
        <v>1048</v>
      </c>
      <c r="G11" s="4" t="str">
        <f t="shared" si="0"/>
        <v>Rua São Carlos, 277 - Vila Industrial, Campinas, 13035-420</v>
      </c>
      <c r="H11" s="4" t="s">
        <v>1676</v>
      </c>
      <c r="I11" s="4" t="s">
        <v>1677</v>
      </c>
      <c r="J11" s="4" t="s">
        <v>1602</v>
      </c>
      <c r="K11" s="4" t="s">
        <v>1674</v>
      </c>
    </row>
    <row r="12" spans="1:11" x14ac:dyDescent="0.25">
      <c r="A12" s="3">
        <v>11</v>
      </c>
      <c r="B12" s="4" t="s">
        <v>1892</v>
      </c>
      <c r="C12" s="4" t="s">
        <v>1826</v>
      </c>
      <c r="D12" s="4" t="s">
        <v>1679</v>
      </c>
      <c r="E12" s="4" t="s">
        <v>1680</v>
      </c>
      <c r="F12" s="4" t="s">
        <v>1057</v>
      </c>
      <c r="G12" s="4" t="str">
        <f t="shared" si="0"/>
        <v>Rua Denise, 131 - Terras de Imbirucu, Capão Bonito, 18304-700</v>
      </c>
      <c r="H12" s="4" t="s">
        <v>1681</v>
      </c>
      <c r="I12" s="4" t="s">
        <v>1681</v>
      </c>
      <c r="J12" s="4" t="s">
        <v>1603</v>
      </c>
      <c r="K12" s="4" t="s">
        <v>1678</v>
      </c>
    </row>
    <row r="13" spans="1:11" x14ac:dyDescent="0.25">
      <c r="A13" s="3">
        <v>12</v>
      </c>
      <c r="B13" s="4" t="s">
        <v>1893</v>
      </c>
      <c r="C13" s="4" t="s">
        <v>1827</v>
      </c>
      <c r="D13" s="4" t="s">
        <v>1683</v>
      </c>
      <c r="E13" s="4" t="s">
        <v>1684</v>
      </c>
      <c r="F13" s="4" t="s">
        <v>1090</v>
      </c>
      <c r="G13" s="4" t="str">
        <f t="shared" si="0"/>
        <v>Rua Salgado Filho, 353 - Jardim Costa e Silva, Cubatão, 11500-270</v>
      </c>
      <c r="H13" s="4" t="s">
        <v>1685</v>
      </c>
      <c r="I13" s="4" t="s">
        <v>1686</v>
      </c>
      <c r="J13" s="4" t="s">
        <v>1604</v>
      </c>
      <c r="K13" s="4" t="s">
        <v>1682</v>
      </c>
    </row>
    <row r="14" spans="1:11" x14ac:dyDescent="0.25">
      <c r="A14" s="3">
        <v>13</v>
      </c>
      <c r="B14" s="4" t="s">
        <v>1894</v>
      </c>
      <c r="C14" s="4" t="s">
        <v>1828</v>
      </c>
      <c r="D14" s="4" t="s">
        <v>1653</v>
      </c>
      <c r="E14" s="4" t="s">
        <v>1688</v>
      </c>
      <c r="F14" s="4" t="s">
        <v>1100</v>
      </c>
      <c r="G14" s="4" t="str">
        <f t="shared" si="0"/>
        <v>Rua Tomé de Souza, 438 - Centro, Dracena, 17900-000</v>
      </c>
      <c r="H14" s="4" t="s">
        <v>1689</v>
      </c>
      <c r="I14" s="4" t="s">
        <v>1689</v>
      </c>
      <c r="J14" s="4" t="s">
        <v>1605</v>
      </c>
      <c r="K14" s="4" t="s">
        <v>1687</v>
      </c>
    </row>
    <row r="15" spans="1:11" x14ac:dyDescent="0.25">
      <c r="A15" s="3">
        <v>14</v>
      </c>
      <c r="B15" s="4" t="s">
        <v>1895</v>
      </c>
      <c r="C15" s="4" t="s">
        <v>1829</v>
      </c>
      <c r="D15" s="4" t="s">
        <v>1691</v>
      </c>
      <c r="E15" s="4" t="s">
        <v>1692</v>
      </c>
      <c r="F15" s="4" t="s">
        <v>1858</v>
      </c>
      <c r="G15" s="4" t="str">
        <f t="shared" si="0"/>
        <v>Rua João Paulo I, 495 - Jardim São Luiz, Embu das Artes, 06816-550</v>
      </c>
      <c r="H15" s="4" t="s">
        <v>1693</v>
      </c>
      <c r="I15" s="4" t="s">
        <v>1693</v>
      </c>
      <c r="J15" s="4" t="s">
        <v>1606</v>
      </c>
      <c r="K15" s="4" t="s">
        <v>1690</v>
      </c>
    </row>
    <row r="16" spans="1:11" x14ac:dyDescent="0.25">
      <c r="A16" s="3">
        <v>15</v>
      </c>
      <c r="B16" s="4" t="s">
        <v>1896</v>
      </c>
      <c r="C16" s="4" t="s">
        <v>1830</v>
      </c>
      <c r="D16" s="4" t="s">
        <v>1695</v>
      </c>
      <c r="E16" s="4" t="s">
        <v>1696</v>
      </c>
      <c r="F16" s="4" t="s">
        <v>1127</v>
      </c>
      <c r="G16" s="4" t="str">
        <f t="shared" si="0"/>
        <v>Avenida Dr. Flávio Rocha, 4551 - Parque dos Pinhais, Franca, 14405-600</v>
      </c>
      <c r="H16" s="4" t="s">
        <v>1697</v>
      </c>
      <c r="I16" s="4" t="s">
        <v>1697</v>
      </c>
      <c r="J16" s="4" t="s">
        <v>1607</v>
      </c>
      <c r="K16" s="4" t="s">
        <v>1694</v>
      </c>
    </row>
    <row r="17" spans="1:11" x14ac:dyDescent="0.25">
      <c r="A17" s="3">
        <v>16</v>
      </c>
      <c r="B17" s="4" t="s">
        <v>1897</v>
      </c>
      <c r="C17" s="4" t="s">
        <v>1831</v>
      </c>
      <c r="D17" s="4" t="s">
        <v>1699</v>
      </c>
      <c r="E17" s="4" t="s">
        <v>1700</v>
      </c>
      <c r="F17" s="4" t="s">
        <v>1154</v>
      </c>
      <c r="G17" s="4" t="str">
        <f t="shared" si="0"/>
        <v>Avenida Emílio Ribas , 1120 - Gopouva, Guarulhos, 07020-010</v>
      </c>
      <c r="H17" s="4" t="s">
        <v>1701</v>
      </c>
      <c r="I17" s="4" t="s">
        <v>1701</v>
      </c>
      <c r="J17" s="4" t="s">
        <v>1608</v>
      </c>
      <c r="K17" s="4" t="s">
        <v>1698</v>
      </c>
    </row>
    <row r="18" spans="1:11" x14ac:dyDescent="0.25">
      <c r="A18" s="3">
        <v>17</v>
      </c>
      <c r="B18" s="4" t="s">
        <v>1898</v>
      </c>
      <c r="C18" s="4" t="s">
        <v>1832</v>
      </c>
      <c r="D18" s="4" t="s">
        <v>1653</v>
      </c>
      <c r="E18" s="4" t="s">
        <v>1703</v>
      </c>
      <c r="F18" s="4" t="s">
        <v>1197</v>
      </c>
      <c r="G18" s="4" t="str">
        <f t="shared" si="0"/>
        <v>Rua General Carneiro, 196 - Centro, Itapetininga, 18200-024</v>
      </c>
      <c r="H18" s="4" t="s">
        <v>1704</v>
      </c>
      <c r="I18" s="4" t="s">
        <v>1705</v>
      </c>
      <c r="J18" s="4" t="s">
        <v>1609</v>
      </c>
      <c r="K18" s="4" t="s">
        <v>1702</v>
      </c>
    </row>
    <row r="19" spans="1:11" x14ac:dyDescent="0.25">
      <c r="A19" s="3">
        <v>18</v>
      </c>
      <c r="B19" s="4" t="s">
        <v>1899</v>
      </c>
      <c r="C19" s="4" t="s">
        <v>1833</v>
      </c>
      <c r="D19" s="4" t="s">
        <v>1653</v>
      </c>
      <c r="E19" s="4" t="s">
        <v>1707</v>
      </c>
      <c r="F19" s="4" t="s">
        <v>1214</v>
      </c>
      <c r="G19" s="4" t="str">
        <f t="shared" si="0"/>
        <v>Rua Santa Rita, 1165 - Centro, Itu, 13300-065</v>
      </c>
      <c r="H19" s="4" t="s">
        <v>1708</v>
      </c>
      <c r="I19" s="4" t="s">
        <v>1708</v>
      </c>
      <c r="J19" s="4" t="s">
        <v>1610</v>
      </c>
      <c r="K19" s="4" t="s">
        <v>1706</v>
      </c>
    </row>
    <row r="20" spans="1:11" x14ac:dyDescent="0.25">
      <c r="A20" s="3">
        <v>19</v>
      </c>
      <c r="B20" s="4" t="s">
        <v>1900</v>
      </c>
      <c r="C20" s="4" t="s">
        <v>1834</v>
      </c>
      <c r="D20" s="4" t="s">
        <v>1710</v>
      </c>
      <c r="E20" s="4" t="s">
        <v>1711</v>
      </c>
      <c r="F20" s="4" t="s">
        <v>1218</v>
      </c>
      <c r="G20" s="4" t="str">
        <f t="shared" si="0"/>
        <v>Avenida Angelo Morello, 60 - Jardim Santa Rosa, Jaboticabal, 14875-290</v>
      </c>
      <c r="H20" s="4" t="s">
        <v>1712</v>
      </c>
      <c r="I20" s="4" t="s">
        <v>1712</v>
      </c>
      <c r="J20" s="4" t="s">
        <v>1611</v>
      </c>
      <c r="K20" s="4" t="s">
        <v>1709</v>
      </c>
    </row>
    <row r="21" spans="1:11" x14ac:dyDescent="0.25">
      <c r="A21" s="3">
        <v>20</v>
      </c>
      <c r="B21" s="4" t="s">
        <v>1901</v>
      </c>
      <c r="C21" s="4" t="s">
        <v>1835</v>
      </c>
      <c r="D21" s="4" t="s">
        <v>1714</v>
      </c>
      <c r="E21" s="4" t="s">
        <v>1715</v>
      </c>
      <c r="F21" s="4" t="s">
        <v>1223</v>
      </c>
      <c r="G21" s="4" t="str">
        <f t="shared" si="0"/>
        <v>Rua Nova Iorque, 1016 - Jardim Monte Rrey, Jales, 15703-326</v>
      </c>
      <c r="H21" s="4" t="s">
        <v>1716</v>
      </c>
      <c r="I21" s="4" t="s">
        <v>1716</v>
      </c>
      <c r="J21" s="4" t="s">
        <v>1612</v>
      </c>
      <c r="K21" s="4" t="s">
        <v>1713</v>
      </c>
    </row>
    <row r="22" spans="1:11" x14ac:dyDescent="0.25">
      <c r="A22" s="3">
        <v>21</v>
      </c>
      <c r="B22" s="4" t="s">
        <v>1902</v>
      </c>
      <c r="C22" s="4" t="s">
        <v>1836</v>
      </c>
      <c r="D22" s="4" t="s">
        <v>1718</v>
      </c>
      <c r="E22" s="4" t="s">
        <v>1719</v>
      </c>
      <c r="F22" s="4" t="s">
        <v>1235</v>
      </c>
      <c r="G22" s="4" t="str">
        <f t="shared" si="0"/>
        <v>Rua João Ferrara, 555 - Jardim Pitangueiras II, Jundiaí, 13206-714</v>
      </c>
      <c r="H22" s="4" t="s">
        <v>1720</v>
      </c>
      <c r="I22" s="4" t="s">
        <v>1721</v>
      </c>
      <c r="J22" s="4" t="s">
        <v>1613</v>
      </c>
      <c r="K22" s="4" t="s">
        <v>1717</v>
      </c>
    </row>
    <row r="23" spans="1:11" x14ac:dyDescent="0.25">
      <c r="A23" s="3">
        <v>22</v>
      </c>
      <c r="B23" s="4" t="s">
        <v>1903</v>
      </c>
      <c r="C23" s="4" t="s">
        <v>1837</v>
      </c>
      <c r="D23" s="4" t="s">
        <v>1723</v>
      </c>
      <c r="E23" s="4" t="s">
        <v>1724</v>
      </c>
      <c r="F23" s="4" t="s">
        <v>1245</v>
      </c>
      <c r="G23" s="4" t="str">
        <f t="shared" si="0"/>
        <v>Avenida Vitório Bortolan, 1450 - Parque Abílio Pedro, Limeira, 13483-132</v>
      </c>
      <c r="H23" s="4" t="s">
        <v>1725</v>
      </c>
      <c r="I23" s="4" t="s">
        <v>1725</v>
      </c>
      <c r="J23" s="4" t="s">
        <v>1614</v>
      </c>
      <c r="K23" s="4" t="s">
        <v>1722</v>
      </c>
    </row>
    <row r="24" spans="1:11" x14ac:dyDescent="0.25">
      <c r="A24" s="3">
        <v>23</v>
      </c>
      <c r="B24" s="4" t="s">
        <v>1904</v>
      </c>
      <c r="C24" s="4" t="s">
        <v>1838</v>
      </c>
      <c r="D24" s="4" t="s">
        <v>1727</v>
      </c>
      <c r="E24" s="4" t="s">
        <v>1728</v>
      </c>
      <c r="F24" s="4" t="s">
        <v>1268</v>
      </c>
      <c r="G24" s="4" t="str">
        <f t="shared" si="0"/>
        <v>Rua Santa Helena, 436 - Jardim Alvorada, Marília, 17513-322</v>
      </c>
      <c r="H24" s="4" t="s">
        <v>1729</v>
      </c>
      <c r="I24" s="4" t="s">
        <v>1729</v>
      </c>
      <c r="J24" s="4" t="s">
        <v>1615</v>
      </c>
      <c r="K24" s="4" t="s">
        <v>1726</v>
      </c>
    </row>
    <row r="25" spans="1:11" x14ac:dyDescent="0.25">
      <c r="A25" s="3">
        <v>24</v>
      </c>
      <c r="B25" s="4" t="s">
        <v>1905</v>
      </c>
      <c r="C25" s="4" t="s">
        <v>1839</v>
      </c>
      <c r="D25" s="4" t="s">
        <v>1522</v>
      </c>
      <c r="E25" s="4" t="s">
        <v>1731</v>
      </c>
      <c r="F25" s="4" t="s">
        <v>1859</v>
      </c>
      <c r="G25" s="4" t="str">
        <f t="shared" si="0"/>
        <v>Avenida João XXIII, 165 - Socorro, Mogi das Cruzes, 08830-000</v>
      </c>
      <c r="H25" s="4" t="s">
        <v>1732</v>
      </c>
      <c r="I25" s="4" t="s">
        <v>1807</v>
      </c>
      <c r="J25" s="4" t="s">
        <v>1616</v>
      </c>
      <c r="K25" s="4" t="s">
        <v>1730</v>
      </c>
    </row>
    <row r="26" spans="1:11" x14ac:dyDescent="0.25">
      <c r="A26" s="3">
        <v>25</v>
      </c>
      <c r="B26" s="4" t="s">
        <v>1906</v>
      </c>
      <c r="C26" s="4" t="s">
        <v>1840</v>
      </c>
      <c r="D26" s="4" t="s">
        <v>1734</v>
      </c>
      <c r="E26" s="4" t="s">
        <v>1735</v>
      </c>
      <c r="F26" s="4" t="s">
        <v>1285</v>
      </c>
      <c r="G26" s="4" t="str">
        <f t="shared" si="0"/>
        <v>Rua Hugo Pancieira, 400 - Pedregulhal, Mogi Guaçu, 13845-190</v>
      </c>
      <c r="H26" s="4" t="s">
        <v>1736</v>
      </c>
      <c r="I26" s="4" t="s">
        <v>1736</v>
      </c>
      <c r="J26" s="4" t="s">
        <v>1617</v>
      </c>
      <c r="K26" s="4" t="s">
        <v>1733</v>
      </c>
    </row>
    <row r="27" spans="1:11" x14ac:dyDescent="0.25">
      <c r="A27" s="3">
        <v>26</v>
      </c>
      <c r="B27" s="4" t="s">
        <v>1907</v>
      </c>
      <c r="C27" s="4" t="s">
        <v>1841</v>
      </c>
      <c r="D27" s="4" t="s">
        <v>1738</v>
      </c>
      <c r="E27" s="4" t="s">
        <v>1739</v>
      </c>
      <c r="F27" s="4" t="s">
        <v>1504</v>
      </c>
      <c r="G27" s="4" t="str">
        <f t="shared" si="0"/>
        <v>Rua Anete Queiroz Lacerda, 80 - Butantã, São Paulo, 05591-080</v>
      </c>
      <c r="H27" s="4" t="s">
        <v>1740</v>
      </c>
      <c r="I27" s="4" t="s">
        <v>1740</v>
      </c>
      <c r="J27" s="4" t="s">
        <v>1618</v>
      </c>
      <c r="K27" s="4" t="s">
        <v>1737</v>
      </c>
    </row>
    <row r="28" spans="1:11" x14ac:dyDescent="0.25">
      <c r="A28" s="3">
        <v>27</v>
      </c>
      <c r="B28" s="4" t="s">
        <v>1908</v>
      </c>
      <c r="C28" s="4" t="s">
        <v>1842</v>
      </c>
      <c r="D28" s="4" t="s">
        <v>1742</v>
      </c>
      <c r="E28" s="4" t="s">
        <v>1743</v>
      </c>
      <c r="F28" s="4" t="s">
        <v>1352</v>
      </c>
      <c r="G28" s="4" t="str">
        <f t="shared" si="0"/>
        <v>Rua Angelo Varandas, 550 - Jardim Santa Terezinha, Paulínia, 13140-802</v>
      </c>
      <c r="H28" s="4" t="s">
        <v>1744</v>
      </c>
      <c r="I28" s="4" t="s">
        <v>1744</v>
      </c>
      <c r="J28" s="4" t="s">
        <v>1619</v>
      </c>
      <c r="K28" s="4" t="s">
        <v>1741</v>
      </c>
    </row>
    <row r="29" spans="1:11" x14ac:dyDescent="0.25">
      <c r="A29" s="3">
        <v>28</v>
      </c>
      <c r="B29" s="4" t="s">
        <v>1909</v>
      </c>
      <c r="C29" s="4" t="s">
        <v>1843</v>
      </c>
      <c r="D29" s="4" t="s">
        <v>1653</v>
      </c>
      <c r="E29" s="4" t="s">
        <v>1746</v>
      </c>
      <c r="F29" s="4" t="s">
        <v>1375</v>
      </c>
      <c r="G29" s="4" t="str">
        <f t="shared" si="0"/>
        <v>Rua do Rosário, 566 - Centro, Piracicaba, 13400-183</v>
      </c>
      <c r="H29" s="4" t="s">
        <v>1747</v>
      </c>
      <c r="I29" s="4" t="s">
        <v>1747</v>
      </c>
      <c r="J29" s="4" t="s">
        <v>1620</v>
      </c>
      <c r="K29" s="4" t="s">
        <v>1745</v>
      </c>
    </row>
    <row r="30" spans="1:11" x14ac:dyDescent="0.25">
      <c r="A30" s="3">
        <v>29</v>
      </c>
      <c r="B30" s="4" t="s">
        <v>1910</v>
      </c>
      <c r="C30" s="4" t="s">
        <v>1844</v>
      </c>
      <c r="D30" s="4" t="s">
        <v>1749</v>
      </c>
      <c r="E30" s="4" t="s">
        <v>1750</v>
      </c>
      <c r="F30" s="4" t="s">
        <v>1406</v>
      </c>
      <c r="G30" s="4" t="str">
        <f t="shared" si="0"/>
        <v>Rua João Gonçalves Foz, 1738 - Jardim das Rosas, Presidente Prudente, 19060-050</v>
      </c>
      <c r="H30" s="4" t="s">
        <v>1751</v>
      </c>
      <c r="I30" s="4" t="s">
        <v>1807</v>
      </c>
      <c r="J30" s="4" t="s">
        <v>1621</v>
      </c>
      <c r="K30" s="4" t="s">
        <v>1748</v>
      </c>
    </row>
    <row r="31" spans="1:11" x14ac:dyDescent="0.25">
      <c r="A31" s="3">
        <v>30</v>
      </c>
      <c r="B31" s="4" t="s">
        <v>1911</v>
      </c>
      <c r="C31" s="4" t="s">
        <v>1845</v>
      </c>
      <c r="D31" s="4" t="s">
        <v>1753</v>
      </c>
      <c r="E31" s="4" t="s">
        <v>1754</v>
      </c>
      <c r="F31" s="4" t="s">
        <v>1419</v>
      </c>
      <c r="G31" s="4" t="str">
        <f t="shared" si="0"/>
        <v>Rua São Bento, 249 - Jardim São Nicolau, Registro, 11900-000</v>
      </c>
      <c r="H31" s="4" t="s">
        <v>1755</v>
      </c>
      <c r="I31" s="4" t="s">
        <v>1756</v>
      </c>
      <c r="J31" s="4" t="s">
        <v>1622</v>
      </c>
      <c r="K31" s="4" t="s">
        <v>1752</v>
      </c>
    </row>
    <row r="32" spans="1:11" x14ac:dyDescent="0.25">
      <c r="A32" s="3">
        <v>31</v>
      </c>
      <c r="B32" s="4" t="s">
        <v>1912</v>
      </c>
      <c r="C32" s="4" t="s">
        <v>1846</v>
      </c>
      <c r="D32" s="4" t="s">
        <v>1758</v>
      </c>
      <c r="E32" s="4" t="s">
        <v>1759</v>
      </c>
      <c r="F32" s="4" t="s">
        <v>1429</v>
      </c>
      <c r="G32" s="4" t="str">
        <f t="shared" si="0"/>
        <v>Avenida Presidente Kennedy, 1760 - Ribeirânia, Ribeirão Preto, 14096-350</v>
      </c>
      <c r="H32" s="4" t="s">
        <v>1760</v>
      </c>
      <c r="I32" s="4" t="s">
        <v>1761</v>
      </c>
      <c r="J32" s="4" t="s">
        <v>1623</v>
      </c>
      <c r="K32" s="4" t="s">
        <v>1757</v>
      </c>
    </row>
    <row r="33" spans="1:11" x14ac:dyDescent="0.25">
      <c r="A33" s="3">
        <v>32</v>
      </c>
      <c r="B33" s="4" t="s">
        <v>1913</v>
      </c>
      <c r="C33" s="4" t="s">
        <v>1866</v>
      </c>
      <c r="D33" s="4" t="s">
        <v>1868</v>
      </c>
      <c r="E33" s="4" t="s">
        <v>1869</v>
      </c>
      <c r="F33" s="4" t="s">
        <v>1504</v>
      </c>
      <c r="G33" s="4" t="str">
        <f t="shared" si="0"/>
        <v>Avenida Santa Inês, 1796 - Horto Florestal, São Paulo, 02415-002</v>
      </c>
      <c r="H33" s="4" t="s">
        <v>1870</v>
      </c>
      <c r="I33" s="4" t="s">
        <v>1807</v>
      </c>
      <c r="J33" s="4" t="s">
        <v>1867</v>
      </c>
      <c r="K33" s="4" t="s">
        <v>1762</v>
      </c>
    </row>
    <row r="34" spans="1:11" x14ac:dyDescent="0.25">
      <c r="A34" s="3">
        <v>33</v>
      </c>
      <c r="B34" s="4" t="s">
        <v>1914</v>
      </c>
      <c r="C34" s="4" t="s">
        <v>1847</v>
      </c>
      <c r="D34" s="4" t="s">
        <v>1763</v>
      </c>
      <c r="E34" s="4" t="s">
        <v>1764</v>
      </c>
      <c r="F34" s="4" t="s">
        <v>1484</v>
      </c>
      <c r="G34" s="4" t="str">
        <f t="shared" si="0"/>
        <v>Rua Delfim Moreira, 56 - Embaré, Santos, 11040-100</v>
      </c>
      <c r="H34" s="4" t="s">
        <v>1765</v>
      </c>
      <c r="I34" s="4" t="s">
        <v>1765</v>
      </c>
      <c r="J34" s="4" t="s">
        <v>1624</v>
      </c>
      <c r="K34" s="4" t="s">
        <v>1766</v>
      </c>
    </row>
    <row r="35" spans="1:11" x14ac:dyDescent="0.25">
      <c r="A35" s="3">
        <v>34</v>
      </c>
      <c r="B35" s="4" t="s">
        <v>1915</v>
      </c>
      <c r="C35" s="4" t="s">
        <v>1848</v>
      </c>
      <c r="D35" s="4" t="s">
        <v>1767</v>
      </c>
      <c r="E35" s="4" t="s">
        <v>1768</v>
      </c>
      <c r="F35" s="4" t="s">
        <v>1488</v>
      </c>
      <c r="G35" s="4" t="str">
        <f t="shared" si="0"/>
        <v>Avenida das Azaléias, 700 - Cidade Jardim, São Carlos, 13566-500</v>
      </c>
      <c r="H35" s="4" t="s">
        <v>1769</v>
      </c>
      <c r="I35" s="4" t="s">
        <v>1769</v>
      </c>
      <c r="J35" s="4" t="s">
        <v>1625</v>
      </c>
      <c r="K35" s="4" t="s">
        <v>1770</v>
      </c>
    </row>
    <row r="36" spans="1:11" x14ac:dyDescent="0.25">
      <c r="A36" s="3">
        <v>35</v>
      </c>
      <c r="B36" s="4" t="s">
        <v>1916</v>
      </c>
      <c r="C36" s="4" t="s">
        <v>1849</v>
      </c>
      <c r="D36" s="4" t="s">
        <v>1653</v>
      </c>
      <c r="E36" s="4" t="s">
        <v>1771</v>
      </c>
      <c r="F36" s="4" t="s">
        <v>1490</v>
      </c>
      <c r="G36" s="4" t="str">
        <f t="shared" si="0"/>
        <v>Rua Marechal Deodoro, 345 - Centro, São João da Boa Vista, 13870-223</v>
      </c>
      <c r="H36" s="4" t="s">
        <v>1772</v>
      </c>
      <c r="I36" s="4" t="s">
        <v>1772</v>
      </c>
      <c r="J36" s="4" t="s">
        <v>1626</v>
      </c>
      <c r="K36" s="4" t="s">
        <v>1773</v>
      </c>
    </row>
    <row r="37" spans="1:11" x14ac:dyDescent="0.25">
      <c r="A37" s="3">
        <v>36</v>
      </c>
      <c r="B37" s="4" t="s">
        <v>1917</v>
      </c>
      <c r="C37" s="4" t="s">
        <v>1850</v>
      </c>
      <c r="D37" s="4" t="s">
        <v>1774</v>
      </c>
      <c r="E37" s="4" t="s">
        <v>1775</v>
      </c>
      <c r="F37" s="4" t="s">
        <v>1498</v>
      </c>
      <c r="G37" s="4" t="str">
        <f t="shared" si="0"/>
        <v>Avenida Mário Andreazza, - Jardim São Marcos, São José do Rio Preto, 15081-490</v>
      </c>
      <c r="H37" s="4" t="s">
        <v>1776</v>
      </c>
      <c r="I37" s="4" t="s">
        <v>1776</v>
      </c>
      <c r="J37" s="4" t="s">
        <v>1627</v>
      </c>
      <c r="K37" s="4" t="s">
        <v>1777</v>
      </c>
    </row>
    <row r="38" spans="1:11" x14ac:dyDescent="0.25">
      <c r="A38" s="3">
        <v>37</v>
      </c>
      <c r="B38" s="4" t="s">
        <v>1918</v>
      </c>
      <c r="C38" s="4" t="s">
        <v>1851</v>
      </c>
      <c r="D38" s="4" t="s">
        <v>1778</v>
      </c>
      <c r="E38" s="4" t="s">
        <v>1779</v>
      </c>
      <c r="F38" s="4" t="s">
        <v>1499</v>
      </c>
      <c r="G38" s="4" t="str">
        <f t="shared" si="0"/>
        <v>Avenida Olivo Gomes, 100 - Parque da Cidade/Santana, São José dos Campos, 12211-115</v>
      </c>
      <c r="H38" s="4" t="s">
        <v>1780</v>
      </c>
      <c r="I38" s="4" t="s">
        <v>1780</v>
      </c>
      <c r="J38" s="4" t="s">
        <v>1628</v>
      </c>
      <c r="K38" s="4" t="s">
        <v>1781</v>
      </c>
    </row>
    <row r="39" spans="1:11" x14ac:dyDescent="0.25">
      <c r="A39" s="3">
        <v>38</v>
      </c>
      <c r="B39" s="4" t="s">
        <v>1919</v>
      </c>
      <c r="C39" s="4" t="s">
        <v>1852</v>
      </c>
      <c r="D39" s="4" t="s">
        <v>1782</v>
      </c>
      <c r="E39" s="4" t="s">
        <v>1783</v>
      </c>
      <c r="F39" s="4" t="s">
        <v>1508</v>
      </c>
      <c r="G39" s="4" t="str">
        <f t="shared" si="0"/>
        <v>Rua Francisco da Cruz Maldonado, 132 - Portal da Olaria, São Sebastião, 11600-000</v>
      </c>
      <c r="H39" s="4" t="s">
        <v>1784</v>
      </c>
      <c r="I39" s="4" t="s">
        <v>1784</v>
      </c>
      <c r="J39" s="4" t="s">
        <v>1629</v>
      </c>
      <c r="K39" s="4" t="s">
        <v>1785</v>
      </c>
    </row>
    <row r="40" spans="1:11" x14ac:dyDescent="0.25">
      <c r="A40" s="3">
        <v>39</v>
      </c>
      <c r="B40" s="4" t="s">
        <v>1920</v>
      </c>
      <c r="C40" s="4" t="s">
        <v>1853</v>
      </c>
      <c r="D40" s="4" t="s">
        <v>1786</v>
      </c>
      <c r="E40" s="4" t="s">
        <v>1787</v>
      </c>
      <c r="F40" s="4" t="s">
        <v>1523</v>
      </c>
      <c r="G40" s="4" t="str">
        <f t="shared" si="0"/>
        <v>Avenida Américo de Carvalho, 820 - Jardim Europa, Sorocaba, 18045-000</v>
      </c>
      <c r="H40" s="4" t="s">
        <v>1788</v>
      </c>
      <c r="I40" s="4" t="s">
        <v>1788</v>
      </c>
      <c r="J40" s="4" t="s">
        <v>1630</v>
      </c>
      <c r="K40" s="4" t="s">
        <v>1789</v>
      </c>
    </row>
    <row r="41" spans="1:11" x14ac:dyDescent="0.25">
      <c r="A41" s="3">
        <v>40</v>
      </c>
      <c r="B41" s="4" t="s">
        <v>1921</v>
      </c>
      <c r="C41" s="4" t="s">
        <v>1854</v>
      </c>
      <c r="D41" s="4" t="s">
        <v>1790</v>
      </c>
      <c r="E41" s="4" t="s">
        <v>1791</v>
      </c>
      <c r="F41" s="4" t="s">
        <v>1546</v>
      </c>
      <c r="G41" s="4" t="str">
        <f t="shared" si="0"/>
        <v>Avenida Itambé, 38 - Sta. Luzia, Taubaté, 12091-200</v>
      </c>
      <c r="H41" s="4" t="s">
        <v>1792</v>
      </c>
      <c r="I41" s="4" t="s">
        <v>1793</v>
      </c>
      <c r="J41" s="4" t="s">
        <v>1631</v>
      </c>
      <c r="K41" s="4" t="s">
        <v>1794</v>
      </c>
    </row>
    <row r="42" spans="1:11" x14ac:dyDescent="0.25">
      <c r="A42" s="3">
        <v>41</v>
      </c>
      <c r="B42" s="4" t="s">
        <v>1922</v>
      </c>
      <c r="C42" s="4" t="s">
        <v>1855</v>
      </c>
      <c r="D42" s="4" t="s">
        <v>1795</v>
      </c>
      <c r="E42" s="4" t="s">
        <v>1796</v>
      </c>
      <c r="F42" s="4" t="s">
        <v>1583</v>
      </c>
      <c r="G42" s="4" t="str">
        <f t="shared" si="0"/>
        <v>Avenida Deputado Aureo Ferreira, 1724 - Vila Paes, Votuporanga, 15500-112</v>
      </c>
      <c r="H42" s="4" t="s">
        <v>1797</v>
      </c>
      <c r="I42" s="4" t="s">
        <v>1797</v>
      </c>
      <c r="J42" s="4" t="s">
        <v>1632</v>
      </c>
      <c r="K42" s="4" t="s">
        <v>1798</v>
      </c>
    </row>
    <row r="43" spans="1:11" x14ac:dyDescent="0.25">
      <c r="A43" s="3">
        <v>42</v>
      </c>
      <c r="B43" s="4" t="s">
        <v>1923</v>
      </c>
      <c r="C43" s="4" t="s">
        <v>1856</v>
      </c>
      <c r="D43" s="4" t="s">
        <v>1799</v>
      </c>
      <c r="E43" s="4" t="s">
        <v>1800</v>
      </c>
      <c r="F43" s="4" t="s">
        <v>1486</v>
      </c>
      <c r="G43" s="4" t="str">
        <f t="shared" si="0"/>
        <v>Rua dos Vianas, 625 - Baeta Neves, São Bernardo do Campo, 09760-040</v>
      </c>
      <c r="H43" s="4" t="s">
        <v>1801</v>
      </c>
      <c r="I43" s="4" t="s">
        <v>1801</v>
      </c>
      <c r="J43" s="4" t="s">
        <v>1633</v>
      </c>
      <c r="K43" s="4" t="s">
        <v>1802</v>
      </c>
    </row>
    <row r="44" spans="1:11" x14ac:dyDescent="0.25">
      <c r="A44" s="3">
        <v>43</v>
      </c>
      <c r="B44" s="4" t="s">
        <v>1924</v>
      </c>
      <c r="C44" s="4" t="s">
        <v>1856</v>
      </c>
      <c r="D44" s="4" t="s">
        <v>1799</v>
      </c>
      <c r="E44" s="4" t="s">
        <v>1800</v>
      </c>
      <c r="F44" s="4" t="s">
        <v>1486</v>
      </c>
      <c r="G44" s="4" t="str">
        <f t="shared" si="0"/>
        <v>Rua dos Vianas, 625 - Baeta Neves, São Bernardo do Campo, 09760-040</v>
      </c>
      <c r="H44" s="4" t="s">
        <v>1801</v>
      </c>
      <c r="I44" s="4" t="s">
        <v>1801</v>
      </c>
      <c r="J44" s="4" t="s">
        <v>1634</v>
      </c>
      <c r="K44" s="4" t="s">
        <v>1803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7"/>
  <dimension ref="A1:F47"/>
  <sheetViews>
    <sheetView zoomScale="70" zoomScaleNormal="70" workbookViewId="0">
      <selection activeCell="D26" sqref="D26"/>
    </sheetView>
  </sheetViews>
  <sheetFormatPr defaultColWidth="0" defaultRowHeight="15" x14ac:dyDescent="0.25"/>
  <cols>
    <col min="1" max="1" width="17.7109375" bestFit="1" customWidth="1"/>
    <col min="2" max="2" width="17.140625" bestFit="1" customWidth="1"/>
    <col min="3" max="3" width="30.5703125" bestFit="1" customWidth="1"/>
    <col min="4" max="4" width="45.85546875" bestFit="1" customWidth="1"/>
    <col min="5" max="5" width="38.85546875" bestFit="1" customWidth="1"/>
    <col min="6" max="6" width="9.140625" customWidth="1"/>
    <col min="7" max="7" width="9.140625" hidden="1" customWidth="1"/>
    <col min="8" max="16384" width="9.140625" hidden="1"/>
  </cols>
  <sheetData>
    <row r="1" spans="1:5" x14ac:dyDescent="0.25">
      <c r="A1" t="s">
        <v>939</v>
      </c>
      <c r="B1" t="s">
        <v>1966</v>
      </c>
      <c r="C1" t="s">
        <v>1930</v>
      </c>
      <c r="D1" s="22" t="s">
        <v>1967</v>
      </c>
      <c r="E1" s="24" t="s">
        <v>1931</v>
      </c>
    </row>
    <row r="2" spans="1:5" x14ac:dyDescent="0.25">
      <c r="A2">
        <f>VLOOKUP(tab_MunLicenciador[[#This Row],[Município Licenciador]],tab_Município_Seleção,3,FALSE)</f>
        <v>3548708</v>
      </c>
      <c r="B2" s="21">
        <v>1</v>
      </c>
      <c r="C2" s="23" t="s">
        <v>1486</v>
      </c>
      <c r="D2" s="23" t="s">
        <v>1932</v>
      </c>
      <c r="E2" s="23" t="s">
        <v>1933</v>
      </c>
    </row>
    <row r="3" spans="1:5" x14ac:dyDescent="0.25">
      <c r="A3" s="4">
        <f>VLOOKUP(tab_MunLicenciador[[#This Row],[Município Licenciador]],tab_Município_Seleção,3,FALSE)</f>
        <v>3547809</v>
      </c>
      <c r="B3" s="21">
        <v>2</v>
      </c>
      <c r="C3" s="23" t="s">
        <v>1476</v>
      </c>
      <c r="D3" s="23" t="s">
        <v>1932</v>
      </c>
      <c r="E3" s="23" t="s">
        <v>1933</v>
      </c>
    </row>
    <row r="4" spans="1:5" x14ac:dyDescent="0.25">
      <c r="A4" s="4">
        <f>VLOOKUP(tab_MunLicenciador[[#This Row],[Município Licenciador]],tab_Município_Seleção,3,FALSE)</f>
        <v>3550308</v>
      </c>
      <c r="B4" s="21">
        <v>3</v>
      </c>
      <c r="C4" s="23" t="s">
        <v>1504</v>
      </c>
      <c r="D4" s="23" t="s">
        <v>1932</v>
      </c>
      <c r="E4" s="23" t="s">
        <v>1934</v>
      </c>
    </row>
    <row r="5" spans="1:5" x14ac:dyDescent="0.25">
      <c r="A5" s="4">
        <f>VLOOKUP(tab_MunLicenciador[[#This Row],[Município Licenciador]],tab_Município_Seleção,3,FALSE)</f>
        <v>3509502</v>
      </c>
      <c r="B5" s="21">
        <v>4</v>
      </c>
      <c r="C5" s="23" t="s">
        <v>1048</v>
      </c>
      <c r="D5" s="23" t="s">
        <v>1932</v>
      </c>
      <c r="E5" s="23" t="s">
        <v>1934</v>
      </c>
    </row>
    <row r="6" spans="1:5" x14ac:dyDescent="0.25">
      <c r="A6" s="4">
        <f>VLOOKUP(tab_MunLicenciador[[#This Row],[Município Licenciador]],tab_Município_Seleção,3,FALSE)</f>
        <v>3547304</v>
      </c>
      <c r="B6" s="21">
        <v>5</v>
      </c>
      <c r="C6" s="23" t="s">
        <v>1474</v>
      </c>
      <c r="D6" s="23" t="s">
        <v>1935</v>
      </c>
      <c r="E6" s="23" t="s">
        <v>1936</v>
      </c>
    </row>
    <row r="7" spans="1:5" x14ac:dyDescent="0.25">
      <c r="A7" s="4">
        <f>VLOOKUP(tab_MunLicenciador[[#This Row],[Município Licenciador]],tab_Município_Seleção,3,FALSE)</f>
        <v>3501608</v>
      </c>
      <c r="B7" s="21">
        <v>6</v>
      </c>
      <c r="C7" s="23" t="s">
        <v>958</v>
      </c>
      <c r="D7" s="23" t="s">
        <v>1935</v>
      </c>
      <c r="E7" s="23" t="s">
        <v>1936</v>
      </c>
    </row>
    <row r="8" spans="1:5" x14ac:dyDescent="0.25">
      <c r="A8" s="4">
        <f>VLOOKUP(tab_MunLicenciador[[#This Row],[Município Licenciador]],tab_Município_Seleção,3,FALSE)</f>
        <v>3543303</v>
      </c>
      <c r="B8" s="21">
        <v>7</v>
      </c>
      <c r="C8" s="23" t="s">
        <v>1428</v>
      </c>
      <c r="D8" s="23" t="s">
        <v>1935</v>
      </c>
      <c r="E8" s="23" t="s">
        <v>1937</v>
      </c>
    </row>
    <row r="9" spans="1:5" x14ac:dyDescent="0.25">
      <c r="A9" s="4">
        <f>VLOOKUP(tab_MunLicenciador[[#This Row],[Município Licenciador]],tab_Município_Seleção,3,FALSE)</f>
        <v>3556206</v>
      </c>
      <c r="B9" s="21">
        <v>8</v>
      </c>
      <c r="C9" s="23" t="s">
        <v>1571</v>
      </c>
      <c r="D9" s="23" t="s">
        <v>1935</v>
      </c>
      <c r="E9" s="23" t="s">
        <v>1938</v>
      </c>
    </row>
    <row r="10" spans="1:5" x14ac:dyDescent="0.25">
      <c r="A10" s="4">
        <f>VLOOKUP(tab_MunLicenciador[[#This Row],[Município Licenciador]],tab_Município_Seleção,3,FALSE)</f>
        <v>3538709</v>
      </c>
      <c r="B10" s="21">
        <v>9</v>
      </c>
      <c r="C10" s="23" t="s">
        <v>1375</v>
      </c>
      <c r="D10" s="23" t="s">
        <v>1935</v>
      </c>
      <c r="E10" s="23" t="s">
        <v>1939</v>
      </c>
    </row>
    <row r="11" spans="1:5" x14ac:dyDescent="0.25">
      <c r="A11" s="4">
        <f>VLOOKUP(tab_MunLicenciador[[#This Row],[Município Licenciador]],tab_Município_Seleção,3,FALSE)</f>
        <v>3533908</v>
      </c>
      <c r="B11" s="21">
        <v>10</v>
      </c>
      <c r="C11" s="23" t="s">
        <v>1324</v>
      </c>
      <c r="D11" s="23" t="s">
        <v>1940</v>
      </c>
      <c r="E11" s="23" t="s">
        <v>1939</v>
      </c>
    </row>
    <row r="12" spans="1:5" x14ac:dyDescent="0.25">
      <c r="A12" s="4">
        <f>VLOOKUP(tab_MunLicenciador[[#This Row],[Município Licenciador]],tab_Município_Seleção,3,FALSE)</f>
        <v>3527207</v>
      </c>
      <c r="B12" s="21">
        <v>11</v>
      </c>
      <c r="C12" s="23" t="s">
        <v>1248</v>
      </c>
      <c r="D12" s="23" t="s">
        <v>1935</v>
      </c>
      <c r="E12" s="23" t="s">
        <v>1941</v>
      </c>
    </row>
    <row r="13" spans="1:5" x14ac:dyDescent="0.25">
      <c r="A13" s="4">
        <f>VLOOKUP(tab_MunLicenciador[[#This Row],[Município Licenciador]],tab_Município_Seleção,3,FALSE)</f>
        <v>3543402</v>
      </c>
      <c r="B13" s="21">
        <v>12</v>
      </c>
      <c r="C13" s="23" t="s">
        <v>1429</v>
      </c>
      <c r="D13" s="23" t="s">
        <v>1935</v>
      </c>
      <c r="E13" s="23" t="s">
        <v>1941</v>
      </c>
    </row>
    <row r="14" spans="1:5" x14ac:dyDescent="0.25">
      <c r="A14" s="4">
        <f>VLOOKUP(tab_MunLicenciador[[#This Row],[Município Licenciador]],tab_Município_Seleção,3,FALSE)</f>
        <v>3512001</v>
      </c>
      <c r="B14" s="21">
        <v>13</v>
      </c>
      <c r="C14" s="23" t="s">
        <v>1075</v>
      </c>
      <c r="D14" s="23" t="s">
        <v>1940</v>
      </c>
      <c r="E14" s="23" t="s">
        <v>1941</v>
      </c>
    </row>
    <row r="15" spans="1:5" x14ac:dyDescent="0.25">
      <c r="A15" s="4">
        <f>VLOOKUP(tab_MunLicenciador[[#This Row],[Município Licenciador]],tab_Município_Seleção,3,FALSE)</f>
        <v>3505500</v>
      </c>
      <c r="B15" s="21">
        <v>14</v>
      </c>
      <c r="C15" s="23" t="s">
        <v>1002</v>
      </c>
      <c r="D15" s="23" t="s">
        <v>1940</v>
      </c>
      <c r="E15" s="23" t="s">
        <v>1941</v>
      </c>
    </row>
    <row r="16" spans="1:5" x14ac:dyDescent="0.25">
      <c r="A16" s="4">
        <f>VLOOKUP(tab_MunLicenciador[[#This Row],[Município Licenciador]],tab_Município_Seleção,3,FALSE)</f>
        <v>3540606</v>
      </c>
      <c r="B16" s="21">
        <v>15</v>
      </c>
      <c r="C16" s="23" t="s">
        <v>1395</v>
      </c>
      <c r="D16" s="23" t="s">
        <v>1940</v>
      </c>
      <c r="E16" s="23" t="s">
        <v>1941</v>
      </c>
    </row>
    <row r="17" spans="1:5" x14ac:dyDescent="0.25">
      <c r="A17" s="4">
        <f>VLOOKUP(tab_MunLicenciador[[#This Row],[Município Licenciador]],tab_Município_Seleção,3,FALSE)</f>
        <v>3509205</v>
      </c>
      <c r="B17" s="21">
        <v>16</v>
      </c>
      <c r="C17" s="23" t="s">
        <v>1043</v>
      </c>
      <c r="D17" s="23" t="s">
        <v>1935</v>
      </c>
      <c r="E17" s="23" t="s">
        <v>1941</v>
      </c>
    </row>
    <row r="18" spans="1:5" x14ac:dyDescent="0.25">
      <c r="A18" s="4">
        <f>VLOOKUP(tab_MunLicenciador[[#This Row],[Município Licenciador]],tab_Município_Seleção,3,FALSE)</f>
        <v>3520509</v>
      </c>
      <c r="B18" s="21">
        <v>17</v>
      </c>
      <c r="C18" s="23" t="s">
        <v>1177</v>
      </c>
      <c r="D18" s="23" t="s">
        <v>1935</v>
      </c>
      <c r="E18" s="23" t="s">
        <v>1941</v>
      </c>
    </row>
    <row r="19" spans="1:5" x14ac:dyDescent="0.25">
      <c r="A19" s="4">
        <f>VLOOKUP(tab_MunLicenciador[[#This Row],[Município Licenciador]],tab_Município_Seleção,3,FALSE)</f>
        <v>3529401</v>
      </c>
      <c r="B19" s="21">
        <v>18</v>
      </c>
      <c r="C19" s="23" t="s">
        <v>1272</v>
      </c>
      <c r="D19" s="23" t="s">
        <v>1935</v>
      </c>
      <c r="E19" s="23" t="s">
        <v>1942</v>
      </c>
    </row>
    <row r="20" spans="1:5" x14ac:dyDescent="0.25">
      <c r="A20" s="4">
        <f>VLOOKUP(tab_MunLicenciador[[#This Row],[Município Licenciador]],tab_Município_Seleção,3,FALSE)</f>
        <v>3503208</v>
      </c>
      <c r="B20" s="21">
        <v>19</v>
      </c>
      <c r="C20" s="23" t="s">
        <v>976</v>
      </c>
      <c r="D20" s="23" t="s">
        <v>1940</v>
      </c>
      <c r="E20" s="23" t="s">
        <v>1943</v>
      </c>
    </row>
    <row r="21" spans="1:5" x14ac:dyDescent="0.25">
      <c r="A21" s="4">
        <f>VLOOKUP(tab_MunLicenciador[[#This Row],[Município Licenciador]],tab_Município_Seleção,3,FALSE)</f>
        <v>3520202</v>
      </c>
      <c r="B21" s="21">
        <v>20</v>
      </c>
      <c r="C21" s="23" t="s">
        <v>1172</v>
      </c>
      <c r="D21" s="23" t="s">
        <v>1940</v>
      </c>
      <c r="E21" s="23" t="s">
        <v>1944</v>
      </c>
    </row>
    <row r="22" spans="1:5" x14ac:dyDescent="0.25">
      <c r="A22" s="4">
        <f>VLOOKUP(tab_MunLicenciador[[#This Row],[Município Licenciador]],tab_Município_Seleção,3,FALSE)</f>
        <v>3552403</v>
      </c>
      <c r="B22" s="21">
        <v>21</v>
      </c>
      <c r="C22" s="23" t="s">
        <v>1525</v>
      </c>
      <c r="D22" s="23" t="s">
        <v>1935</v>
      </c>
      <c r="E22" s="23" t="s">
        <v>1945</v>
      </c>
    </row>
    <row r="23" spans="1:5" x14ac:dyDescent="0.25">
      <c r="A23" s="4">
        <f>VLOOKUP(tab_MunLicenciador[[#This Row],[Município Licenciador]],tab_Município_Seleção,3,FALSE)</f>
        <v>3510500</v>
      </c>
      <c r="B23" s="21">
        <v>22</v>
      </c>
      <c r="C23" s="23" t="s">
        <v>1060</v>
      </c>
      <c r="D23" s="23" t="s">
        <v>1935</v>
      </c>
      <c r="E23" s="23" t="s">
        <v>1946</v>
      </c>
    </row>
    <row r="24" spans="1:5" x14ac:dyDescent="0.25">
      <c r="A24" s="4">
        <f>VLOOKUP(tab_MunLicenciador[[#This Row],[Município Licenciador]],tab_Município_Seleção,3,FALSE)</f>
        <v>3554003</v>
      </c>
      <c r="B24" s="21">
        <v>23</v>
      </c>
      <c r="C24" s="23" t="s">
        <v>1545</v>
      </c>
      <c r="D24" s="23" t="s">
        <v>1935</v>
      </c>
      <c r="E24" s="23" t="s">
        <v>1946</v>
      </c>
    </row>
    <row r="25" spans="1:5" x14ac:dyDescent="0.25">
      <c r="A25" s="4">
        <f>VLOOKUP(tab_MunLicenciador[[#This Row],[Município Licenciador]],tab_Município_Seleção,3,FALSE)</f>
        <v>3518305</v>
      </c>
      <c r="B25" s="21">
        <v>24</v>
      </c>
      <c r="C25" s="23" t="s">
        <v>1149</v>
      </c>
      <c r="D25" s="23" t="s">
        <v>1940</v>
      </c>
      <c r="E25" s="23" t="s">
        <v>1947</v>
      </c>
    </row>
    <row r="26" spans="1:5" x14ac:dyDescent="0.25">
      <c r="A26" s="4">
        <f>VLOOKUP(tab_MunLicenciador[[#This Row],[Município Licenciador]],tab_Município_Seleção,3,FALSE)</f>
        <v>3546801</v>
      </c>
      <c r="B26" s="21">
        <v>25</v>
      </c>
      <c r="C26" s="23" t="s">
        <v>1465</v>
      </c>
      <c r="D26" s="23" t="s">
        <v>1940</v>
      </c>
      <c r="E26" s="23" t="s">
        <v>1948</v>
      </c>
    </row>
    <row r="27" spans="1:5" x14ac:dyDescent="0.25">
      <c r="A27" s="4">
        <f>VLOOKUP(tab_MunLicenciador[[#This Row],[Município Licenciador]],tab_Município_Seleção,3,FALSE)</f>
        <v>3511102</v>
      </c>
      <c r="B27" s="21">
        <v>26</v>
      </c>
      <c r="C27" s="23" t="s">
        <v>1066</v>
      </c>
      <c r="D27" s="23" t="s">
        <v>1935</v>
      </c>
      <c r="E27" s="23" t="s">
        <v>1948</v>
      </c>
    </row>
    <row r="28" spans="1:5" x14ac:dyDescent="0.25">
      <c r="A28" s="4">
        <f>VLOOKUP(tab_MunLicenciador[[#This Row],[Município Licenciador]],tab_Município_Seleção,3,FALSE)</f>
        <v>3523404</v>
      </c>
      <c r="B28" s="21">
        <v>27</v>
      </c>
      <c r="C28" s="23" t="s">
        <v>1209</v>
      </c>
      <c r="D28" s="23" t="s">
        <v>1935</v>
      </c>
      <c r="E28" s="23" t="s">
        <v>1948</v>
      </c>
    </row>
    <row r="29" spans="1:5" x14ac:dyDescent="0.25">
      <c r="A29" s="4">
        <f>VLOOKUP(tab_MunLicenciador[[#This Row],[Município Licenciador]],tab_Município_Seleção,3,FALSE)</f>
        <v>3513702</v>
      </c>
      <c r="B29" s="21">
        <v>28</v>
      </c>
      <c r="C29" s="23" t="s">
        <v>1092</v>
      </c>
      <c r="D29" s="23" t="s">
        <v>1940</v>
      </c>
      <c r="E29" s="23" t="s">
        <v>1949</v>
      </c>
    </row>
    <row r="30" spans="1:5" x14ac:dyDescent="0.25">
      <c r="A30" s="4">
        <f>VLOOKUP(tab_MunLicenciador[[#This Row],[Município Licenciador]],tab_Município_Seleção,3,FALSE)</f>
        <v>3556701</v>
      </c>
      <c r="B30" s="21">
        <v>29</v>
      </c>
      <c r="C30" s="23" t="s">
        <v>1578</v>
      </c>
      <c r="D30" s="23" t="s">
        <v>1935</v>
      </c>
      <c r="E30" s="23" t="s">
        <v>1949</v>
      </c>
    </row>
    <row r="31" spans="1:5" x14ac:dyDescent="0.25">
      <c r="A31" s="4">
        <f>VLOOKUP(tab_MunLicenciador[[#This Row],[Município Licenciador]],tab_Município_Seleção,3,FALSE)</f>
        <v>3552205</v>
      </c>
      <c r="B31" s="21">
        <v>30</v>
      </c>
      <c r="C31" s="23" t="s">
        <v>1523</v>
      </c>
      <c r="D31" s="23" t="s">
        <v>1935</v>
      </c>
      <c r="E31" s="23" t="s">
        <v>1950</v>
      </c>
    </row>
    <row r="32" spans="1:5" x14ac:dyDescent="0.25">
      <c r="A32" s="4">
        <f>VLOOKUP(tab_MunLicenciador[[#This Row],[Município Licenciador]],tab_Município_Seleção,3,FALSE)</f>
        <v>3534609</v>
      </c>
      <c r="B32" s="21">
        <v>31</v>
      </c>
      <c r="C32" s="23" t="s">
        <v>1331</v>
      </c>
      <c r="D32" s="23" t="s">
        <v>1940</v>
      </c>
      <c r="E32" s="23" t="s">
        <v>1951</v>
      </c>
    </row>
    <row r="33" spans="1:5" x14ac:dyDescent="0.25">
      <c r="A33" s="4">
        <f>VLOOKUP(tab_MunLicenciador[[#This Row],[Município Licenciador]],tab_Município_Seleção,3,FALSE)</f>
        <v>3529203</v>
      </c>
      <c r="B33" s="21">
        <v>32</v>
      </c>
      <c r="C33" s="23" t="s">
        <v>1270</v>
      </c>
      <c r="D33" s="23" t="s">
        <v>1940</v>
      </c>
      <c r="E33" s="23" t="s">
        <v>1951</v>
      </c>
    </row>
    <row r="34" spans="1:5" x14ac:dyDescent="0.25">
      <c r="A34" s="4">
        <f>VLOOKUP(tab_MunLicenciador[[#This Row],[Município Licenciador]],tab_Município_Seleção,3,FALSE)</f>
        <v>3527306</v>
      </c>
      <c r="B34" s="21">
        <v>33</v>
      </c>
      <c r="C34" s="23" t="s">
        <v>1250</v>
      </c>
      <c r="D34" s="23" t="s">
        <v>1940</v>
      </c>
      <c r="E34" s="23" t="s">
        <v>1952</v>
      </c>
    </row>
    <row r="35" spans="1:5" x14ac:dyDescent="0.25">
      <c r="A35" s="4">
        <f>VLOOKUP(tab_MunLicenciador[[#This Row],[Município Licenciador]],tab_Município_Seleção,3,FALSE)</f>
        <v>3518800</v>
      </c>
      <c r="B35" s="21">
        <v>34</v>
      </c>
      <c r="C35" s="23" t="s">
        <v>1154</v>
      </c>
      <c r="D35" s="23" t="s">
        <v>1932</v>
      </c>
      <c r="E35" s="23" t="s">
        <v>1953</v>
      </c>
    </row>
    <row r="36" spans="1:5" x14ac:dyDescent="0.25">
      <c r="A36" s="4">
        <f>VLOOKUP(tab_MunLicenciador[[#This Row],[Município Licenciador]],tab_Município_Seleção,3,FALSE)</f>
        <v>3504107</v>
      </c>
      <c r="B36" s="21">
        <v>35</v>
      </c>
      <c r="C36" s="23" t="s">
        <v>987</v>
      </c>
      <c r="D36" s="23" t="s">
        <v>1935</v>
      </c>
      <c r="E36" s="23" t="s">
        <v>1954</v>
      </c>
    </row>
    <row r="37" spans="1:5" x14ac:dyDescent="0.25">
      <c r="A37" s="4">
        <f>VLOOKUP(tab_MunLicenciador[[#This Row],[Município Licenciador]],tab_Município_Seleção,3,FALSE)</f>
        <v>3519071</v>
      </c>
      <c r="B37" s="21">
        <v>36</v>
      </c>
      <c r="C37" s="23" t="s">
        <v>1159</v>
      </c>
      <c r="D37" s="23" t="s">
        <v>1935</v>
      </c>
      <c r="E37" s="23" t="s">
        <v>1954</v>
      </c>
    </row>
    <row r="38" spans="1:5" x14ac:dyDescent="0.25">
      <c r="A38" s="4">
        <f>VLOOKUP(tab_MunLicenciador[[#This Row],[Município Licenciador]],tab_Município_Seleção,3,FALSE)</f>
        <v>3509908</v>
      </c>
      <c r="B38" s="21">
        <v>37</v>
      </c>
      <c r="C38" s="23" t="s">
        <v>1052</v>
      </c>
      <c r="D38" s="23" t="s">
        <v>1940</v>
      </c>
      <c r="E38" s="23" t="s">
        <v>1943</v>
      </c>
    </row>
    <row r="39" spans="1:5" x14ac:dyDescent="0.25">
      <c r="A39" s="4">
        <f>VLOOKUP(tab_MunLicenciador[[#This Row],[Município Licenciador]],tab_Município_Seleção,3,FALSE)</f>
        <v>3515103</v>
      </c>
      <c r="B39" s="21">
        <v>38</v>
      </c>
      <c r="C39" s="23" t="s">
        <v>1109</v>
      </c>
      <c r="D39" s="23" t="s">
        <v>1940</v>
      </c>
      <c r="E39" s="23" t="s">
        <v>1955</v>
      </c>
    </row>
    <row r="40" spans="1:5" x14ac:dyDescent="0.25">
      <c r="A40" s="4">
        <f>VLOOKUP(tab_MunLicenciador[[#This Row],[Município Licenciador]],tab_Município_Seleção,3,FALSE)</f>
        <v>3551009</v>
      </c>
      <c r="B40" s="21">
        <v>39</v>
      </c>
      <c r="C40" s="23" t="s">
        <v>1511</v>
      </c>
      <c r="D40" s="23" t="s">
        <v>1935</v>
      </c>
      <c r="E40" s="23" t="s">
        <v>1956</v>
      </c>
    </row>
    <row r="41" spans="1:5" x14ac:dyDescent="0.25">
      <c r="A41" s="4">
        <f>VLOOKUP(tab_MunLicenciador[[#This Row],[Município Licenciador]],tab_Município_Seleção,3,FALSE)</f>
        <v>3522208</v>
      </c>
      <c r="B41" s="21">
        <v>40</v>
      </c>
      <c r="C41" s="23" t="s">
        <v>1196</v>
      </c>
      <c r="D41" s="23" t="s">
        <v>1940</v>
      </c>
      <c r="E41" s="23" t="s">
        <v>1957</v>
      </c>
    </row>
    <row r="42" spans="1:5" x14ac:dyDescent="0.25">
      <c r="A42" s="4">
        <f>VLOOKUP(tab_MunLicenciador[[#This Row],[Município Licenciador]],tab_Município_Seleção,3,FALSE)</f>
        <v>3556800</v>
      </c>
      <c r="B42" s="21">
        <v>41</v>
      </c>
      <c r="C42" s="23" t="s">
        <v>1579</v>
      </c>
      <c r="D42" s="23" t="s">
        <v>1940</v>
      </c>
      <c r="E42" s="23" t="s">
        <v>1958</v>
      </c>
    </row>
    <row r="43" spans="1:5" x14ac:dyDescent="0.25">
      <c r="A43" s="4">
        <f>VLOOKUP(tab_MunLicenciador[[#This Row],[Município Licenciador]],tab_Município_Seleção,3,FALSE)</f>
        <v>3505708</v>
      </c>
      <c r="B43" s="21">
        <v>42</v>
      </c>
      <c r="C43" s="23" t="s">
        <v>1004</v>
      </c>
      <c r="D43" s="23" t="s">
        <v>1935</v>
      </c>
      <c r="E43" s="23" t="s">
        <v>1959</v>
      </c>
    </row>
    <row r="44" spans="1:5" x14ac:dyDescent="0.25">
      <c r="A44" s="4">
        <f>VLOOKUP(tab_MunLicenciador[[#This Row],[Município Licenciador]],tab_Município_Seleção,3,FALSE)</f>
        <v>3509254</v>
      </c>
      <c r="B44" s="21">
        <v>43</v>
      </c>
      <c r="C44" s="23" t="s">
        <v>1044</v>
      </c>
      <c r="D44" s="23" t="s">
        <v>1940</v>
      </c>
      <c r="E44" s="23" t="s">
        <v>1960</v>
      </c>
    </row>
    <row r="45" spans="1:5" x14ac:dyDescent="0.25">
      <c r="A45" s="4">
        <f>VLOOKUP(tab_MunLicenciador[[#This Row],[Município Licenciador]],tab_Município_Seleção,3,FALSE)</f>
        <v>3515186</v>
      </c>
      <c r="B45" s="21">
        <v>44</v>
      </c>
      <c r="C45" s="23" t="s">
        <v>1112</v>
      </c>
      <c r="D45" s="23" t="s">
        <v>1940</v>
      </c>
      <c r="E45" s="23" t="s">
        <v>1961</v>
      </c>
    </row>
    <row r="46" spans="1:5" x14ac:dyDescent="0.25">
      <c r="A46" s="4">
        <f>VLOOKUP(tab_MunLicenciador[[#This Row],[Município Licenciador]],tab_Município_Seleção,3,FALSE)</f>
        <v>3551702</v>
      </c>
      <c r="B46" s="21">
        <v>45</v>
      </c>
      <c r="C46" s="23" t="s">
        <v>1518</v>
      </c>
      <c r="D46" s="23" t="s">
        <v>1940</v>
      </c>
      <c r="E46" s="23" t="s">
        <v>1962</v>
      </c>
    </row>
    <row r="47" spans="1:5" x14ac:dyDescent="0.25">
      <c r="A47" s="4">
        <f>VLOOKUP(tab_MunLicenciador[[#This Row],[Município Licenciador]],tab_Município_Seleção,3,FALSE)</f>
        <v>3515004</v>
      </c>
      <c r="B47" s="21">
        <v>46</v>
      </c>
      <c r="C47" s="23" t="s">
        <v>1108</v>
      </c>
      <c r="D47" s="23" t="s">
        <v>1940</v>
      </c>
      <c r="E47" s="23" t="s">
        <v>1963</v>
      </c>
    </row>
  </sheetData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C20"/>
  <sheetViews>
    <sheetView zoomScale="145" zoomScaleNormal="145" workbookViewId="0">
      <selection activeCell="C9" sqref="C9"/>
    </sheetView>
  </sheetViews>
  <sheetFormatPr defaultColWidth="0" defaultRowHeight="15" zeroHeight="1" x14ac:dyDescent="0.25"/>
  <cols>
    <col min="1" max="1" width="18.85546875" customWidth="1"/>
    <col min="2" max="2" width="33.140625" bestFit="1" customWidth="1"/>
    <col min="3" max="3" width="9.140625" customWidth="1"/>
    <col min="4" max="16384" width="9.140625" hidden="1"/>
  </cols>
  <sheetData>
    <row r="1" spans="1:2" x14ac:dyDescent="0.25">
      <c r="A1" t="s">
        <v>1810</v>
      </c>
      <c r="B1" t="s">
        <v>1811</v>
      </c>
    </row>
    <row r="2" spans="1:2" x14ac:dyDescent="0.25">
      <c r="A2">
        <v>1</v>
      </c>
      <c r="B2" t="s">
        <v>1812</v>
      </c>
    </row>
    <row r="3" spans="1:2" x14ac:dyDescent="0.25">
      <c r="A3">
        <v>2</v>
      </c>
      <c r="B3" t="s">
        <v>1813</v>
      </c>
    </row>
    <row r="4" spans="1:2" x14ac:dyDescent="0.25">
      <c r="A4">
        <v>3</v>
      </c>
      <c r="B4" t="s">
        <v>1814</v>
      </c>
    </row>
    <row r="5" spans="1:2" x14ac:dyDescent="0.25">
      <c r="A5">
        <v>4</v>
      </c>
      <c r="B5" t="s">
        <v>1815</v>
      </c>
    </row>
    <row r="6" spans="1:2" x14ac:dyDescent="0.25">
      <c r="A6">
        <v>5</v>
      </c>
      <c r="B6" t="s">
        <v>1816</v>
      </c>
    </row>
    <row r="7" spans="1:2" x14ac:dyDescent="0.25"/>
    <row r="8" spans="1:2" x14ac:dyDescent="0.25"/>
    <row r="9" spans="1:2" x14ac:dyDescent="0.25"/>
    <row r="10" spans="1:2" x14ac:dyDescent="0.25"/>
    <row r="11" spans="1:2" x14ac:dyDescent="0.25"/>
    <row r="12" spans="1:2" x14ac:dyDescent="0.25"/>
    <row r="13" spans="1:2" x14ac:dyDescent="0.25"/>
    <row r="14" spans="1:2" x14ac:dyDescent="0.25"/>
    <row r="15" spans="1:2" x14ac:dyDescent="0.25"/>
    <row r="16" spans="1:2" x14ac:dyDescent="0.25"/>
    <row r="17" x14ac:dyDescent="0.25"/>
    <row r="18" x14ac:dyDescent="0.25"/>
    <row r="19" x14ac:dyDescent="0.25"/>
    <row r="20" x14ac:dyDescent="0.25"/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2</vt:i4>
      </vt:variant>
    </vt:vector>
  </HeadingPairs>
  <TitlesOfParts>
    <vt:vector size="10" baseType="lpstr">
      <vt:lpstr>Infos</vt:lpstr>
      <vt:lpstr>Din.Agências</vt:lpstr>
      <vt:lpstr>Din.Municípios</vt:lpstr>
      <vt:lpstr>Municípios</vt:lpstr>
      <vt:lpstr>tab_CETESB</vt:lpstr>
      <vt:lpstr>tab_Agências</vt:lpstr>
      <vt:lpstr>tab_MunicipiosLicenciadores</vt:lpstr>
      <vt:lpstr>tab_Departamentos</vt:lpstr>
      <vt:lpstr>tab_AgênciaAmbiental</vt:lpstr>
      <vt:lpstr>tab_Município_Seleção</vt:lpstr>
    </vt:vector>
  </TitlesOfParts>
  <Company>MichelMetran.com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Michel Metran</dc:creator>
  <cp:lastModifiedBy>Michel Metran</cp:lastModifiedBy>
  <dcterms:created xsi:type="dcterms:W3CDTF">2015-05-26T22:12:36Z</dcterms:created>
  <dcterms:modified xsi:type="dcterms:W3CDTF">2015-08-27T17:21:30Z</dcterms:modified>
</cp:coreProperties>
</file>